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Supply Office\PAR 2024\"/>
    </mc:Choice>
  </mc:AlternateContent>
  <xr:revisionPtr revIDLastSave="0" documentId="13_ncr:1_{7F4D5241-3EC0-4DE8-9DEE-5FB56D5D6446}" xr6:coauthVersionLast="47" xr6:coauthVersionMax="47" xr10:uidLastSave="{00000000-0000-0000-0000-000000000000}"/>
  <bookViews>
    <workbookView xWindow="-108" yWindow="-108" windowWidth="23256" windowHeight="13896" tabRatio="848" activeTab="4" xr2:uid="{85E9FE5A-099B-459B-AA83-8AC745C26314}"/>
  </bookViews>
  <sheets>
    <sheet name="Sheet2" sheetId="29" r:id="rId1"/>
    <sheet name="List" sheetId="21" r:id="rId2"/>
    <sheet name="Sheet1" sheetId="23" r:id="rId3"/>
    <sheet name="PAR" sheetId="32" r:id="rId4"/>
    <sheet name="Sticker" sheetId="33" r:id="rId5"/>
    <sheet name="Q1" sheetId="8" state="hidden" r:id="rId6"/>
    <sheet name="Q2" sheetId="10" state="hidden" r:id="rId7"/>
    <sheet name="Q3" sheetId="13" state="hidden" r:id="rId8"/>
    <sheet name="PO" sheetId="5" state="hidden" r:id="rId9"/>
  </sheets>
  <externalReferences>
    <externalReference r:id="rId10"/>
  </externalReferences>
  <definedNames>
    <definedName name="_xlnm.Print_Area" localSheetId="3">PAR!$A$1:$K$101</definedName>
    <definedName name="_xlnm.Print_Area" localSheetId="8">PO!$A$1:$N$64</definedName>
    <definedName name="_xlnm.Print_Area" localSheetId="5">'Q1'!$A$1:$K$63</definedName>
    <definedName name="_xlnm.Print_Area" localSheetId="6">'Q2'!$A$1:$K$63</definedName>
    <definedName name="_xlnm.Print_Area" localSheetId="7">'Q3'!$A$1:$K$63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8" i="32" l="1"/>
  <c r="D49" i="32"/>
  <c r="D50" i="32"/>
  <c r="D51" i="32"/>
  <c r="D52" i="32"/>
  <c r="D53" i="32"/>
  <c r="D54" i="32"/>
  <c r="D55" i="32"/>
  <c r="D56" i="32"/>
  <c r="D57" i="32"/>
  <c r="D58" i="32"/>
  <c r="D60" i="32"/>
  <c r="D61" i="32"/>
  <c r="D62" i="32"/>
  <c r="D46" i="32"/>
  <c r="J2" i="21" l="1"/>
  <c r="J3" i="21" l="1"/>
  <c r="B98" i="32"/>
  <c r="B96" i="32"/>
  <c r="I9" i="32"/>
  <c r="C9" i="32"/>
  <c r="A9" i="32"/>
  <c r="J9" i="32" s="1"/>
  <c r="A1" i="23" a="1"/>
  <c r="A1" i="23" s="1"/>
  <c r="J19" i="21" l="1"/>
  <c r="J18" i="21"/>
  <c r="J17" i="21"/>
  <c r="J16" i="21"/>
  <c r="J15" i="21"/>
  <c r="J14" i="21"/>
  <c r="J13" i="21"/>
  <c r="J12" i="21"/>
  <c r="J11" i="21"/>
  <c r="J10" i="21"/>
  <c r="J9" i="21"/>
  <c r="J8" i="21"/>
  <c r="J7" i="21"/>
  <c r="J6" i="21"/>
  <c r="J5" i="21"/>
  <c r="J4" i="21"/>
  <c r="M55" i="29" l="1"/>
  <c r="D55" i="29"/>
  <c r="P54" i="29"/>
  <c r="M54" i="29"/>
  <c r="G54" i="29"/>
  <c r="D54" i="29"/>
  <c r="M53" i="29"/>
  <c r="D53" i="29"/>
  <c r="M52" i="29" a="1"/>
  <c r="M52" i="29" s="1"/>
  <c r="D52" i="29" a="1"/>
  <c r="D52" i="29" s="1"/>
  <c r="M51" i="29"/>
  <c r="D51" i="29"/>
  <c r="M49" i="29"/>
  <c r="D49" i="29"/>
  <c r="Q46" i="29" a="1"/>
  <c r="Q46" i="29" s="1"/>
  <c r="H46" i="29" a="1"/>
  <c r="H46" i="29" s="1"/>
  <c r="M40" i="29"/>
  <c r="D40" i="29"/>
  <c r="P39" i="29"/>
  <c r="M39" i="29"/>
  <c r="G39" i="29"/>
  <c r="D39" i="29"/>
  <c r="M38" i="29"/>
  <c r="D38" i="29"/>
  <c r="M37" i="29" a="1"/>
  <c r="M37" i="29" s="1"/>
  <c r="D37" i="29" a="1"/>
  <c r="D37" i="29" s="1"/>
  <c r="M36" i="29"/>
  <c r="D36" i="29"/>
  <c r="M34" i="29"/>
  <c r="D34" i="29"/>
  <c r="Q31" i="29" a="1"/>
  <c r="Q31" i="29" s="1"/>
  <c r="H31" i="29" a="1"/>
  <c r="H31" i="29" s="1"/>
  <c r="M22" i="29" a="1"/>
  <c r="M22" i="29" s="1"/>
  <c r="D22" i="29" a="1"/>
  <c r="D22" i="29" s="1"/>
  <c r="H100" i="32"/>
  <c r="J65" i="32"/>
  <c r="M7" i="29" a="1"/>
  <c r="M7" i="29" s="1"/>
  <c r="D7" i="29" a="1"/>
  <c r="D7" i="29" s="1"/>
  <c r="G24" i="29" l="1"/>
  <c r="P9" i="29" l="1"/>
  <c r="G9" i="29" l="1"/>
  <c r="D1" i="23" l="1" a="1"/>
  <c r="D1" i="23" s="1"/>
  <c r="M25" i="29"/>
  <c r="Q16" i="29" a="1"/>
  <c r="Q16" i="29" s="1"/>
  <c r="M10" i="29"/>
  <c r="M9" i="29"/>
  <c r="M8" i="29"/>
  <c r="Q1" i="29" a="1"/>
  <c r="Q1" i="29" s="1"/>
  <c r="D25" i="29"/>
  <c r="D23" i="29"/>
  <c r="D21" i="29"/>
  <c r="D19" i="29"/>
  <c r="H16" i="29" a="1"/>
  <c r="H16" i="29" s="1"/>
  <c r="H1" i="29" a="1"/>
  <c r="H1" i="29" s="1"/>
  <c r="D10" i="29"/>
  <c r="D9" i="29"/>
  <c r="D8" i="29"/>
  <c r="D6" i="29"/>
  <c r="D4" i="29"/>
  <c r="D24" i="29" l="1"/>
  <c r="M19" i="29"/>
  <c r="M21" i="29"/>
  <c r="M23" i="29"/>
  <c r="M4" i="29"/>
  <c r="M24" i="29"/>
  <c r="M6" i="29"/>
  <c r="P24" i="29"/>
  <c r="I20" i="8" l="1"/>
  <c r="K19" i="5" s="1"/>
  <c r="E20" i="8"/>
  <c r="G19" i="5" s="1"/>
  <c r="C20" i="8"/>
  <c r="E19" i="5" s="1"/>
  <c r="A20" i="8"/>
  <c r="I19" i="5" s="1"/>
  <c r="I19" i="8"/>
  <c r="E19" i="8"/>
  <c r="G18" i="5" s="1"/>
  <c r="C19" i="8"/>
  <c r="E18" i="5" s="1"/>
  <c r="A19" i="10"/>
  <c r="A19" i="13"/>
  <c r="A19" i="8"/>
  <c r="I18" i="5" s="1"/>
  <c r="M19" i="5" l="1"/>
  <c r="D14" i="13"/>
  <c r="D14" i="10"/>
  <c r="J29" i="13"/>
  <c r="J28" i="13"/>
  <c r="J27" i="13"/>
  <c r="J26" i="13"/>
  <c r="J25" i="13"/>
  <c r="J24" i="13"/>
  <c r="J23" i="13"/>
  <c r="J22" i="13"/>
  <c r="J21" i="13"/>
  <c r="J20" i="13"/>
  <c r="J19" i="13"/>
  <c r="J27" i="10"/>
  <c r="J26" i="10"/>
  <c r="J25" i="10"/>
  <c r="J24" i="10"/>
  <c r="J23" i="10"/>
  <c r="J22" i="10"/>
  <c r="J21" i="10"/>
  <c r="J20" i="10"/>
  <c r="J19" i="10"/>
  <c r="J27" i="8"/>
  <c r="J23" i="8"/>
  <c r="J24" i="8"/>
  <c r="J19" i="8"/>
  <c r="J7" i="5"/>
  <c r="I7" i="13"/>
  <c r="I7" i="10"/>
  <c r="K18" i="5"/>
  <c r="K20" i="5"/>
  <c r="K21" i="5"/>
  <c r="K22" i="5"/>
  <c r="K23" i="5"/>
  <c r="K24" i="5"/>
  <c r="K25" i="5"/>
  <c r="K26" i="5"/>
  <c r="K27" i="5"/>
  <c r="K28" i="5"/>
  <c r="K29" i="5"/>
  <c r="K30" i="5"/>
  <c r="M30" i="5" s="1"/>
  <c r="K31" i="5"/>
  <c r="K32" i="5"/>
  <c r="K33" i="5"/>
  <c r="G13" i="13"/>
  <c r="G13" i="10"/>
  <c r="J6" i="5"/>
  <c r="J34" i="13"/>
  <c r="J33" i="13"/>
  <c r="J32" i="13"/>
  <c r="J22" i="8"/>
  <c r="J25" i="8"/>
  <c r="J26" i="8"/>
  <c r="J32" i="8"/>
  <c r="J33" i="8"/>
  <c r="J34" i="8"/>
  <c r="J30" i="8"/>
  <c r="J31" i="8"/>
  <c r="J31" i="13" l="1"/>
  <c r="J30" i="13"/>
  <c r="J32" i="10"/>
  <c r="M18" i="5"/>
  <c r="M27" i="5"/>
  <c r="M31" i="5"/>
  <c r="M23" i="5"/>
  <c r="M22" i="5"/>
  <c r="M26" i="5"/>
  <c r="J33" i="10"/>
  <c r="J31" i="10"/>
  <c r="M33" i="5"/>
  <c r="M25" i="5"/>
  <c r="M32" i="5"/>
  <c r="M24" i="5"/>
  <c r="J21" i="8"/>
  <c r="J29" i="8"/>
  <c r="J28" i="8"/>
  <c r="J20" i="8"/>
  <c r="M29" i="5"/>
  <c r="M21" i="5"/>
  <c r="M28" i="5"/>
  <c r="M20" i="5"/>
  <c r="J34" i="10"/>
  <c r="J57" i="13" l="1"/>
  <c r="J57" i="8"/>
  <c r="J57" i="10"/>
  <c r="M44" i="5"/>
  <c r="K60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<sst xmlns="http://schemas.openxmlformats.org/spreadsheetml/2006/main" count="659" uniqueCount="273">
  <si>
    <t>Department of Education</t>
  </si>
  <si>
    <t>Schools Division Office of Cavite City</t>
  </si>
  <si>
    <t>Date</t>
  </si>
  <si>
    <t>UNIT</t>
  </si>
  <si>
    <t>QUANTITY</t>
  </si>
  <si>
    <t>KARL MANUEL O. CORDORA</t>
  </si>
  <si>
    <t>EDGARDO B. MILITANTE</t>
  </si>
  <si>
    <t>Republic of the Philippines</t>
  </si>
  <si>
    <t>Region IV - A CALABARZON</t>
  </si>
  <si>
    <t>SCHOOLS DIVISION OFFICE OF CAVITE CITY</t>
  </si>
  <si>
    <t>City of Cavite</t>
  </si>
  <si>
    <t>Business Name:</t>
  </si>
  <si>
    <t>Dear Sir/Madam:</t>
  </si>
  <si>
    <t>Please quote your price for the purchase of</t>
  </si>
  <si>
    <r>
      <t>listed hereunder to be used</t>
    </r>
    <r>
      <rPr>
        <i/>
        <u/>
        <sz val="11"/>
        <rFont val="Calibri Light"/>
        <family val="2"/>
        <scheme val="major"/>
      </rPr>
      <t xml:space="preserve">                                                                                           </t>
    </r>
  </si>
  <si>
    <t xml:space="preserve">The supplies/materials will be delivered at the </t>
  </si>
  <si>
    <t>in accordance with the Advice of</t>
  </si>
  <si>
    <t>MATERIALS | PARTICULARS</t>
  </si>
  <si>
    <t>UNIT PRICE</t>
  </si>
  <si>
    <t>TOTAL</t>
  </si>
  <si>
    <t>Total:</t>
  </si>
  <si>
    <t>Signature over Printed Name</t>
  </si>
  <si>
    <t>Administrative Assistant III</t>
  </si>
  <si>
    <t>Designated Supply Officer</t>
  </si>
  <si>
    <t>PURCHASE ORDER</t>
  </si>
  <si>
    <t>DEPED CAVITE CITY</t>
  </si>
  <si>
    <t>Entity Name</t>
  </si>
  <si>
    <t>Supplier:</t>
  </si>
  <si>
    <t>PO No.:</t>
  </si>
  <si>
    <t>Address:</t>
  </si>
  <si>
    <t>Date:</t>
  </si>
  <si>
    <t>TIN:</t>
  </si>
  <si>
    <t>Mode of Procurement:</t>
  </si>
  <si>
    <t>Gentlemen:</t>
  </si>
  <si>
    <t>Please furnish this Office the following articles subject to the terms and conditions contained herein:</t>
  </si>
  <si>
    <t>Place of Delivery:</t>
  </si>
  <si>
    <t>Delivery Term:</t>
  </si>
  <si>
    <t>Date of Delivery:</t>
  </si>
  <si>
    <t>Payment Term:</t>
  </si>
  <si>
    <t>Stock | Property No.</t>
  </si>
  <si>
    <t>Unit</t>
  </si>
  <si>
    <t>Description</t>
  </si>
  <si>
    <t>Qty</t>
  </si>
  <si>
    <t>Unit Cost</t>
  </si>
  <si>
    <t>Amount</t>
  </si>
  <si>
    <t>(Total Amount in Words)</t>
  </si>
  <si>
    <t>In case of failure to make the full delivery within the time specified above, a penalty of one-tenth (1/10) of one percent for every day of delay shall be imposed on the undelivered item/s.</t>
  </si>
  <si>
    <t>Conforme:</t>
  </si>
  <si>
    <t>Very truly yours,</t>
  </si>
  <si>
    <t>Signature over Printed Name of Supplier | Representative</t>
  </si>
  <si>
    <t>Signature over Printed Name of Authorized Official</t>
  </si>
  <si>
    <t>OIC, Schools Division Superintendent</t>
  </si>
  <si>
    <t>Designation</t>
  </si>
  <si>
    <t>Fund Cluster:</t>
  </si>
  <si>
    <t>ORS | BURS No.:</t>
  </si>
  <si>
    <t>Funds Available:</t>
  </si>
  <si>
    <t>Date of ORS | BURS:</t>
  </si>
  <si>
    <t>Amount:</t>
  </si>
  <si>
    <t>MICHELLE L. MATA</t>
  </si>
  <si>
    <t>Signature over Printed Name of Chief</t>
  </si>
  <si>
    <t>Accountant/Head of Accounting Division/Unit</t>
  </si>
  <si>
    <t>Entity Name:</t>
  </si>
  <si>
    <t>NETH'S EAT</t>
  </si>
  <si>
    <t>MARINEL S. DOMINGO</t>
  </si>
  <si>
    <t>MACKY'S CATERING SERVICES</t>
  </si>
  <si>
    <t>MACKY SALIENDRA</t>
  </si>
  <si>
    <t>COPYLANDIA OFFICE SYSTEMS CORPORATION</t>
  </si>
  <si>
    <t>G/F SQH 1 Bldg., E. Aguinaldo Highway, Anabu 2F, Imus City</t>
  </si>
  <si>
    <t xml:space="preserve"> 008-387-425-000</t>
  </si>
  <si>
    <t>Six Thousand Pesos</t>
  </si>
  <si>
    <t>________________________________________</t>
  </si>
  <si>
    <t>JOSHUA AIRIS DE LEON</t>
  </si>
  <si>
    <t>PANDAYAN BOOKSHOP, INC.</t>
  </si>
  <si>
    <t>Received by:</t>
  </si>
  <si>
    <t>Total</t>
  </si>
  <si>
    <t>QTY</t>
  </si>
  <si>
    <t>AMOUNT</t>
  </si>
  <si>
    <t>DESCRIPTION</t>
  </si>
  <si>
    <t>Position | Designation</t>
  </si>
  <si>
    <t>Property Number</t>
  </si>
  <si>
    <t>ICS NUMBER</t>
  </si>
  <si>
    <t>:</t>
  </si>
  <si>
    <t>PROPERTY NUMBER</t>
  </si>
  <si>
    <t>ASSET CLASSIFICATION</t>
  </si>
  <si>
    <t>SERIAL NUMBER</t>
  </si>
  <si>
    <t>ACQUISITION COST</t>
  </si>
  <si>
    <t>ACQUISITION DATE</t>
  </si>
  <si>
    <t>PERSON ACCOUNTABLE</t>
  </si>
  <si>
    <t>VALIDATION | SIGNATURE</t>
  </si>
  <si>
    <t>"Removing or tampering of this sticker is punishable by law"</t>
  </si>
  <si>
    <t>ITEM|BRAND|MODEL</t>
  </si>
  <si>
    <t>x ---------- Nothing Follows ---------- x</t>
  </si>
  <si>
    <t>2024 - 05 - 03 - 0004 - 01C</t>
  </si>
  <si>
    <t>2024 - 05 - 03 - 0005 - 01C</t>
  </si>
  <si>
    <t>2024 - 05 - 03 - 0006 - 01B</t>
  </si>
  <si>
    <t>2024 - 05 - 03 - 0007 - 01A</t>
  </si>
  <si>
    <t>2024 - 05 - 03 - 0008 - 02B</t>
  </si>
  <si>
    <t>2024 - 05 - 03 - 0009 - 01E</t>
  </si>
  <si>
    <t>2024 - 05 - 03 - 0010 - 01D</t>
  </si>
  <si>
    <t>2024 - 05 - 03 - 0011 - 03A</t>
  </si>
  <si>
    <t>Appendix 71</t>
  </si>
  <si>
    <t>PROPERTY ACKNOWLEDGEMENT RECEIPT</t>
  </si>
  <si>
    <t>PAR NO:</t>
  </si>
  <si>
    <t>PROPERTY NO.</t>
  </si>
  <si>
    <t xml:space="preserve">DATE ACQUIRED </t>
  </si>
  <si>
    <t>Issued by:</t>
  </si>
  <si>
    <t>Signature over printed name</t>
  </si>
  <si>
    <t>Administrative Officer IV - Supply Officer II</t>
  </si>
  <si>
    <t xml:space="preserve">No. </t>
  </si>
  <si>
    <t>SN</t>
  </si>
  <si>
    <t>PAR No.</t>
  </si>
  <si>
    <t>Quantity</t>
  </si>
  <si>
    <t>YEAR</t>
  </si>
  <si>
    <t>UACS</t>
  </si>
  <si>
    <t>SERIES</t>
  </si>
  <si>
    <t>LOCATION CODE</t>
  </si>
  <si>
    <t xml:space="preserve">Date Acquired </t>
  </si>
  <si>
    <t>Received by</t>
  </si>
  <si>
    <t>Column1</t>
  </si>
  <si>
    <t>unit</t>
  </si>
  <si>
    <t>05 - 03</t>
  </si>
  <si>
    <t>7VW6QG3 | 8WW6QG3 | 4VW6QG3 | 1WW6QG3 | FT26QG3 | JWW6QG3 | 5VW6QG3 | 6WW6QG3 | CTW6QG3 | BXW6QG3 | 9PV6QG3 | 4XW6QG3 | FM9JPG3 | 2N9JPG3 | 4N9JPG3 | 6N9JPG3 | CXW6QG3</t>
  </si>
  <si>
    <t>PAR 2022 - 01 - 0019</t>
  </si>
  <si>
    <t>DANAH LEI A. PUGAY</t>
  </si>
  <si>
    <t>ADMINISTRATIVE OFFICER II</t>
  </si>
  <si>
    <t>BMV6QG3 | 2PV6QG3 | JLV6QG3 | 5NV6QG3 | GM9JPG3 | HVW6QG3 | HLV6QG3 | 7MV6QG3 | 1MV6QG3 | 8NV6QG3 | DXW6QG3 | 1L9JPG3</t>
  </si>
  <si>
    <t>PAR 2022 - 01 - 0020</t>
  </si>
  <si>
    <t>ABIGAIL B. ZAPANTA</t>
  </si>
  <si>
    <t>2NV6QG3 | DMV6QG3 | JNV6QG3 | CLV6QG3 | 6NV6QG3 | 5N9JPG3 | HL9JPG3 | 6PV6QG3 | FK9JPG3</t>
  </si>
  <si>
    <t>PAR 2022 - 01 - 0021</t>
  </si>
  <si>
    <t>CAREN JOY BARRERA</t>
  </si>
  <si>
    <t>1NV6QG3 | 9LV6QG3 | CMV6QG3 | JL9JPG3 | 2M9JPG3</t>
  </si>
  <si>
    <t>PAR 2022 - 01 - 0022</t>
  </si>
  <si>
    <t>J-ANN G. BENTIR</t>
  </si>
  <si>
    <t>FNV6QG3 | DL9JPG3 | CK9JPG3 | 5M9JPG3 | FL9JPG3</t>
  </si>
  <si>
    <t>PAR 2022 - 01 - 0023</t>
  </si>
  <si>
    <t>3M9JPG3 | 8L9JPG3 | GL9JPG3 | 5L9JPG3 | 7M9JPG3</t>
  </si>
  <si>
    <t>PAR 2022 - 01 - 0024</t>
  </si>
  <si>
    <t>BPV6QG3 |8K9JPG3 | CWW6QG3 | 7XW6QG3</t>
  </si>
  <si>
    <t>PAR 2022 - 01 - 0025</t>
  </si>
  <si>
    <t>5PV6QG3 | BL9JPG3 | 2MV6QG3</t>
  </si>
  <si>
    <t>PAR 2022 - 01 - 0026</t>
  </si>
  <si>
    <t>6MV6QG3 | FLV6QG3</t>
  </si>
  <si>
    <t>PAR 2022 - 01 - 0027</t>
  </si>
  <si>
    <t>8M9JPG3 | 7N9JPG3</t>
  </si>
  <si>
    <t>PAR 2022 - 01 - 0028</t>
  </si>
  <si>
    <t>BM9JPG3</t>
  </si>
  <si>
    <t>PAR 2022 - 01 - 0029</t>
  </si>
  <si>
    <t>4M9JPG3</t>
  </si>
  <si>
    <t>PAR 2022 - 01 - 0030</t>
  </si>
  <si>
    <t>8MV6QG3 | 9NV6QG3 | FMV6QG3 | CNV6QG3 | HM9JPG3 | 4L9JPG3 | 1M9JPG3 | HK9JPG3 | JK9JPG3 | BLV6QG3 | DNV6QG3 | CL9JPG3| 1N9JPG3 | HNV6QG3 | BNV6QG3 | 2KW6QG3 | GWW6QG3 | GMV6QG3 | 3MV6QG3 | JMV6QG3 | HWW6QG3 | 5MV6QG3 | 7K9JPG3 | FWW6QG3 | DM9JPG3 | JM9JPG3 | 3PV6QG3 | 7K9JPG3 | HMV6QG3 | GLV6QG3 | 3L9JPG3 | CM9JPG3 | 8PV6QG3</t>
  </si>
  <si>
    <t>PAR 2022 - 01 - 0031</t>
  </si>
  <si>
    <t>MARIVIC D. QUINTO</t>
  </si>
  <si>
    <t>ADMINISTRATIVE OFFICER I</t>
  </si>
  <si>
    <t>7L9JPG3 | 4WW6QG3 | JVW6QG3 | 1VW6QG3 | FVW6QG3 | 2VW6QG3</t>
  </si>
  <si>
    <t>PAR 2022 - 01 - 0032</t>
  </si>
  <si>
    <t>GTW6QG3 | BK9JPG3 | 8VW6QG3 | 6LPJPG3 | 4PV6QG3 | 4MV6QG3 | 7WW6QG3 |GK9JPG3</t>
  </si>
  <si>
    <t>PAR 2022 - 01 - 0033</t>
  </si>
  <si>
    <t>GLORIA C. MONTON</t>
  </si>
  <si>
    <t>ADMINISTRATIVE ASSISTANT II</t>
  </si>
  <si>
    <t xml:space="preserve">DWW6QG3 | 5XW6QG3 | JTW6QG3 </t>
  </si>
  <si>
    <t>PAR 2022 - 01 - 0034</t>
  </si>
  <si>
    <t>PAULO A. REYES</t>
  </si>
  <si>
    <t>ANNE ROYAL D. SUMA-OY</t>
  </si>
  <si>
    <t>MARIJOY N. BUMANGLAG</t>
  </si>
  <si>
    <t>CATHERINE C. MELO</t>
  </si>
  <si>
    <t>JELLENE M. VILLAFLOR</t>
  </si>
  <si>
    <t>PROJECT DEVELOPMENT OFFICER I</t>
  </si>
  <si>
    <t xml:space="preserve">EUGENE V. VIVAR		</t>
  </si>
  <si>
    <t xml:space="preserve">ANNALYN S. SALANGSANG		</t>
  </si>
  <si>
    <t>Laptop (Bayanihan II Funds)</t>
  </si>
  <si>
    <t xml:space="preserve">DELL Latitude 324 Laptop </t>
  </si>
  <si>
    <t>Processor: Intel Celeron 6305 1.8 GHz, 2C</t>
  </si>
  <si>
    <t>Memory: 8GB DDR4, 3200 MHz, SODIMM</t>
  </si>
  <si>
    <t>Screen Size: 14" FHD, 1920 x 1080, 60GHz</t>
  </si>
  <si>
    <t>non-touch</t>
  </si>
  <si>
    <t>Storage: 1TB, 5400 RPM, SATA, HDD</t>
  </si>
  <si>
    <t>Camera: Built - In</t>
  </si>
  <si>
    <t>Connectivity: Intel Wifi 6 AX 201</t>
  </si>
  <si>
    <t>Bluetooth: 5.1</t>
  </si>
  <si>
    <t>Ports:</t>
  </si>
  <si>
    <t xml:space="preserve">1 x USB 3.2, 2 x 2 type C port with display </t>
  </si>
  <si>
    <t>port alt mode power delivery</t>
  </si>
  <si>
    <t>1 x USB 3.2 Gen 1 port</t>
  </si>
  <si>
    <t>1 x USB 3.2 Gen 1 port with powershare</t>
  </si>
  <si>
    <t>1 x USB 2.0 port</t>
  </si>
  <si>
    <t>1 x Universal audio port</t>
  </si>
  <si>
    <t>1 x HDMI 1.4 port</t>
  </si>
  <si>
    <t>1 x microSD - card slot</t>
  </si>
  <si>
    <t>1 x Flip - down RJ 45</t>
  </si>
  <si>
    <t>1 x wedge shape lock slot</t>
  </si>
  <si>
    <t>Power adapter: 65 W AC Adapter</t>
  </si>
  <si>
    <t>Keyboard: US English Layout, Backlit</t>
  </si>
  <si>
    <t>Touchpad: Precision Touchpad, Multi-touch</t>
  </si>
  <si>
    <t>Endpoint Protection: SOPHOS w/ 1 yr. sub.</t>
  </si>
  <si>
    <t>Operating System: Win 10 Pro Educ</t>
  </si>
  <si>
    <t>(Activated), Pre-Installed and activated</t>
  </si>
  <si>
    <t xml:space="preserve">application software - MS Office and </t>
  </si>
  <si>
    <t>Dell Optimizer</t>
  </si>
  <si>
    <t>Others: Laptop BIOS and Screen w/</t>
  </si>
  <si>
    <t>DepEd Logo</t>
  </si>
  <si>
    <t>Php 58,270.00 per unit</t>
  </si>
  <si>
    <t>Accessories:</t>
  </si>
  <si>
    <t>Laptop Bag with DepEd Logo Embroidered</t>
  </si>
  <si>
    <t>Mouse: Genius NX-7000, Optical Wireless</t>
  </si>
  <si>
    <t>Headset: Genius HS-M200C</t>
  </si>
  <si>
    <t>Serial Numbers:</t>
  </si>
  <si>
    <t>PAR 2022 - 01 - 0001</t>
  </si>
  <si>
    <t>001C</t>
  </si>
  <si>
    <t>JAYSON B. ANTIG</t>
  </si>
  <si>
    <t>INFORMATION TECHNOLOGY OFFICER I</t>
  </si>
  <si>
    <t>1PV6QG3</t>
  </si>
  <si>
    <t>PAR 2022 - 01 - 0002</t>
  </si>
  <si>
    <t>CHARLIE P. CABATAN</t>
  </si>
  <si>
    <t>ADMINISTRATIVE OFFICER V</t>
  </si>
  <si>
    <t>001G</t>
  </si>
  <si>
    <t>ICS No.</t>
  </si>
  <si>
    <t>Property No.</t>
  </si>
  <si>
    <t>Asset Classification</t>
  </si>
  <si>
    <t>Item | Brand | Model</t>
  </si>
  <si>
    <t>Serial No.</t>
  </si>
  <si>
    <t>Acquisition Cost</t>
  </si>
  <si>
    <t>Acquisition Date</t>
  </si>
  <si>
    <t>Issuance Date</t>
  </si>
  <si>
    <t>Location</t>
  </si>
  <si>
    <t>Accountable Person</t>
  </si>
  <si>
    <t>Fund Source</t>
  </si>
  <si>
    <t>ICT Equipment</t>
  </si>
  <si>
    <t>6K9JPG3</t>
  </si>
  <si>
    <t>DLV6QG3</t>
  </si>
  <si>
    <t>7NV6QG3</t>
  </si>
  <si>
    <t>5WW6QG3</t>
  </si>
  <si>
    <t>6XW6QG3</t>
  </si>
  <si>
    <t>9MV6QG3</t>
  </si>
  <si>
    <t>2L9JPG3</t>
  </si>
  <si>
    <t>7PV6QG3</t>
  </si>
  <si>
    <t>9L9JPG3</t>
  </si>
  <si>
    <t>DK9JPG3</t>
  </si>
  <si>
    <t>3N9JPG3</t>
  </si>
  <si>
    <t>6M9JPG3</t>
  </si>
  <si>
    <t>3NV6QG3</t>
  </si>
  <si>
    <t>9M9JPG3</t>
  </si>
  <si>
    <t>4NV6QG3</t>
  </si>
  <si>
    <t>8XW6QG3</t>
  </si>
  <si>
    <t>GNV6QG3</t>
  </si>
  <si>
    <t>2022 - 05 - 03 - 0059 - 001C</t>
  </si>
  <si>
    <t>2022 - 05 - 03 - 0060 - 001G</t>
  </si>
  <si>
    <t>2022 - 05 - 03 - 0061 - 001C</t>
  </si>
  <si>
    <t>2022 - 05 - 03 - 0062 - 001C</t>
  </si>
  <si>
    <t>2022 - 05 - 03 - 0063 - 001C</t>
  </si>
  <si>
    <t>2022 - 05 - 03 - 0064 - 001C</t>
  </si>
  <si>
    <t>2022 - 05 - 03 - 0065 - 001C</t>
  </si>
  <si>
    <t>2022 - 05 - 03 - 0066 - 001C</t>
  </si>
  <si>
    <t>2022 - 05 - 03 - 0067 - 001C</t>
  </si>
  <si>
    <t>2022 - 05 - 03 - 0068 - 001C</t>
  </si>
  <si>
    <t>2022 - 05 - 03 - 0069 - 001C</t>
  </si>
  <si>
    <t>2022 - 05 - 03 - 0070 - 001C</t>
  </si>
  <si>
    <t>2022 - 05 - 03 - 0071 - 001C</t>
  </si>
  <si>
    <t>2022 - 05 - 03 - 0072 - 001C</t>
  </si>
  <si>
    <t>2022 - 05 - 03 - 0073 - 001C</t>
  </si>
  <si>
    <t>2022 - 05 - 03 - 0074 - 001C</t>
  </si>
  <si>
    <t>2022 - 05 - 03 - 0075 - 001C</t>
  </si>
  <si>
    <t>2022 - 05 - 03 - 0076 - 001C</t>
  </si>
  <si>
    <t>PAR2022 - 01 - 0001</t>
  </si>
  <si>
    <t>PAR2022 - 01 - 0002</t>
  </si>
  <si>
    <t>001C - Information and Communication Technology Unit</t>
  </si>
  <si>
    <t xml:space="preserve">001G - General Services </t>
  </si>
  <si>
    <t>Jayson B. Antig</t>
  </si>
  <si>
    <t>Charlie P. Cabatan</t>
  </si>
  <si>
    <t>Central Office</t>
  </si>
  <si>
    <t>7K9JPG3</t>
  </si>
  <si>
    <t>HK9JPG3</t>
  </si>
  <si>
    <t>6K9JPG3 | 7K9JPG3 | 7NV6QG3 | 5WW6QG3 | 6XW6QG3 | 9MV6QG3 | 2L9JPG3 | 7PV6QG3 | 9L9JPG3 | DK9JPG3 | 3N9JPG3 | 6M9JPG3 | 3NV6QG3 | HK9JPG3 | 4NV6QG3 | 8XW6QG3 | GNV6QG3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</si>
</sst>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_-&quot;₱&quot;* #,##0.00_-;\-&quot;₱&quot;* #,##0.00_-;_-&quot;₱&quot;* &quot;-&quot;??_-;_-@_-"/>
    <numFmt numFmtId="165" formatCode="_-* #,##0.00_-;\-* #,##0.00_-;_-* &quot;-&quot;??_-;_-@_-"/>
    <numFmt numFmtId="166" formatCode="[$-409]mmmm\ d\,\ yyyy;@"/>
    <numFmt numFmtId="167" formatCode="_([$PHP]\ * #,##0.00_);_([$PHP]\ * \(#,##0.00\);_([$PHP]\ * &quot;-&quot;??_);_(@_)"/>
    <numFmt numFmtId="168" formatCode="0000"/>
    <numFmt numFmtId="169" formatCode="[$-3409]mmmm\ dd\,\ yyyy;@"/>
    <numFmt numFmtId="170" formatCode="mm/dd/yyyy;@"/>
    <numFmt numFmtId="171" formatCode="000."/>
    <numFmt numFmtId="172" formatCode="00"/>
    <numFmt numFmtId="174" formatCode="mm\.dd\.yyyy"/>
  </numFmts>
  <fonts count="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2"/>
      <color theme="1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sz val="11"/>
      <name val="Calibri Light"/>
      <family val="2"/>
      <scheme val="major"/>
    </font>
    <font>
      <i/>
      <sz val="11"/>
      <name val="Calibri Light"/>
      <family val="2"/>
      <scheme val="major"/>
    </font>
    <font>
      <i/>
      <u/>
      <sz val="11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8"/>
      <color theme="1"/>
      <name val="Cambria"/>
      <family val="1"/>
    </font>
    <font>
      <sz val="12"/>
      <color theme="1"/>
      <name val="Calibri"/>
      <family val="2"/>
      <scheme val="minor"/>
    </font>
    <font>
      <i/>
      <sz val="10"/>
      <color theme="1"/>
      <name val="Cambria"/>
      <family val="1"/>
    </font>
    <font>
      <sz val="10.5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b/>
      <sz val="11"/>
      <color theme="1"/>
      <name val="Cambria"/>
      <family val="1"/>
    </font>
    <font>
      <b/>
      <sz val="10"/>
      <color theme="1"/>
      <name val="Calibri Light"/>
      <family val="2"/>
      <scheme val="major"/>
    </font>
    <font>
      <i/>
      <sz val="9"/>
      <color theme="1"/>
      <name val="Cambria"/>
      <family val="1"/>
    </font>
    <font>
      <b/>
      <sz val="12"/>
      <color theme="1"/>
      <name val="Calibri "/>
    </font>
    <font>
      <b/>
      <sz val="11"/>
      <color theme="1"/>
      <name val="Calibri "/>
    </font>
    <font>
      <sz val="10"/>
      <name val="Calibri Light"/>
      <family val="2"/>
      <scheme val="major"/>
    </font>
    <font>
      <sz val="9"/>
      <name val="Calibri Light"/>
      <family val="2"/>
      <scheme val="major"/>
    </font>
    <font>
      <sz val="8"/>
      <color theme="1"/>
      <name val="Amasis MT Pro Light"/>
      <family val="1"/>
    </font>
    <font>
      <sz val="8"/>
      <name val="Calibri"/>
      <family val="2"/>
      <scheme val="minor"/>
    </font>
    <font>
      <sz val="10"/>
      <color theme="1"/>
      <name val="Amasis MT Pro Light"/>
      <family val="1"/>
    </font>
    <font>
      <sz val="11"/>
      <color theme="1"/>
      <name val="Amasis MT Pro Light"/>
      <family val="1"/>
    </font>
    <font>
      <sz val="9"/>
      <color theme="1"/>
      <name val="Amasis MT Pro Light"/>
      <family val="1"/>
    </font>
    <font>
      <i/>
      <sz val="8"/>
      <color theme="1"/>
      <name val="Amasis MT Pro Light"/>
      <family val="1"/>
    </font>
    <font>
      <sz val="5"/>
      <color theme="1"/>
      <name val="Calibri"/>
      <family val="2"/>
      <scheme val="minor"/>
    </font>
    <font>
      <sz val="5"/>
      <color theme="1"/>
      <name val="Amasis MT Pro Light"/>
      <family val="1"/>
    </font>
    <font>
      <sz val="4"/>
      <color theme="1"/>
      <name val="Amasis MT Pro Medium"/>
      <family val="1"/>
    </font>
    <font>
      <sz val="4"/>
      <color theme="1"/>
      <name val="Amasis MT Pro Light"/>
      <family val="1"/>
    </font>
    <font>
      <i/>
      <sz val="5"/>
      <color theme="1"/>
      <name val="Amasis MT Pro Light"/>
      <family val="1"/>
    </font>
    <font>
      <sz val="4"/>
      <color theme="1"/>
      <name val="Amasis MT Pro Black"/>
      <family val="1"/>
    </font>
    <font>
      <sz val="4"/>
      <color theme="1"/>
      <name val="Calibri"/>
      <family val="2"/>
      <scheme val="minor"/>
    </font>
    <font>
      <sz val="5"/>
      <color theme="7" tint="-0.249977111117893"/>
      <name val="Amasis MT Pro"/>
      <family val="1"/>
    </font>
    <font>
      <i/>
      <sz val="11"/>
      <color theme="1"/>
      <name val="Cambria"/>
      <family val="1"/>
    </font>
    <font>
      <b/>
      <sz val="16"/>
      <color theme="1"/>
      <name val="Amasis MT Pro"/>
      <family val="1"/>
    </font>
    <font>
      <b/>
      <sz val="10"/>
      <color theme="1"/>
      <name val="Calibri"/>
      <family val="2"/>
      <scheme val="minor"/>
    </font>
    <font>
      <b/>
      <sz val="9"/>
      <color theme="1"/>
      <name val="Amasis MT Pro Light"/>
      <family val="1"/>
    </font>
    <font>
      <b/>
      <sz val="10"/>
      <color theme="1"/>
      <name val="Amasis MT Pro Light"/>
      <family val="1"/>
    </font>
    <font>
      <sz val="5"/>
      <color theme="1"/>
      <name val="Calibri Light"/>
      <family val="2"/>
      <scheme val="major"/>
    </font>
    <font>
      <b/>
      <sz val="11"/>
      <color theme="1"/>
      <name val="Amasis MT Pro"/>
      <family val="1"/>
    </font>
    <font>
      <sz val="10"/>
      <color theme="1"/>
      <name val="Amasis MT Pro"/>
      <family val="1"/>
    </font>
    <font>
      <b/>
      <sz val="8"/>
      <color theme="1"/>
      <name val="Amasis MT Pro"/>
      <family val="1"/>
    </font>
    <font>
      <sz val="8"/>
      <color theme="1"/>
      <name val="Calibri Light"/>
      <family val="2"/>
      <scheme val="major"/>
    </font>
    <font>
      <sz val="8"/>
      <color theme="1"/>
      <name val="Calibri"/>
      <family val="2"/>
      <scheme val="minor"/>
    </font>
    <font>
      <sz val="8"/>
      <color theme="1"/>
      <name val="Aptos"/>
      <family val="2"/>
    </font>
    <font>
      <sz val="8"/>
      <name val="Aptos"/>
      <family val="2"/>
    </font>
    <font>
      <sz val="8"/>
      <color rgb="FFFF0000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8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hair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/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ouble">
        <color auto="1"/>
      </bottom>
      <diagonal/>
    </border>
    <border>
      <left/>
      <right style="medium">
        <color indexed="64"/>
      </right>
      <top/>
      <bottom style="double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double">
        <color auto="1"/>
      </bottom>
      <diagonal/>
    </border>
    <border>
      <left style="medium">
        <color indexed="64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/>
      <top style="double">
        <color auto="1"/>
      </top>
      <bottom style="dotted">
        <color auto="1"/>
      </bottom>
      <diagonal/>
    </border>
    <border>
      <left/>
      <right/>
      <top style="double">
        <color auto="1"/>
      </top>
      <bottom style="dotted">
        <color auto="1"/>
      </bottom>
      <diagonal/>
    </border>
    <border>
      <left/>
      <right style="thin">
        <color auto="1"/>
      </right>
      <top style="double">
        <color auto="1"/>
      </top>
      <bottom style="dotted">
        <color auto="1"/>
      </bottom>
      <diagonal/>
    </border>
    <border>
      <left/>
      <right style="medium">
        <color indexed="64"/>
      </right>
      <top style="double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/>
      <right style="medium">
        <color indexed="64"/>
      </right>
      <top style="dotted">
        <color auto="1"/>
      </top>
      <bottom style="dotted">
        <color auto="1"/>
      </bottom>
      <diagonal/>
    </border>
    <border>
      <left style="medium">
        <color indexed="64"/>
      </left>
      <right style="thin">
        <color auto="1"/>
      </right>
      <top style="dotted">
        <color auto="1"/>
      </top>
      <bottom/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dotted">
        <color auto="1"/>
      </top>
      <bottom/>
      <diagonal/>
    </border>
    <border>
      <left style="thin">
        <color auto="1"/>
      </left>
      <right/>
      <top style="thin">
        <color indexed="64"/>
      </top>
      <bottom style="double">
        <color auto="1"/>
      </bottom>
      <diagonal/>
    </border>
    <border>
      <left/>
      <right style="medium">
        <color indexed="64"/>
      </right>
      <top style="thin">
        <color indexed="64"/>
      </top>
      <bottom style="double">
        <color auto="1"/>
      </bottom>
      <diagonal/>
    </border>
    <border>
      <left style="medium">
        <color indexed="64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medium">
        <color indexed="64"/>
      </right>
      <top style="double">
        <color auto="1"/>
      </top>
      <bottom/>
      <diagonal/>
    </border>
    <border>
      <left/>
      <right/>
      <top/>
      <bottom style="dotted">
        <color auto="1"/>
      </bottom>
      <diagonal/>
    </border>
    <border>
      <left style="medium">
        <color indexed="64"/>
      </left>
      <right/>
      <top style="dotted">
        <color auto="1"/>
      </top>
      <bottom style="dotted">
        <color auto="1"/>
      </bottom>
      <diagonal/>
    </border>
    <border>
      <left style="medium">
        <color indexed="64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indexed="64"/>
      </left>
      <right/>
      <top/>
      <bottom style="dotted">
        <color auto="1"/>
      </bottom>
      <diagonal/>
    </border>
    <border>
      <left/>
      <right style="thin">
        <color auto="1"/>
      </right>
      <top/>
      <bottom style="dotted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332">
    <xf numFmtId="0" fontId="0" fillId="0" borderId="0" xfId="0"/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7" fillId="0" borderId="5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11" fillId="2" borderId="2" xfId="0" applyFont="1" applyFill="1" applyBorder="1" applyAlignment="1">
      <alignment vertical="center"/>
    </xf>
    <xf numFmtId="0" fontId="11" fillId="2" borderId="3" xfId="0" applyFont="1" applyFill="1" applyBorder="1" applyAlignment="1">
      <alignment vertical="center"/>
    </xf>
    <xf numFmtId="0" fontId="11" fillId="2" borderId="4" xfId="0" applyFont="1" applyFill="1" applyBorder="1" applyAlignment="1">
      <alignment vertical="center"/>
    </xf>
    <xf numFmtId="0" fontId="11" fillId="2" borderId="5" xfId="0" applyFont="1" applyFill="1" applyBorder="1" applyAlignment="1">
      <alignment vertical="center"/>
    </xf>
    <xf numFmtId="0" fontId="15" fillId="2" borderId="2" xfId="0" applyFont="1" applyFill="1" applyBorder="1" applyAlignment="1">
      <alignment horizontal="left" vertical="center"/>
    </xf>
    <xf numFmtId="0" fontId="15" fillId="2" borderId="2" xfId="0" applyFont="1" applyFill="1" applyBorder="1" applyAlignment="1">
      <alignment vertical="center"/>
    </xf>
    <xf numFmtId="0" fontId="15" fillId="2" borderId="0" xfId="0" applyFont="1" applyFill="1" applyAlignment="1">
      <alignment horizontal="left" vertical="center"/>
    </xf>
    <xf numFmtId="0" fontId="15" fillId="2" borderId="0" xfId="0" applyFont="1" applyFill="1" applyAlignment="1">
      <alignment vertical="center"/>
    </xf>
    <xf numFmtId="0" fontId="11" fillId="2" borderId="7" xfId="0" applyFont="1" applyFill="1" applyBorder="1" applyAlignment="1">
      <alignment vertical="center"/>
    </xf>
    <xf numFmtId="0" fontId="15" fillId="2" borderId="8" xfId="0" applyFont="1" applyFill="1" applyBorder="1" applyAlignment="1">
      <alignment horizontal="left" vertical="center"/>
    </xf>
    <xf numFmtId="0" fontId="15" fillId="2" borderId="8" xfId="0" applyFont="1" applyFill="1" applyBorder="1" applyAlignment="1">
      <alignment vertical="center"/>
    </xf>
    <xf numFmtId="0" fontId="11" fillId="2" borderId="9" xfId="0" applyFont="1" applyFill="1" applyBorder="1" applyAlignment="1">
      <alignment vertical="center"/>
    </xf>
    <xf numFmtId="0" fontId="4" fillId="2" borderId="8" xfId="0" applyFont="1" applyFill="1" applyBorder="1" applyAlignment="1">
      <alignment vertical="center"/>
    </xf>
    <xf numFmtId="0" fontId="11" fillId="2" borderId="8" xfId="0" applyFont="1" applyFill="1" applyBorder="1" applyAlignment="1">
      <alignment vertical="center"/>
    </xf>
    <xf numFmtId="0" fontId="17" fillId="2" borderId="1" xfId="0" applyFont="1" applyFill="1" applyBorder="1" applyAlignment="1">
      <alignment vertical="center"/>
    </xf>
    <xf numFmtId="0" fontId="19" fillId="2" borderId="8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left" vertical="center"/>
    </xf>
    <xf numFmtId="0" fontId="11" fillId="2" borderId="2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left" vertical="center" indent="1"/>
    </xf>
    <xf numFmtId="0" fontId="11" fillId="2" borderId="29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4" fillId="2" borderId="4" xfId="0" applyFont="1" applyFill="1" applyBorder="1" applyAlignment="1">
      <alignment horizontal="left" vertical="center" indent="1"/>
    </xf>
    <xf numFmtId="0" fontId="11" fillId="2" borderId="30" xfId="0" applyFont="1" applyFill="1" applyBorder="1" applyAlignment="1">
      <alignment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6" fillId="0" borderId="20" xfId="0" applyFont="1" applyBorder="1" applyAlignment="1">
      <alignment horizontal="center" vertical="center"/>
    </xf>
    <xf numFmtId="165" fontId="16" fillId="0" borderId="23" xfId="2" applyFont="1" applyBorder="1" applyAlignment="1">
      <alignment vertical="center"/>
    </xf>
    <xf numFmtId="165" fontId="16" fillId="0" borderId="16" xfId="2" applyFont="1" applyBorder="1" applyAlignment="1">
      <alignment vertical="center"/>
    </xf>
    <xf numFmtId="0" fontId="28" fillId="0" borderId="0" xfId="0" applyFont="1"/>
    <xf numFmtId="0" fontId="31" fillId="0" borderId="0" xfId="0" applyFont="1"/>
    <xf numFmtId="0" fontId="32" fillId="0" borderId="0" xfId="0" applyFont="1"/>
    <xf numFmtId="164" fontId="34" fillId="2" borderId="0" xfId="1" applyNumberFormat="1" applyFont="1" applyFill="1" applyBorder="1" applyAlignment="1">
      <alignment horizontal="left" vertical="center"/>
    </xf>
    <xf numFmtId="169" fontId="34" fillId="2" borderId="0" xfId="1" applyNumberFormat="1" applyFont="1" applyFill="1" applyBorder="1" applyAlignment="1">
      <alignment horizontal="left" vertical="center"/>
    </xf>
    <xf numFmtId="0" fontId="34" fillId="2" borderId="0" xfId="0" applyFont="1" applyFill="1" applyAlignment="1">
      <alignment horizontal="left"/>
    </xf>
    <xf numFmtId="0" fontId="31" fillId="2" borderId="1" xfId="0" applyFont="1" applyFill="1" applyBorder="1"/>
    <xf numFmtId="0" fontId="32" fillId="2" borderId="2" xfId="0" applyFont="1" applyFill="1" applyBorder="1"/>
    <xf numFmtId="0" fontId="31" fillId="2" borderId="2" xfId="0" applyFont="1" applyFill="1" applyBorder="1"/>
    <xf numFmtId="0" fontId="31" fillId="2" borderId="4" xfId="0" applyFont="1" applyFill="1" applyBorder="1"/>
    <xf numFmtId="0" fontId="32" fillId="2" borderId="0" xfId="0" applyFont="1" applyFill="1"/>
    <xf numFmtId="0" fontId="31" fillId="2" borderId="0" xfId="0" applyFont="1" applyFill="1"/>
    <xf numFmtId="0" fontId="31" fillId="2" borderId="7" xfId="0" applyFont="1" applyFill="1" applyBorder="1"/>
    <xf numFmtId="0" fontId="32" fillId="2" borderId="8" xfId="0" applyFont="1" applyFill="1" applyBorder="1"/>
    <xf numFmtId="0" fontId="31" fillId="2" borderId="8" xfId="0" applyFont="1" applyFill="1" applyBorder="1"/>
    <xf numFmtId="0" fontId="32" fillId="2" borderId="0" xfId="0" applyFont="1" applyFill="1" applyAlignment="1">
      <alignment vertical="center"/>
    </xf>
    <xf numFmtId="0" fontId="31" fillId="2" borderId="0" xfId="0" applyFont="1" applyFill="1" applyAlignment="1">
      <alignment vertical="center"/>
    </xf>
    <xf numFmtId="0" fontId="33" fillId="2" borderId="0" xfId="0" applyFont="1" applyFill="1" applyAlignment="1">
      <alignment vertical="center"/>
    </xf>
    <xf numFmtId="0" fontId="36" fillId="2" borderId="0" xfId="0" applyFont="1" applyFill="1" applyAlignment="1">
      <alignment horizontal="center" vertical="center"/>
    </xf>
    <xf numFmtId="0" fontId="34" fillId="2" borderId="0" xfId="0" applyFont="1" applyFill="1" applyAlignment="1">
      <alignment vertical="center"/>
    </xf>
    <xf numFmtId="0" fontId="36" fillId="2" borderId="0" xfId="0" applyFont="1" applyFill="1" applyAlignment="1">
      <alignment vertical="center"/>
    </xf>
    <xf numFmtId="0" fontId="37" fillId="2" borderId="0" xfId="0" applyFont="1" applyFill="1"/>
    <xf numFmtId="14" fontId="34" fillId="2" borderId="0" xfId="0" applyNumberFormat="1" applyFont="1" applyFill="1" applyAlignment="1">
      <alignment horizontal="left"/>
    </xf>
    <xf numFmtId="0" fontId="33" fillId="2" borderId="0" xfId="0" applyFont="1" applyFill="1" applyAlignment="1">
      <alignment vertical="top"/>
    </xf>
    <xf numFmtId="0" fontId="36" fillId="2" borderId="0" xfId="0" applyFont="1" applyFill="1" applyAlignment="1">
      <alignment horizontal="center" vertical="top"/>
    </xf>
    <xf numFmtId="170" fontId="34" fillId="2" borderId="0" xfId="0" applyNumberFormat="1" applyFont="1" applyFill="1" applyAlignment="1">
      <alignment horizontal="left"/>
    </xf>
    <xf numFmtId="0" fontId="4" fillId="2" borderId="1" xfId="0" applyFont="1" applyFill="1" applyBorder="1"/>
    <xf numFmtId="0" fontId="4" fillId="2" borderId="3" xfId="0" applyFont="1" applyFill="1" applyBorder="1"/>
    <xf numFmtId="0" fontId="4" fillId="0" borderId="0" xfId="0" applyFont="1"/>
    <xf numFmtId="0" fontId="4" fillId="2" borderId="4" xfId="0" applyFont="1" applyFill="1" applyBorder="1"/>
    <xf numFmtId="0" fontId="4" fillId="2" borderId="5" xfId="0" applyFont="1" applyFill="1" applyBorder="1"/>
    <xf numFmtId="0" fontId="41" fillId="2" borderId="0" xfId="0" applyFont="1" applyFill="1"/>
    <xf numFmtId="0" fontId="41" fillId="2" borderId="0" xfId="0" applyFont="1" applyFill="1" applyAlignment="1">
      <alignment horizontal="right"/>
    </xf>
    <xf numFmtId="0" fontId="4" fillId="2" borderId="0" xfId="0" applyFont="1" applyFill="1"/>
    <xf numFmtId="0" fontId="6" fillId="2" borderId="53" xfId="0" applyFont="1" applyFill="1" applyBorder="1" applyAlignment="1">
      <alignment horizontal="center" vertical="center"/>
    </xf>
    <xf numFmtId="0" fontId="27" fillId="2" borderId="67" xfId="0" applyFont="1" applyFill="1" applyBorder="1" applyAlignment="1">
      <alignment horizontal="left" vertical="top" indent="1"/>
    </xf>
    <xf numFmtId="166" fontId="27" fillId="2" borderId="68" xfId="0" applyNumberFormat="1" applyFont="1" applyFill="1" applyBorder="1" applyAlignment="1">
      <alignment horizontal="left" vertical="top" indent="1"/>
    </xf>
    <xf numFmtId="171" fontId="44" fillId="2" borderId="2" xfId="0" applyNumberFormat="1" applyFont="1" applyFill="1" applyBorder="1" applyAlignment="1">
      <alignment vertical="center"/>
    </xf>
    <xf numFmtId="0" fontId="20" fillId="2" borderId="5" xfId="0" applyFont="1" applyFill="1" applyBorder="1"/>
    <xf numFmtId="0" fontId="4" fillId="0" borderId="0" xfId="0" applyFont="1" applyAlignment="1">
      <alignment horizontal="right"/>
    </xf>
    <xf numFmtId="171" fontId="4" fillId="0" borderId="0" xfId="0" applyNumberFormat="1" applyFont="1"/>
    <xf numFmtId="0" fontId="25" fillId="2" borderId="56" xfId="0" applyFont="1" applyFill="1" applyBorder="1" applyAlignment="1">
      <alignment horizontal="center" vertical="top"/>
    </xf>
    <xf numFmtId="166" fontId="25" fillId="2" borderId="56" xfId="0" applyNumberFormat="1" applyFont="1" applyFill="1" applyBorder="1" applyAlignment="1">
      <alignment horizontal="center" vertical="top"/>
    </xf>
    <xf numFmtId="0" fontId="48" fillId="0" borderId="0" xfId="0" applyFont="1"/>
    <xf numFmtId="0" fontId="25" fillId="2" borderId="64" xfId="0" applyFont="1" applyFill="1" applyBorder="1" applyAlignment="1">
      <alignment horizontal="left" vertical="top" indent="1"/>
    </xf>
    <xf numFmtId="164" fontId="25" fillId="2" borderId="61" xfId="0" applyNumberFormat="1" applyFont="1" applyFill="1" applyBorder="1" applyAlignment="1">
      <alignment horizontal="right" vertical="top"/>
    </xf>
    <xf numFmtId="164" fontId="25" fillId="2" borderId="65" xfId="0" applyNumberFormat="1" applyFont="1" applyFill="1" applyBorder="1" applyAlignment="1">
      <alignment horizontal="right" vertical="top"/>
    </xf>
    <xf numFmtId="0" fontId="4" fillId="2" borderId="7" xfId="0" applyFont="1" applyFill="1" applyBorder="1" applyAlignment="1">
      <alignment vertical="top"/>
    </xf>
    <xf numFmtId="0" fontId="20" fillId="2" borderId="9" xfId="0" applyFont="1" applyFill="1" applyBorder="1" applyAlignment="1">
      <alignment vertical="top"/>
    </xf>
    <xf numFmtId="0" fontId="4" fillId="2" borderId="9" xfId="0" applyFont="1" applyFill="1" applyBorder="1" applyAlignment="1">
      <alignment vertical="top"/>
    </xf>
    <xf numFmtId="0" fontId="4" fillId="0" borderId="0" xfId="0" applyFont="1" applyAlignment="1">
      <alignment vertical="top"/>
    </xf>
    <xf numFmtId="0" fontId="27" fillId="2" borderId="78" xfId="0" applyFont="1" applyFill="1" applyBorder="1" applyAlignment="1">
      <alignment horizontal="left" vertical="top" indent="1"/>
    </xf>
    <xf numFmtId="166" fontId="43" fillId="2" borderId="79" xfId="0" applyNumberFormat="1" applyFont="1" applyFill="1" applyBorder="1" applyAlignment="1">
      <alignment horizontal="left" vertical="top" indent="1"/>
    </xf>
    <xf numFmtId="0" fontId="49" fillId="0" borderId="0" xfId="0" applyFont="1"/>
    <xf numFmtId="0" fontId="50" fillId="0" borderId="0" xfId="0" applyFont="1"/>
    <xf numFmtId="0" fontId="50" fillId="0" borderId="0" xfId="0" applyFont="1" applyAlignment="1">
      <alignment horizontal="center" vertical="center" wrapText="1"/>
    </xf>
    <xf numFmtId="0" fontId="50" fillId="0" borderId="0" xfId="0" applyFont="1" applyAlignment="1">
      <alignment horizontal="left" vertical="center" wrapText="1" indent="1"/>
    </xf>
    <xf numFmtId="0" fontId="51" fillId="0" borderId="0" xfId="0" applyFont="1" applyAlignment="1">
      <alignment horizontal="center" vertical="center"/>
    </xf>
    <xf numFmtId="0" fontId="50" fillId="0" borderId="0" xfId="0" applyFont="1" applyAlignment="1">
      <alignment horizontal="center" vertical="center"/>
    </xf>
    <xf numFmtId="171" fontId="51" fillId="0" borderId="0" xfId="0" applyNumberFormat="1" applyFont="1" applyAlignment="1">
      <alignment horizontal="center" vertical="center"/>
    </xf>
    <xf numFmtId="0" fontId="51" fillId="0" borderId="0" xfId="0" applyFont="1" applyAlignment="1">
      <alignment horizontal="left" vertical="center" indent="1"/>
    </xf>
    <xf numFmtId="49" fontId="51" fillId="0" borderId="0" xfId="0" applyNumberFormat="1" applyFont="1" applyAlignment="1">
      <alignment horizontal="center" vertical="center"/>
    </xf>
    <xf numFmtId="168" fontId="51" fillId="0" borderId="0" xfId="0" applyNumberFormat="1" applyFont="1" applyAlignment="1">
      <alignment horizontal="center" vertical="center"/>
    </xf>
    <xf numFmtId="172" fontId="51" fillId="0" borderId="0" xfId="0" applyNumberFormat="1" applyFont="1" applyAlignment="1">
      <alignment horizontal="center" vertical="center"/>
    </xf>
    <xf numFmtId="166" fontId="51" fillId="0" borderId="0" xfId="0" applyNumberFormat="1" applyFont="1" applyAlignment="1">
      <alignment horizontal="center" vertical="center"/>
    </xf>
    <xf numFmtId="43" fontId="51" fillId="0" borderId="0" xfId="1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25" fillId="2" borderId="80" xfId="0" applyFont="1" applyFill="1" applyBorder="1" applyAlignment="1">
      <alignment horizontal="right" vertical="top" indent="1"/>
    </xf>
    <xf numFmtId="0" fontId="25" fillId="2" borderId="81" xfId="0" applyFont="1" applyFill="1" applyBorder="1" applyAlignment="1">
      <alignment horizontal="right" vertical="top" indent="1"/>
    </xf>
    <xf numFmtId="164" fontId="25" fillId="2" borderId="61" xfId="0" applyNumberFormat="1" applyFont="1" applyFill="1" applyBorder="1" applyAlignment="1">
      <alignment vertical="top"/>
    </xf>
    <xf numFmtId="164" fontId="25" fillId="2" borderId="65" xfId="0" applyNumberFormat="1" applyFont="1" applyFill="1" applyBorder="1" applyAlignment="1">
      <alignment vertical="top"/>
    </xf>
    <xf numFmtId="0" fontId="38" fillId="3" borderId="3" xfId="0" applyFont="1" applyFill="1" applyBorder="1" applyAlignment="1">
      <alignment horizontal="center" vertical="center" textRotation="90"/>
    </xf>
    <xf numFmtId="0" fontId="38" fillId="3" borderId="5" xfId="0" applyFont="1" applyFill="1" applyBorder="1" applyAlignment="1">
      <alignment horizontal="center" vertical="center" textRotation="90"/>
    </xf>
    <xf numFmtId="0" fontId="38" fillId="3" borderId="9" xfId="0" applyFont="1" applyFill="1" applyBorder="1" applyAlignment="1">
      <alignment horizontal="center" vertical="center" textRotation="90"/>
    </xf>
    <xf numFmtId="0" fontId="34" fillId="2" borderId="0" xfId="0" applyFont="1" applyFill="1" applyAlignment="1">
      <alignment vertical="center"/>
    </xf>
    <xf numFmtId="0" fontId="34" fillId="2" borderId="0" xfId="0" applyFont="1" applyFill="1" applyAlignment="1">
      <alignment vertical="top" wrapText="1"/>
    </xf>
    <xf numFmtId="0" fontId="34" fillId="2" borderId="0" xfId="0" applyFont="1" applyFill="1" applyAlignment="1">
      <alignment horizontal="left" vertical="center"/>
    </xf>
    <xf numFmtId="0" fontId="35" fillId="2" borderId="0" xfId="0" applyFont="1" applyFill="1" applyAlignment="1">
      <alignment horizontal="center" vertical="center"/>
    </xf>
    <xf numFmtId="0" fontId="34" fillId="2" borderId="0" xfId="0" applyFont="1" applyFill="1" applyAlignment="1">
      <alignment vertical="center" wrapText="1"/>
    </xf>
    <xf numFmtId="0" fontId="39" fillId="2" borderId="2" xfId="0" applyFont="1" applyFill="1" applyBorder="1" applyAlignment="1">
      <alignment horizontal="right"/>
    </xf>
    <xf numFmtId="0" fontId="4" fillId="2" borderId="0" xfId="0" applyFont="1" applyFill="1" applyAlignment="1">
      <alignment horizontal="center" vertical="center"/>
    </xf>
    <xf numFmtId="0" fontId="40" fillId="2" borderId="0" xfId="0" applyFont="1" applyFill="1" applyAlignment="1">
      <alignment horizontal="center" vertical="center"/>
    </xf>
    <xf numFmtId="0" fontId="4" fillId="2" borderId="6" xfId="0" applyFont="1" applyFill="1" applyBorder="1"/>
    <xf numFmtId="0" fontId="4" fillId="2" borderId="0" xfId="0" applyFont="1" applyFill="1" applyAlignment="1">
      <alignment horizontal="center"/>
    </xf>
    <xf numFmtId="0" fontId="25" fillId="2" borderId="76" xfId="0" applyFont="1" applyFill="1" applyBorder="1" applyAlignment="1">
      <alignment horizontal="right" vertical="top" indent="1"/>
    </xf>
    <xf numFmtId="0" fontId="25" fillId="2" borderId="63" xfId="0" applyFont="1" applyFill="1" applyBorder="1" applyAlignment="1">
      <alignment horizontal="right" vertical="top" indent="1"/>
    </xf>
    <xf numFmtId="164" fontId="25" fillId="2" borderId="61" xfId="0" applyNumberFormat="1" applyFont="1" applyFill="1" applyBorder="1" applyAlignment="1">
      <alignment horizontal="right" vertical="top"/>
    </xf>
    <xf numFmtId="164" fontId="25" fillId="2" borderId="65" xfId="0" applyNumberFormat="1" applyFont="1" applyFill="1" applyBorder="1" applyAlignment="1">
      <alignment horizontal="right" vertical="top"/>
    </xf>
    <xf numFmtId="0" fontId="30" fillId="2" borderId="61" xfId="0" applyFont="1" applyFill="1" applyBorder="1" applyAlignment="1">
      <alignment horizontal="left" vertical="top" wrapText="1" indent="1"/>
    </xf>
    <xf numFmtId="0" fontId="30" fillId="2" borderId="62" xfId="0" applyFont="1" applyFill="1" applyBorder="1" applyAlignment="1">
      <alignment horizontal="left" vertical="top" wrapText="1" indent="1"/>
    </xf>
    <xf numFmtId="0" fontId="30" fillId="2" borderId="63" xfId="0" applyFont="1" applyFill="1" applyBorder="1" applyAlignment="1">
      <alignment horizontal="left" vertical="top" wrapText="1" indent="1"/>
    </xf>
    <xf numFmtId="0" fontId="25" fillId="2" borderId="55" xfId="0" applyFont="1" applyFill="1" applyBorder="1" applyAlignment="1">
      <alignment horizontal="right" vertical="top" indent="1"/>
    </xf>
    <xf numFmtId="0" fontId="25" fillId="2" borderId="56" xfId="0" applyFont="1" applyFill="1" applyBorder="1" applyAlignment="1">
      <alignment horizontal="right" vertical="top" indent="1"/>
    </xf>
    <xf numFmtId="0" fontId="4" fillId="2" borderId="6" xfId="0" applyFont="1" applyFill="1" applyBorder="1" applyAlignment="1">
      <alignment horizontal="left"/>
    </xf>
    <xf numFmtId="0" fontId="4" fillId="2" borderId="6" xfId="0" applyFont="1" applyFill="1" applyBorder="1" applyAlignment="1">
      <alignment horizontal="center"/>
    </xf>
    <xf numFmtId="0" fontId="6" fillId="2" borderId="52" xfId="0" applyFont="1" applyFill="1" applyBorder="1" applyAlignment="1">
      <alignment horizontal="center" vertical="center"/>
    </xf>
    <xf numFmtId="0" fontId="6" fillId="2" borderId="53" xfId="0" applyFont="1" applyFill="1" applyBorder="1" applyAlignment="1">
      <alignment horizontal="center" vertical="center"/>
    </xf>
    <xf numFmtId="0" fontId="6" fillId="2" borderId="54" xfId="0" applyFont="1" applyFill="1" applyBorder="1" applyAlignment="1">
      <alignment horizontal="center" vertical="center"/>
    </xf>
    <xf numFmtId="0" fontId="47" fillId="2" borderId="57" xfId="0" applyFont="1" applyFill="1" applyBorder="1" applyAlignment="1">
      <alignment horizontal="left" vertical="top" wrapText="1" indent="1"/>
    </xf>
    <xf numFmtId="0" fontId="47" fillId="2" borderId="58" xfId="0" applyFont="1" applyFill="1" applyBorder="1" applyAlignment="1">
      <alignment horizontal="left" vertical="top" wrapText="1" indent="1"/>
    </xf>
    <xf numFmtId="0" fontId="47" fillId="2" borderId="59" xfId="0" applyFont="1" applyFill="1" applyBorder="1" applyAlignment="1">
      <alignment horizontal="left" vertical="top" wrapText="1" indent="1"/>
    </xf>
    <xf numFmtId="164" fontId="25" fillId="2" borderId="57" xfId="0" applyNumberFormat="1" applyFont="1" applyFill="1" applyBorder="1" applyAlignment="1">
      <alignment horizontal="right" vertical="top"/>
    </xf>
    <xf numFmtId="164" fontId="25" fillId="2" borderId="60" xfId="0" applyNumberFormat="1" applyFont="1" applyFill="1" applyBorder="1" applyAlignment="1">
      <alignment horizontal="right" vertical="top"/>
    </xf>
    <xf numFmtId="0" fontId="25" fillId="2" borderId="76" xfId="0" applyFont="1" applyFill="1" applyBorder="1" applyAlignment="1">
      <alignment horizontal="center" vertical="top"/>
    </xf>
    <xf numFmtId="0" fontId="25" fillId="2" borderId="62" xfId="0" applyFont="1" applyFill="1" applyBorder="1" applyAlignment="1">
      <alignment horizontal="center" vertical="top"/>
    </xf>
    <xf numFmtId="0" fontId="25" fillId="2" borderId="65" xfId="0" applyFont="1" applyFill="1" applyBorder="1" applyAlignment="1">
      <alignment horizontal="center" vertical="top"/>
    </xf>
    <xf numFmtId="164" fontId="27" fillId="2" borderId="70" xfId="0" applyNumberFormat="1" applyFont="1" applyFill="1" applyBorder="1" applyAlignment="1">
      <alignment horizontal="right" vertical="top"/>
    </xf>
    <xf numFmtId="164" fontId="27" fillId="2" borderId="71" xfId="0" applyNumberFormat="1" applyFont="1" applyFill="1" applyBorder="1" applyAlignment="1">
      <alignment horizontal="right" vertical="top"/>
    </xf>
    <xf numFmtId="0" fontId="27" fillId="2" borderId="72" xfId="0" applyFont="1" applyFill="1" applyBorder="1" applyAlignment="1">
      <alignment horizontal="center" vertical="top"/>
    </xf>
    <xf numFmtId="0" fontId="27" fillId="2" borderId="73" xfId="0" applyFont="1" applyFill="1" applyBorder="1" applyAlignment="1">
      <alignment horizontal="center" vertical="top"/>
    </xf>
    <xf numFmtId="0" fontId="27" fillId="2" borderId="74" xfId="0" applyFont="1" applyFill="1" applyBorder="1" applyAlignment="1">
      <alignment horizontal="center" vertical="top"/>
    </xf>
    <xf numFmtId="0" fontId="27" fillId="2" borderId="4" xfId="0" applyFont="1" applyFill="1" applyBorder="1" applyAlignment="1">
      <alignment horizontal="center" vertical="top"/>
    </xf>
    <xf numFmtId="0" fontId="27" fillId="2" borderId="0" xfId="0" applyFont="1" applyFill="1" applyAlignment="1">
      <alignment horizontal="center" vertical="top"/>
    </xf>
    <xf numFmtId="0" fontId="27" fillId="2" borderId="5" xfId="0" applyFont="1" applyFill="1" applyBorder="1" applyAlignment="1">
      <alignment horizontal="center" vertical="top"/>
    </xf>
    <xf numFmtId="0" fontId="27" fillId="2" borderId="50" xfId="0" applyFont="1" applyFill="1" applyBorder="1" applyAlignment="1">
      <alignment horizontal="center" vertical="top"/>
    </xf>
    <xf numFmtId="0" fontId="27" fillId="2" borderId="10" xfId="0" applyFont="1" applyFill="1" applyBorder="1" applyAlignment="1">
      <alignment horizontal="center" vertical="top"/>
    </xf>
    <xf numFmtId="0" fontId="27" fillId="2" borderId="51" xfId="0" applyFont="1" applyFill="1" applyBorder="1" applyAlignment="1">
      <alignment horizontal="center" vertical="top"/>
    </xf>
    <xf numFmtId="0" fontId="2" fillId="2" borderId="47" xfId="0" applyFont="1" applyFill="1" applyBorder="1" applyAlignment="1">
      <alignment horizontal="center" vertical="center"/>
    </xf>
    <xf numFmtId="0" fontId="2" fillId="2" borderId="48" xfId="0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horizontal="center" vertical="center"/>
    </xf>
    <xf numFmtId="0" fontId="6" fillId="2" borderId="2" xfId="0" applyFont="1" applyFill="1" applyBorder="1"/>
    <xf numFmtId="0" fontId="27" fillId="2" borderId="66" xfId="0" applyFont="1" applyFill="1" applyBorder="1" applyAlignment="1">
      <alignment horizontal="left" vertical="top" indent="1"/>
    </xf>
    <xf numFmtId="0" fontId="27" fillId="2" borderId="67" xfId="0" applyFont="1" applyFill="1" applyBorder="1" applyAlignment="1">
      <alignment horizontal="left" vertical="top" indent="1"/>
    </xf>
    <xf numFmtId="0" fontId="42" fillId="2" borderId="67" xfId="0" applyFont="1" applyFill="1" applyBorder="1" applyAlignment="1">
      <alignment horizontal="left" vertical="top" indent="1"/>
    </xf>
    <xf numFmtId="0" fontId="29" fillId="2" borderId="67" xfId="0" applyFont="1" applyFill="1" applyBorder="1" applyAlignment="1">
      <alignment horizontal="left" vertical="top" indent="1"/>
    </xf>
    <xf numFmtId="0" fontId="27" fillId="2" borderId="69" xfId="0" applyFont="1" applyFill="1" applyBorder="1" applyAlignment="1">
      <alignment horizontal="left" vertical="top" indent="1"/>
    </xf>
    <xf numFmtId="0" fontId="20" fillId="2" borderId="8" xfId="0" applyFont="1" applyFill="1" applyBorder="1" applyAlignment="1">
      <alignment horizontal="center" vertical="top"/>
    </xf>
    <xf numFmtId="0" fontId="46" fillId="2" borderId="75" xfId="0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166" fontId="46" fillId="2" borderId="75" xfId="0" applyNumberFormat="1" applyFont="1" applyFill="1" applyBorder="1" applyAlignment="1">
      <alignment horizontal="center" vertical="center"/>
    </xf>
    <xf numFmtId="0" fontId="4" fillId="2" borderId="0" xfId="0" applyFont="1" applyFill="1"/>
    <xf numFmtId="0" fontId="45" fillId="2" borderId="75" xfId="0" applyFont="1" applyFill="1" applyBorder="1" applyAlignment="1">
      <alignment horizontal="center" vertical="center"/>
    </xf>
    <xf numFmtId="0" fontId="27" fillId="2" borderId="77" xfId="0" applyFont="1" applyFill="1" applyBorder="1" applyAlignment="1">
      <alignment horizontal="left" vertical="top" indent="1"/>
    </xf>
    <xf numFmtId="0" fontId="27" fillId="2" borderId="78" xfId="0" applyFont="1" applyFill="1" applyBorder="1" applyAlignment="1">
      <alignment horizontal="left" vertical="top" indent="1"/>
    </xf>
    <xf numFmtId="0" fontId="16" fillId="0" borderId="22" xfId="0" applyFont="1" applyBorder="1" applyAlignment="1">
      <alignment horizontal="right" vertical="center" indent="1"/>
    </xf>
    <xf numFmtId="0" fontId="16" fillId="0" borderId="23" xfId="0" applyFont="1" applyBorder="1" applyAlignment="1">
      <alignment horizontal="right" vertical="center" indent="1"/>
    </xf>
    <xf numFmtId="0" fontId="16" fillId="0" borderId="23" xfId="0" applyFont="1" applyBorder="1" applyAlignment="1">
      <alignment horizontal="left" vertical="center" indent="1"/>
    </xf>
    <xf numFmtId="165" fontId="16" fillId="0" borderId="23" xfId="2" applyFont="1" applyBorder="1" applyAlignment="1">
      <alignment vertical="center"/>
    </xf>
    <xf numFmtId="165" fontId="16" fillId="0" borderId="24" xfId="2" applyFont="1" applyBorder="1" applyAlignment="1">
      <alignment vertical="center"/>
    </xf>
    <xf numFmtId="0" fontId="6" fillId="0" borderId="3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6" fillId="0" borderId="17" xfId="0" applyFont="1" applyBorder="1" applyAlignment="1">
      <alignment horizontal="right" vertical="center"/>
    </xf>
    <xf numFmtId="0" fontId="6" fillId="0" borderId="18" xfId="0" applyFont="1" applyBorder="1" applyAlignment="1">
      <alignment horizontal="right" vertical="center"/>
    </xf>
    <xf numFmtId="0" fontId="6" fillId="0" borderId="26" xfId="0" applyFont="1" applyBorder="1" applyAlignment="1">
      <alignment horizontal="right" vertical="center"/>
    </xf>
    <xf numFmtId="167" fontId="4" fillId="0" borderId="27" xfId="2" applyNumberFormat="1" applyFont="1" applyBorder="1" applyAlignment="1">
      <alignment vertical="center"/>
    </xf>
    <xf numFmtId="167" fontId="4" fillId="0" borderId="28" xfId="2" applyNumberFormat="1" applyFont="1" applyBorder="1" applyAlignment="1">
      <alignment vertical="center"/>
    </xf>
    <xf numFmtId="0" fontId="3" fillId="0" borderId="23" xfId="0" applyFont="1" applyBorder="1" applyAlignment="1">
      <alignment horizontal="left" vertical="center" wrapText="1" indent="1"/>
    </xf>
    <xf numFmtId="0" fontId="3" fillId="0" borderId="13" xfId="0" applyFont="1" applyBorder="1" applyAlignment="1">
      <alignment horizontal="left" vertical="center" wrapText="1" indent="3"/>
    </xf>
    <xf numFmtId="0" fontId="3" fillId="0" borderId="14" xfId="0" applyFont="1" applyBorder="1" applyAlignment="1">
      <alignment horizontal="left" vertical="center" wrapText="1" indent="3"/>
    </xf>
    <xf numFmtId="0" fontId="3" fillId="0" borderId="12" xfId="0" applyFont="1" applyBorder="1" applyAlignment="1">
      <alignment horizontal="left" vertical="center" wrapText="1" indent="3"/>
    </xf>
    <xf numFmtId="0" fontId="24" fillId="0" borderId="13" xfId="0" applyFont="1" applyBorder="1" applyAlignment="1">
      <alignment horizontal="left" vertical="center" wrapText="1" indent="2"/>
    </xf>
    <xf numFmtId="0" fontId="24" fillId="0" borderId="14" xfId="0" applyFont="1" applyBorder="1" applyAlignment="1">
      <alignment horizontal="left" vertical="center" wrapText="1" indent="2"/>
    </xf>
    <xf numFmtId="0" fontId="24" fillId="0" borderId="12" xfId="0" applyFont="1" applyBorder="1" applyAlignment="1">
      <alignment horizontal="left" vertical="center" wrapText="1" indent="2"/>
    </xf>
    <xf numFmtId="0" fontId="3" fillId="0" borderId="13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24" fillId="0" borderId="13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left" vertical="center" wrapText="1"/>
    </xf>
    <xf numFmtId="0" fontId="24" fillId="0" borderId="12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166" fontId="4" fillId="0" borderId="6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23" fillId="0" borderId="19" xfId="0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3" fillId="0" borderId="40" xfId="0" applyFont="1" applyBorder="1" applyAlignment="1">
      <alignment horizontal="left" vertical="center" wrapText="1"/>
    </xf>
    <xf numFmtId="0" fontId="3" fillId="0" borderId="38" xfId="0" applyFont="1" applyBorder="1" applyAlignment="1">
      <alignment horizontal="left" vertical="center" wrapText="1"/>
    </xf>
    <xf numFmtId="0" fontId="3" fillId="0" borderId="39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165" fontId="16" fillId="0" borderId="16" xfId="2" applyFont="1" applyBorder="1" applyAlignment="1">
      <alignment vertical="center"/>
    </xf>
    <xf numFmtId="165" fontId="16" fillId="0" borderId="25" xfId="2" applyFont="1" applyBorder="1" applyAlignment="1">
      <alignment vertical="center"/>
    </xf>
    <xf numFmtId="0" fontId="16" fillId="2" borderId="11" xfId="0" applyFont="1" applyFill="1" applyBorder="1" applyAlignment="1">
      <alignment horizontal="left" vertical="center" indent="1"/>
    </xf>
    <xf numFmtId="0" fontId="16" fillId="2" borderId="14" xfId="0" applyFont="1" applyFill="1" applyBorder="1" applyAlignment="1">
      <alignment horizontal="left" vertical="center" indent="1"/>
    </xf>
    <xf numFmtId="0" fontId="16" fillId="2" borderId="12" xfId="0" applyFont="1" applyFill="1" applyBorder="1" applyAlignment="1">
      <alignment horizontal="left" vertical="center" indent="1"/>
    </xf>
    <xf numFmtId="0" fontId="16" fillId="2" borderId="23" xfId="0" applyFont="1" applyFill="1" applyBorder="1" applyAlignment="1">
      <alignment horizontal="left" vertical="center" indent="1"/>
    </xf>
    <xf numFmtId="0" fontId="16" fillId="2" borderId="13" xfId="0" applyFont="1" applyFill="1" applyBorder="1" applyAlignment="1">
      <alignment horizontal="left" vertical="center" indent="1"/>
    </xf>
    <xf numFmtId="0" fontId="16" fillId="2" borderId="23" xfId="0" applyFont="1" applyFill="1" applyBorder="1" applyAlignment="1">
      <alignment horizontal="right" vertical="center" indent="1"/>
    </xf>
    <xf numFmtId="43" fontId="16" fillId="2" borderId="23" xfId="1" applyFont="1" applyFill="1" applyBorder="1" applyAlignment="1">
      <alignment horizontal="left" vertical="center" indent="1"/>
    </xf>
    <xf numFmtId="43" fontId="16" fillId="2" borderId="13" xfId="1" applyFont="1" applyFill="1" applyBorder="1" applyAlignment="1">
      <alignment horizontal="left" vertical="center" indent="1"/>
    </xf>
    <xf numFmtId="43" fontId="16" fillId="2" borderId="15" xfId="1" applyFont="1" applyFill="1" applyBorder="1" applyAlignment="1">
      <alignment horizontal="left" vertical="center" indent="1"/>
    </xf>
    <xf numFmtId="0" fontId="2" fillId="2" borderId="13" xfId="0" applyFont="1" applyFill="1" applyBorder="1" applyAlignment="1">
      <alignment horizontal="left" vertical="center" indent="3"/>
    </xf>
    <xf numFmtId="0" fontId="2" fillId="2" borderId="12" xfId="0" applyFont="1" applyFill="1" applyBorder="1" applyAlignment="1">
      <alignment horizontal="left" vertical="center" indent="3"/>
    </xf>
    <xf numFmtId="0" fontId="16" fillId="2" borderId="13" xfId="0" applyFont="1" applyFill="1" applyBorder="1" applyAlignment="1">
      <alignment horizontal="right" vertical="center" indent="1"/>
    </xf>
    <xf numFmtId="0" fontId="16" fillId="2" borderId="12" xfId="0" applyFont="1" applyFill="1" applyBorder="1" applyAlignment="1">
      <alignment horizontal="right" vertical="center" indent="1"/>
    </xf>
    <xf numFmtId="0" fontId="13" fillId="2" borderId="13" xfId="0" applyFont="1" applyFill="1" applyBorder="1" applyAlignment="1">
      <alignment horizontal="left" vertical="center" indent="3"/>
    </xf>
    <xf numFmtId="0" fontId="13" fillId="2" borderId="12" xfId="0" applyFont="1" applyFill="1" applyBorder="1" applyAlignment="1">
      <alignment horizontal="left" vertical="center" indent="3"/>
    </xf>
    <xf numFmtId="0" fontId="23" fillId="0" borderId="13" xfId="0" applyFont="1" applyBorder="1" applyAlignment="1">
      <alignment horizontal="left" vertical="center" wrapText="1" indent="2"/>
    </xf>
    <xf numFmtId="0" fontId="23" fillId="0" borderId="12" xfId="0" applyFont="1" applyBorder="1" applyAlignment="1">
      <alignment horizontal="left" vertical="center" wrapText="1" indent="2"/>
    </xf>
    <xf numFmtId="0" fontId="23" fillId="0" borderId="13" xfId="0" applyFont="1" applyBorder="1" applyAlignment="1">
      <alignment horizontal="left" vertical="center" wrapText="1" indent="1"/>
    </xf>
    <xf numFmtId="0" fontId="23" fillId="0" borderId="12" xfId="0" applyFont="1" applyBorder="1" applyAlignment="1">
      <alignment horizontal="left" vertical="center" wrapText="1" indent="1"/>
    </xf>
    <xf numFmtId="0" fontId="16" fillId="0" borderId="13" xfId="0" applyFont="1" applyBorder="1" applyAlignment="1">
      <alignment horizontal="left" vertical="center" wrapText="1" indent="1"/>
    </xf>
    <xf numFmtId="0" fontId="16" fillId="0" borderId="12" xfId="0" applyFont="1" applyBorder="1" applyAlignment="1">
      <alignment horizontal="left" vertical="center" wrapText="1" indent="1"/>
    </xf>
    <xf numFmtId="43" fontId="16" fillId="2" borderId="12" xfId="1" applyFont="1" applyFill="1" applyBorder="1" applyAlignment="1">
      <alignment horizontal="left" vertical="center" indent="1"/>
    </xf>
    <xf numFmtId="0" fontId="23" fillId="0" borderId="13" xfId="0" applyFont="1" applyBorder="1" applyAlignment="1">
      <alignment horizontal="left" wrapText="1" indent="1"/>
    </xf>
    <xf numFmtId="0" fontId="23" fillId="0" borderId="12" xfId="0" applyFont="1" applyBorder="1" applyAlignment="1">
      <alignment horizontal="left" wrapText="1" indent="1"/>
    </xf>
    <xf numFmtId="0" fontId="22" fillId="2" borderId="4" xfId="0" applyFont="1" applyFill="1" applyBorder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43" fontId="11" fillId="2" borderId="47" xfId="1" applyFont="1" applyFill="1" applyBorder="1" applyAlignment="1">
      <alignment horizontal="right" vertical="center"/>
    </xf>
    <xf numFmtId="43" fontId="11" fillId="2" borderId="48" xfId="1" applyFont="1" applyFill="1" applyBorder="1" applyAlignment="1">
      <alignment horizontal="right" vertical="center"/>
    </xf>
    <xf numFmtId="43" fontId="11" fillId="2" borderId="48" xfId="1" applyFont="1" applyFill="1" applyBorder="1" applyAlignment="1">
      <alignment vertical="center"/>
    </xf>
    <xf numFmtId="43" fontId="11" fillId="2" borderId="49" xfId="1" applyFont="1" applyFill="1" applyBorder="1" applyAlignment="1">
      <alignment vertical="center"/>
    </xf>
    <xf numFmtId="0" fontId="18" fillId="2" borderId="2" xfId="0" applyFont="1" applyFill="1" applyBorder="1" applyAlignment="1">
      <alignment horizontal="center" vertical="center" wrapText="1"/>
    </xf>
    <xf numFmtId="0" fontId="13" fillId="2" borderId="29" xfId="0" applyFont="1" applyFill="1" applyBorder="1" applyAlignment="1">
      <alignment horizontal="left" vertical="center"/>
    </xf>
    <xf numFmtId="0" fontId="11" fillId="2" borderId="8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11" fillId="2" borderId="29" xfId="0" applyFont="1" applyFill="1" applyBorder="1" applyAlignment="1">
      <alignment vertical="center"/>
    </xf>
    <xf numFmtId="0" fontId="11" fillId="2" borderId="30" xfId="0" applyFont="1" applyFill="1" applyBorder="1" applyAlignment="1">
      <alignment vertical="center"/>
    </xf>
    <xf numFmtId="0" fontId="11" fillId="2" borderId="4" xfId="0" applyFont="1" applyFill="1" applyBorder="1" applyAlignment="1">
      <alignment vertical="center"/>
    </xf>
    <xf numFmtId="0" fontId="11" fillId="2" borderId="0" xfId="0" applyFont="1" applyFill="1" applyAlignment="1">
      <alignment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43" fontId="21" fillId="2" borderId="10" xfId="0" applyNumberFormat="1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center" vertical="center"/>
    </xf>
    <xf numFmtId="166" fontId="4" fillId="2" borderId="0" xfId="0" applyNumberFormat="1" applyFont="1" applyFill="1" applyAlignment="1">
      <alignment horizontal="center" vertical="center"/>
    </xf>
    <xf numFmtId="0" fontId="10" fillId="2" borderId="30" xfId="0" applyFont="1" applyFill="1" applyBorder="1" applyAlignment="1">
      <alignment horizontal="center" vertical="center"/>
    </xf>
    <xf numFmtId="0" fontId="16" fillId="2" borderId="37" xfId="0" applyFont="1" applyFill="1" applyBorder="1" applyAlignment="1">
      <alignment horizontal="left" vertical="center" indent="1"/>
    </xf>
    <xf numFmtId="0" fontId="16" fillId="2" borderId="38" xfId="0" applyFont="1" applyFill="1" applyBorder="1" applyAlignment="1">
      <alignment horizontal="left" vertical="center" indent="1"/>
    </xf>
    <xf numFmtId="0" fontId="16" fillId="2" borderId="39" xfId="0" applyFont="1" applyFill="1" applyBorder="1" applyAlignment="1">
      <alignment horizontal="left" vertical="center" indent="1"/>
    </xf>
    <xf numFmtId="0" fontId="16" fillId="0" borderId="40" xfId="0" applyFont="1" applyBorder="1" applyAlignment="1">
      <alignment horizontal="left" vertical="center" wrapText="1" indent="1"/>
    </xf>
    <xf numFmtId="0" fontId="16" fillId="0" borderId="39" xfId="0" applyFont="1" applyBorder="1" applyAlignment="1">
      <alignment horizontal="left" vertical="center" wrapText="1" indent="1"/>
    </xf>
    <xf numFmtId="0" fontId="16" fillId="2" borderId="40" xfId="0" applyFont="1" applyFill="1" applyBorder="1" applyAlignment="1">
      <alignment horizontal="right" vertical="center" indent="1"/>
    </xf>
    <xf numFmtId="0" fontId="16" fillId="2" borderId="39" xfId="0" applyFont="1" applyFill="1" applyBorder="1" applyAlignment="1">
      <alignment horizontal="right" vertical="center" indent="1"/>
    </xf>
    <xf numFmtId="43" fontId="16" fillId="2" borderId="40" xfId="1" applyFont="1" applyFill="1" applyBorder="1" applyAlignment="1">
      <alignment horizontal="left" vertical="center" indent="1"/>
    </xf>
    <xf numFmtId="43" fontId="16" fillId="2" borderId="41" xfId="1" applyFont="1" applyFill="1" applyBorder="1" applyAlignment="1">
      <alignment horizontal="left" vertical="center" indent="1"/>
    </xf>
    <xf numFmtId="0" fontId="15" fillId="2" borderId="0" xfId="0" applyFont="1" applyFill="1" applyAlignment="1">
      <alignment horizontal="left" vertical="center"/>
    </xf>
    <xf numFmtId="166" fontId="15" fillId="2" borderId="30" xfId="0" applyNumberFormat="1" applyFont="1" applyFill="1" applyBorder="1" applyAlignment="1">
      <alignment horizontal="left" vertical="center" indent="1"/>
    </xf>
    <xf numFmtId="0" fontId="15" fillId="2" borderId="0" xfId="0" applyFont="1" applyFill="1" applyAlignment="1">
      <alignment horizontal="left" vertical="center" indent="1"/>
    </xf>
    <xf numFmtId="0" fontId="15" fillId="2" borderId="30" xfId="0" applyFont="1" applyFill="1" applyBorder="1" applyAlignment="1">
      <alignment horizontal="center" vertical="center"/>
    </xf>
    <xf numFmtId="0" fontId="16" fillId="2" borderId="32" xfId="0" applyFont="1" applyFill="1" applyBorder="1" applyAlignment="1">
      <alignment horizontal="center" vertical="center" wrapText="1"/>
    </xf>
    <xf numFmtId="0" fontId="16" fillId="2" borderId="33" xfId="0" applyFont="1" applyFill="1" applyBorder="1" applyAlignment="1">
      <alignment horizontal="center" vertical="center" wrapText="1"/>
    </xf>
    <xf numFmtId="0" fontId="16" fillId="2" borderId="34" xfId="0" applyFont="1" applyFill="1" applyBorder="1" applyAlignment="1">
      <alignment horizontal="center" vertical="center" wrapText="1"/>
    </xf>
    <xf numFmtId="0" fontId="16" fillId="2" borderId="20" xfId="0" applyFont="1" applyFill="1" applyBorder="1" applyAlignment="1">
      <alignment horizontal="center" vertical="center" wrapText="1"/>
    </xf>
    <xf numFmtId="0" fontId="16" fillId="2" borderId="35" xfId="0" applyFont="1" applyFill="1" applyBorder="1" applyAlignment="1">
      <alignment horizontal="center" vertical="center" wrapText="1"/>
    </xf>
    <xf numFmtId="0" fontId="16" fillId="2" borderId="20" xfId="0" applyFont="1" applyFill="1" applyBorder="1" applyAlignment="1">
      <alignment horizontal="center" vertical="center"/>
    </xf>
    <xf numFmtId="0" fontId="16" fillId="2" borderId="35" xfId="0" applyFont="1" applyFill="1" applyBorder="1" applyAlignment="1">
      <alignment horizontal="center" vertical="center"/>
    </xf>
    <xf numFmtId="0" fontId="16" fillId="2" borderId="36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5" fillId="2" borderId="29" xfId="0" applyFont="1" applyFill="1" applyBorder="1" applyAlignment="1">
      <alignment horizontal="left" vertical="center"/>
    </xf>
    <xf numFmtId="0" fontId="15" fillId="2" borderId="29" xfId="0" applyFont="1" applyFill="1" applyBorder="1" applyAlignment="1">
      <alignment horizontal="center" vertical="center"/>
    </xf>
    <xf numFmtId="43" fontId="16" fillId="2" borderId="45" xfId="1" applyFont="1" applyFill="1" applyBorder="1" applyAlignment="1">
      <alignment horizontal="left" vertical="center" indent="1"/>
    </xf>
    <xf numFmtId="43" fontId="16" fillId="2" borderId="46" xfId="1" applyFont="1" applyFill="1" applyBorder="1" applyAlignment="1">
      <alignment horizontal="left" vertical="center" indent="1"/>
    </xf>
    <xf numFmtId="43" fontId="16" fillId="2" borderId="44" xfId="1" applyFont="1" applyFill="1" applyBorder="1" applyAlignment="1">
      <alignment horizontal="left" vertical="center" indent="1"/>
    </xf>
    <xf numFmtId="0" fontId="16" fillId="2" borderId="45" xfId="0" applyFont="1" applyFill="1" applyBorder="1" applyAlignment="1">
      <alignment horizontal="left" vertical="center" indent="1"/>
    </xf>
    <xf numFmtId="0" fontId="16" fillId="2" borderId="44" xfId="0" applyFont="1" applyFill="1" applyBorder="1" applyAlignment="1">
      <alignment horizontal="left" vertical="center" indent="1"/>
    </xf>
    <xf numFmtId="0" fontId="16" fillId="2" borderId="42" xfId="0" applyFont="1" applyFill="1" applyBorder="1" applyAlignment="1">
      <alignment horizontal="left" vertical="center" indent="1"/>
    </xf>
    <xf numFmtId="0" fontId="16" fillId="2" borderId="43" xfId="0" applyFont="1" applyFill="1" applyBorder="1" applyAlignment="1">
      <alignment horizontal="left" vertical="center" indent="1"/>
    </xf>
    <xf numFmtId="0" fontId="15" fillId="2" borderId="8" xfId="0" applyFont="1" applyFill="1" applyBorder="1" applyAlignment="1">
      <alignment horizontal="center" vertical="center"/>
    </xf>
    <xf numFmtId="0" fontId="15" fillId="2" borderId="30" xfId="0" applyFont="1" applyFill="1" applyBorder="1" applyAlignment="1">
      <alignment horizontal="left" vertical="center" indent="1"/>
    </xf>
    <xf numFmtId="0" fontId="15" fillId="2" borderId="30" xfId="0" applyFont="1" applyFill="1" applyBorder="1" applyAlignment="1">
      <alignment horizontal="left" vertical="center"/>
    </xf>
    <xf numFmtId="166" fontId="15" fillId="2" borderId="30" xfId="0" applyNumberFormat="1" applyFont="1" applyFill="1" applyBorder="1" applyAlignment="1">
      <alignment horizontal="center" vertical="center"/>
    </xf>
    <xf numFmtId="0" fontId="15" fillId="2" borderId="31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left" vertical="center" indent="1"/>
    </xf>
    <xf numFmtId="0" fontId="15" fillId="2" borderId="29" xfId="0" applyFont="1" applyFill="1" applyBorder="1" applyAlignment="1">
      <alignment horizontal="center"/>
    </xf>
    <xf numFmtId="171" fontId="50" fillId="0" borderId="0" xfId="0" applyNumberFormat="1" applyFont="1" applyAlignment="1">
      <alignment horizontal="center" vertical="center"/>
    </xf>
    <xf numFmtId="0" fontId="50" fillId="0" borderId="0" xfId="0" applyNumberFormat="1" applyFont="1" applyAlignment="1">
      <alignment horizontal="left" vertical="center" indent="2"/>
    </xf>
    <xf numFmtId="49" fontId="50" fillId="0" borderId="0" xfId="0" applyNumberFormat="1" applyFont="1" applyAlignment="1">
      <alignment horizontal="center" vertical="center"/>
    </xf>
    <xf numFmtId="172" fontId="50" fillId="0" borderId="0" xfId="0" applyNumberFormat="1" applyFont="1" applyAlignment="1">
      <alignment horizontal="center" vertical="center"/>
    </xf>
    <xf numFmtId="166" fontId="50" fillId="0" borderId="0" xfId="0" applyNumberFormat="1" applyFont="1" applyAlignment="1">
      <alignment horizontal="center" vertical="center"/>
    </xf>
    <xf numFmtId="43" fontId="50" fillId="0" borderId="0" xfId="1" applyFont="1" applyAlignment="1">
      <alignment horizontal="center" vertical="center"/>
    </xf>
    <xf numFmtId="0" fontId="50" fillId="0" borderId="0" xfId="0" applyNumberFormat="1" applyFont="1" applyAlignment="1">
      <alignment horizontal="left" vertical="center" indent="1"/>
    </xf>
    <xf numFmtId="49" fontId="0" fillId="0" borderId="0" xfId="0" applyNumberFormat="1"/>
    <xf numFmtId="164" fontId="0" fillId="0" borderId="0" xfId="1" applyNumberFormat="1" applyFont="1"/>
    <xf numFmtId="174" fontId="0" fillId="0" borderId="0" xfId="0" applyNumberFormat="1"/>
    <xf numFmtId="43" fontId="0" fillId="0" borderId="0" xfId="1" applyFont="1"/>
    <xf numFmtId="0" fontId="0" fillId="0" borderId="0" xfId="0" applyNumberFormat="1"/>
    <xf numFmtId="0" fontId="25" fillId="2" borderId="64" xfId="0" applyFont="1" applyFill="1" applyBorder="1" applyAlignment="1">
      <alignment horizontal="center" vertical="top"/>
    </xf>
    <xf numFmtId="0" fontId="30" fillId="2" borderId="61" xfId="0" applyFont="1" applyFill="1" applyBorder="1" applyAlignment="1">
      <alignment horizontal="left" vertical="top" wrapText="1" indent="3"/>
    </xf>
    <xf numFmtId="0" fontId="30" fillId="2" borderId="62" xfId="0" applyFont="1" applyFill="1" applyBorder="1" applyAlignment="1">
      <alignment horizontal="left" vertical="top" wrapText="1" indent="3"/>
    </xf>
    <xf numFmtId="0" fontId="30" fillId="2" borderId="63" xfId="0" applyFont="1" applyFill="1" applyBorder="1" applyAlignment="1">
      <alignment horizontal="left" vertical="top" wrapText="1" indent="3"/>
    </xf>
    <xf numFmtId="0" fontId="30" fillId="2" borderId="61" xfId="0" applyFont="1" applyFill="1" applyBorder="1" applyAlignment="1">
      <alignment horizontal="left" vertical="top" wrapText="1" indent="5"/>
    </xf>
    <xf numFmtId="0" fontId="30" fillId="2" borderId="62" xfId="0" applyFont="1" applyFill="1" applyBorder="1" applyAlignment="1">
      <alignment horizontal="left" vertical="top" wrapText="1" indent="5"/>
    </xf>
    <xf numFmtId="0" fontId="30" fillId="2" borderId="63" xfId="0" applyFont="1" applyFill="1" applyBorder="1" applyAlignment="1">
      <alignment horizontal="left" vertical="top" wrapText="1" indent="5"/>
    </xf>
    <xf numFmtId="0" fontId="30" fillId="2" borderId="61" xfId="0" applyFont="1" applyFill="1" applyBorder="1" applyAlignment="1">
      <alignment horizontal="left" vertical="top" wrapText="1" indent="5"/>
    </xf>
    <xf numFmtId="0" fontId="30" fillId="2" borderId="62" xfId="0" applyFont="1" applyFill="1" applyBorder="1" applyAlignment="1">
      <alignment horizontal="left" vertical="top" wrapText="1" indent="5"/>
    </xf>
    <xf numFmtId="0" fontId="30" fillId="2" borderId="63" xfId="0" applyFont="1" applyFill="1" applyBorder="1" applyAlignment="1">
      <alignment horizontal="left" vertical="top" wrapText="1" indent="5"/>
    </xf>
  </cellXfs>
  <cellStyles count="3">
    <cellStyle name="Comma" xfId="1" builtinId="3"/>
    <cellStyle name="Comma 2" xfId="2" xr:uid="{34C319DB-5C97-448E-B863-20DED5B971AC}"/>
    <cellStyle name="Normal" xfId="0" builtinId="0"/>
  </cellStyles>
  <dxfs count="28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174" formatCode="mm\.dd\.yyyy"/>
    </dxf>
    <dxf>
      <numFmt numFmtId="174" formatCode="mm\.dd\.yyyy"/>
    </dxf>
    <dxf>
      <numFmt numFmtId="174" formatCode="mm\.dd\.yyyy"/>
    </dxf>
    <dxf>
      <numFmt numFmtId="174" formatCode="mm\.dd\.yyyy"/>
    </dxf>
    <dxf>
      <numFmt numFmtId="174" formatCode="mm\.dd\.yyyy"/>
    </dxf>
    <dxf>
      <numFmt numFmtId="30" formatCode="@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8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ptos"/>
        <family val="2"/>
        <scheme val="none"/>
      </font>
      <numFmt numFmtId="166" formatCode="[$-409]mmmm\ d\,\ yyyy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ptos"/>
        <family val="2"/>
        <scheme val="none"/>
      </font>
      <numFmt numFmtId="172" formatCode="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ptos"/>
        <family val="2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ptos"/>
        <family val="2"/>
        <scheme val="none"/>
      </font>
      <numFmt numFmtId="0" formatCode="General"/>
      <alignment horizontal="left" vertical="center" textRotation="0" wrapText="0" relativeIndent="1" justifyLastLine="0" shrinkToFit="0" readingOrder="0"/>
    </dxf>
    <dxf>
      <font>
        <strike val="0"/>
        <outline val="0"/>
        <shadow val="0"/>
        <u val="none"/>
        <vertAlign val="baseline"/>
        <sz val="8"/>
        <name val="Aptos"/>
        <family val="2"/>
        <scheme val="none"/>
      </font>
      <numFmt numFmtId="171" formatCode="000.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8"/>
        <name val="Aptos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9292</xdr:colOff>
      <xdr:row>0</xdr:row>
      <xdr:rowOff>0</xdr:rowOff>
    </xdr:from>
    <xdr:to>
      <xdr:col>3</xdr:col>
      <xdr:colOff>461536</xdr:colOff>
      <xdr:row>3</xdr:row>
      <xdr:rowOff>62835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A6ED10B9-14CB-4353-9B71-E52CFA567D1F}"/>
            </a:ext>
          </a:extLst>
        </xdr:cNvPr>
        <xdr:cNvGrpSpPr/>
      </xdr:nvGrpSpPr>
      <xdr:grpSpPr>
        <a:xfrm>
          <a:off x="125597" y="0"/>
          <a:ext cx="1190181" cy="307477"/>
          <a:chOff x="326374" y="31750"/>
          <a:chExt cx="1204330" cy="320982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571DE0BA-5F26-0102-D980-D496276334C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6374" y="83759"/>
            <a:ext cx="184311" cy="184311"/>
          </a:xfrm>
          <a:prstGeom prst="rect">
            <a:avLst/>
          </a:prstGeom>
        </xdr:spPr>
      </xdr:pic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6A8D47BE-D608-645E-3D7E-5F1CECA175FA}"/>
              </a:ext>
            </a:extLst>
          </xdr:cNvPr>
          <xdr:cNvSpPr txBox="1"/>
        </xdr:nvSpPr>
        <xdr:spPr>
          <a:xfrm>
            <a:off x="456408" y="31750"/>
            <a:ext cx="1074296" cy="32098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PH" sz="300" b="0"/>
              <a:t>Republic</a:t>
            </a:r>
            <a:r>
              <a:rPr lang="en-PH" sz="300" b="0" baseline="0"/>
              <a:t> of the Philippines</a:t>
            </a:r>
          </a:p>
          <a:p>
            <a:r>
              <a:rPr lang="en-PH" sz="300" b="0" baseline="0"/>
              <a:t>Department of Education - ROIVA (CALABARZON)</a:t>
            </a:r>
          </a:p>
          <a:p>
            <a:r>
              <a:rPr lang="en-PH" sz="300" b="1" baseline="0">
                <a:latin typeface="Amasis MT Pro" panose="02040504050005020304" pitchFamily="18" charset="0"/>
              </a:rPr>
              <a:t>SCHOOLS DIVISION OFFICE OF CAVITE CITY</a:t>
            </a:r>
          </a:p>
          <a:p>
            <a:r>
              <a:rPr lang="en-PH" sz="300" b="0" baseline="0"/>
              <a:t>CAVITE CITY</a:t>
            </a:r>
          </a:p>
        </xdr:txBody>
      </xdr:sp>
    </xdr:grpSp>
    <xdr:clientData/>
  </xdr:twoCellAnchor>
  <xdr:twoCellAnchor>
    <xdr:from>
      <xdr:col>0</xdr:col>
      <xdr:colOff>37171</xdr:colOff>
      <xdr:row>11</xdr:row>
      <xdr:rowOff>55753</xdr:rowOff>
    </xdr:from>
    <xdr:to>
      <xdr:col>7</xdr:col>
      <xdr:colOff>12391</xdr:colOff>
      <xdr:row>14</xdr:row>
      <xdr:rowOff>36762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F3C82038-DEB3-4CBB-80B6-5B6EC866B8BF}"/>
            </a:ext>
          </a:extLst>
        </xdr:cNvPr>
        <xdr:cNvGrpSpPr/>
      </xdr:nvGrpSpPr>
      <xdr:grpSpPr>
        <a:xfrm>
          <a:off x="37171" y="974164"/>
          <a:ext cx="2257209" cy="241693"/>
          <a:chOff x="229353" y="118363"/>
          <a:chExt cx="2055289" cy="338228"/>
        </a:xfrm>
      </xdr:grpSpPr>
      <xdr:pic>
        <xdr:nvPicPr>
          <xdr:cNvPr id="6" name="Picture 5">
            <a:extLst>
              <a:ext uri="{FF2B5EF4-FFF2-40B4-BE49-F238E27FC236}">
                <a16:creationId xmlns:a16="http://schemas.microsoft.com/office/drawing/2014/main" id="{DCA9104B-EC60-5A8F-6860-28115B9AF9E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229353" y="146641"/>
            <a:ext cx="161345" cy="200871"/>
          </a:xfrm>
          <a:prstGeom prst="rect">
            <a:avLst/>
          </a:prstGeom>
        </xdr:spPr>
      </xdr:pic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44F4088F-B3FA-43DB-1759-C423812C2395}"/>
              </a:ext>
            </a:extLst>
          </xdr:cNvPr>
          <xdr:cNvSpPr txBox="1"/>
        </xdr:nvSpPr>
        <xdr:spPr>
          <a:xfrm>
            <a:off x="360155" y="118363"/>
            <a:ext cx="1924487" cy="33822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PH" sz="400" b="0" baseline="0"/>
              <a:t>DOC. NUMBER: OSDS / AS - SD / FO - 15	                               EFFECTIVITY DATE: 05.24.2021</a:t>
            </a:r>
          </a:p>
          <a:p>
            <a:r>
              <a:rPr lang="en-PH" sz="400" b="0" baseline="0"/>
              <a:t>REV. NUMBER: 01</a:t>
            </a:r>
          </a:p>
        </xdr:txBody>
      </xdr:sp>
    </xdr:grpSp>
    <xdr:clientData/>
  </xdr:twoCellAnchor>
  <xdr:twoCellAnchor>
    <xdr:from>
      <xdr:col>1</xdr:col>
      <xdr:colOff>9292</xdr:colOff>
      <xdr:row>15</xdr:row>
      <xdr:rowOff>0</xdr:rowOff>
    </xdr:from>
    <xdr:to>
      <xdr:col>3</xdr:col>
      <xdr:colOff>461536</xdr:colOff>
      <xdr:row>18</xdr:row>
      <xdr:rowOff>62835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D995D713-E9E0-41CC-B80D-2FBA91940179}"/>
            </a:ext>
          </a:extLst>
        </xdr:cNvPr>
        <xdr:cNvGrpSpPr/>
      </xdr:nvGrpSpPr>
      <xdr:grpSpPr>
        <a:xfrm>
          <a:off x="125597" y="1271337"/>
          <a:ext cx="1190181" cy="315498"/>
          <a:chOff x="326374" y="31750"/>
          <a:chExt cx="1204330" cy="320982"/>
        </a:xfrm>
      </xdr:grpSpPr>
      <xdr:pic>
        <xdr:nvPicPr>
          <xdr:cNvPr id="21" name="Picture 20">
            <a:extLst>
              <a:ext uri="{FF2B5EF4-FFF2-40B4-BE49-F238E27FC236}">
                <a16:creationId xmlns:a16="http://schemas.microsoft.com/office/drawing/2014/main" id="{963C3E47-AB62-A0DD-D8CF-425BF0AC5E4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6374" y="83759"/>
            <a:ext cx="184311" cy="184311"/>
          </a:xfrm>
          <a:prstGeom prst="rect">
            <a:avLst/>
          </a:prstGeom>
        </xdr:spPr>
      </xdr:pic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5F82935F-06D7-687C-5C41-D38A5C25774F}"/>
              </a:ext>
            </a:extLst>
          </xdr:cNvPr>
          <xdr:cNvSpPr txBox="1"/>
        </xdr:nvSpPr>
        <xdr:spPr>
          <a:xfrm>
            <a:off x="456408" y="31750"/>
            <a:ext cx="1074296" cy="32098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PH" sz="300" b="0"/>
              <a:t>Republic</a:t>
            </a:r>
            <a:r>
              <a:rPr lang="en-PH" sz="300" b="0" baseline="0"/>
              <a:t> of the Philippines</a:t>
            </a:r>
          </a:p>
          <a:p>
            <a:r>
              <a:rPr lang="en-PH" sz="300" b="0" baseline="0"/>
              <a:t>Department of Education - ROIVA (CALABARZON)</a:t>
            </a:r>
          </a:p>
          <a:p>
            <a:r>
              <a:rPr lang="en-PH" sz="300" b="1" baseline="0">
                <a:latin typeface="Amasis MT Pro" panose="02040504050005020304" pitchFamily="18" charset="0"/>
              </a:rPr>
              <a:t>SCHOOLS DIVISION OFFICE OF CAVITE CITY</a:t>
            </a:r>
          </a:p>
          <a:p>
            <a:r>
              <a:rPr lang="en-PH" sz="300" b="0" baseline="0"/>
              <a:t>CAVITE CITY</a:t>
            </a:r>
          </a:p>
        </xdr:txBody>
      </xdr:sp>
    </xdr:grpSp>
    <xdr:clientData/>
  </xdr:twoCellAnchor>
  <xdr:twoCellAnchor>
    <xdr:from>
      <xdr:col>0</xdr:col>
      <xdr:colOff>37171</xdr:colOff>
      <xdr:row>26</xdr:row>
      <xdr:rowOff>55754</xdr:rowOff>
    </xdr:from>
    <xdr:to>
      <xdr:col>7</xdr:col>
      <xdr:colOff>12391</xdr:colOff>
      <xdr:row>29</xdr:row>
      <xdr:rowOff>38338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5D1A0ED9-E12B-49A3-9573-6F92EB67311E}"/>
            </a:ext>
          </a:extLst>
        </xdr:cNvPr>
        <xdr:cNvGrpSpPr/>
      </xdr:nvGrpSpPr>
      <xdr:grpSpPr>
        <a:xfrm>
          <a:off x="37171" y="2253522"/>
          <a:ext cx="2257209" cy="243269"/>
          <a:chOff x="229353" y="118364"/>
          <a:chExt cx="2055289" cy="286060"/>
        </a:xfrm>
      </xdr:grpSpPr>
      <xdr:pic>
        <xdr:nvPicPr>
          <xdr:cNvPr id="24" name="Picture 23">
            <a:extLst>
              <a:ext uri="{FF2B5EF4-FFF2-40B4-BE49-F238E27FC236}">
                <a16:creationId xmlns:a16="http://schemas.microsoft.com/office/drawing/2014/main" id="{0ECD73D5-311F-50B9-3C8B-DF75704BEEB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229353" y="146643"/>
            <a:ext cx="161345" cy="164071"/>
          </a:xfrm>
          <a:prstGeom prst="rect">
            <a:avLst/>
          </a:prstGeom>
        </xdr:spPr>
      </xdr:pic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8B396047-ADAB-2A11-F97E-179AEA799650}"/>
              </a:ext>
            </a:extLst>
          </xdr:cNvPr>
          <xdr:cNvSpPr txBox="1"/>
        </xdr:nvSpPr>
        <xdr:spPr>
          <a:xfrm>
            <a:off x="360155" y="118364"/>
            <a:ext cx="1924487" cy="2860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PH" sz="400" b="0" baseline="0"/>
              <a:t>DOC. NUMBER: OSDS / AS - SD / FO - 15	                               EFFECTIVITY DATE: 05.24.2021</a:t>
            </a:r>
          </a:p>
          <a:p>
            <a:r>
              <a:rPr lang="en-PH" sz="400" b="0" baseline="0"/>
              <a:t>REV. NUMBER: 01</a:t>
            </a:r>
          </a:p>
        </xdr:txBody>
      </xdr:sp>
    </xdr:grpSp>
    <xdr:clientData/>
  </xdr:twoCellAnchor>
  <xdr:twoCellAnchor>
    <xdr:from>
      <xdr:col>10</xdr:col>
      <xdr:colOff>9292</xdr:colOff>
      <xdr:row>0</xdr:row>
      <xdr:rowOff>0</xdr:rowOff>
    </xdr:from>
    <xdr:to>
      <xdr:col>12</xdr:col>
      <xdr:colOff>461536</xdr:colOff>
      <xdr:row>3</xdr:row>
      <xdr:rowOff>62835</xdr:rowOff>
    </xdr:to>
    <xdr:grpSp>
      <xdr:nvGrpSpPr>
        <xdr:cNvPr id="34" name="Group 33">
          <a:extLst>
            <a:ext uri="{FF2B5EF4-FFF2-40B4-BE49-F238E27FC236}">
              <a16:creationId xmlns:a16="http://schemas.microsoft.com/office/drawing/2014/main" id="{A7CE3FF5-1388-47A0-ACFB-E13EA4F06DC0}"/>
            </a:ext>
          </a:extLst>
        </xdr:cNvPr>
        <xdr:cNvGrpSpPr/>
      </xdr:nvGrpSpPr>
      <xdr:grpSpPr>
        <a:xfrm>
          <a:off x="2648218" y="0"/>
          <a:ext cx="1190181" cy="307477"/>
          <a:chOff x="326374" y="31750"/>
          <a:chExt cx="1204330" cy="320982"/>
        </a:xfrm>
      </xdr:grpSpPr>
      <xdr:pic>
        <xdr:nvPicPr>
          <xdr:cNvPr id="35" name="Picture 34">
            <a:extLst>
              <a:ext uri="{FF2B5EF4-FFF2-40B4-BE49-F238E27FC236}">
                <a16:creationId xmlns:a16="http://schemas.microsoft.com/office/drawing/2014/main" id="{C5ABF6FA-DAC8-7AAB-9C8B-951A8BF68F4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6374" y="83759"/>
            <a:ext cx="184311" cy="184311"/>
          </a:xfrm>
          <a:prstGeom prst="rect">
            <a:avLst/>
          </a:prstGeom>
        </xdr:spPr>
      </xdr:pic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CEA581C4-2ED5-99AD-8764-8DDFCD20B6D3}"/>
              </a:ext>
            </a:extLst>
          </xdr:cNvPr>
          <xdr:cNvSpPr txBox="1"/>
        </xdr:nvSpPr>
        <xdr:spPr>
          <a:xfrm>
            <a:off x="456408" y="31750"/>
            <a:ext cx="1074296" cy="32098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PH" sz="300" b="0"/>
              <a:t>Republic</a:t>
            </a:r>
            <a:r>
              <a:rPr lang="en-PH" sz="300" b="0" baseline="0"/>
              <a:t> of the Philippines</a:t>
            </a:r>
          </a:p>
          <a:p>
            <a:r>
              <a:rPr lang="en-PH" sz="300" b="0" baseline="0"/>
              <a:t>Department of Education - ROIVA (CALABARZON)</a:t>
            </a:r>
          </a:p>
          <a:p>
            <a:r>
              <a:rPr lang="en-PH" sz="300" b="1" baseline="0">
                <a:latin typeface="Amasis MT Pro" panose="02040504050005020304" pitchFamily="18" charset="0"/>
              </a:rPr>
              <a:t>SCHOOLS DIVISION OFFICE OF CAVITE CITY</a:t>
            </a:r>
          </a:p>
          <a:p>
            <a:r>
              <a:rPr lang="en-PH" sz="300" b="0" baseline="0"/>
              <a:t>CAVITE CITY</a:t>
            </a:r>
          </a:p>
        </xdr:txBody>
      </xdr:sp>
    </xdr:grpSp>
    <xdr:clientData/>
  </xdr:twoCellAnchor>
  <xdr:twoCellAnchor>
    <xdr:from>
      <xdr:col>9</xdr:col>
      <xdr:colOff>37171</xdr:colOff>
      <xdr:row>11</xdr:row>
      <xdr:rowOff>55753</xdr:rowOff>
    </xdr:from>
    <xdr:to>
      <xdr:col>16</xdr:col>
      <xdr:colOff>12391</xdr:colOff>
      <xdr:row>14</xdr:row>
      <xdr:rowOff>26736</xdr:rowOff>
    </xdr:to>
    <xdr:grpSp>
      <xdr:nvGrpSpPr>
        <xdr:cNvPr id="37" name="Group 36">
          <a:extLst>
            <a:ext uri="{FF2B5EF4-FFF2-40B4-BE49-F238E27FC236}">
              <a16:creationId xmlns:a16="http://schemas.microsoft.com/office/drawing/2014/main" id="{18A303CE-FED0-4CC2-A522-6C7227A60D81}"/>
            </a:ext>
          </a:extLst>
        </xdr:cNvPr>
        <xdr:cNvGrpSpPr/>
      </xdr:nvGrpSpPr>
      <xdr:grpSpPr>
        <a:xfrm>
          <a:off x="2559792" y="974164"/>
          <a:ext cx="2257210" cy="231667"/>
          <a:chOff x="229353" y="118363"/>
          <a:chExt cx="2055289" cy="324001"/>
        </a:xfrm>
      </xdr:grpSpPr>
      <xdr:pic>
        <xdr:nvPicPr>
          <xdr:cNvPr id="38" name="Picture 37">
            <a:extLst>
              <a:ext uri="{FF2B5EF4-FFF2-40B4-BE49-F238E27FC236}">
                <a16:creationId xmlns:a16="http://schemas.microsoft.com/office/drawing/2014/main" id="{49F8DD22-9559-FAB0-F8D7-821050A7066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229353" y="146642"/>
            <a:ext cx="161345" cy="191387"/>
          </a:xfrm>
          <a:prstGeom prst="rect">
            <a:avLst/>
          </a:prstGeom>
        </xdr:spPr>
      </xdr:pic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B52D4615-3C65-B965-408B-71F8AC384A1B}"/>
              </a:ext>
            </a:extLst>
          </xdr:cNvPr>
          <xdr:cNvSpPr txBox="1"/>
        </xdr:nvSpPr>
        <xdr:spPr>
          <a:xfrm>
            <a:off x="360155" y="118363"/>
            <a:ext cx="1924487" cy="32400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PH" sz="400" b="0" baseline="0"/>
              <a:t>DOC. NUMBER: OSDS / AS - SD / FO - 15	                               EFFECTIVITY DATE: 05.24.2021</a:t>
            </a:r>
          </a:p>
          <a:p>
            <a:r>
              <a:rPr lang="en-PH" sz="400" b="0" baseline="0"/>
              <a:t>REV. NUMBER: 01</a:t>
            </a:r>
          </a:p>
        </xdr:txBody>
      </xdr:sp>
    </xdr:grpSp>
    <xdr:clientData/>
  </xdr:twoCellAnchor>
  <xdr:twoCellAnchor>
    <xdr:from>
      <xdr:col>10</xdr:col>
      <xdr:colOff>9292</xdr:colOff>
      <xdr:row>15</xdr:row>
      <xdr:rowOff>0</xdr:rowOff>
    </xdr:from>
    <xdr:to>
      <xdr:col>12</xdr:col>
      <xdr:colOff>461536</xdr:colOff>
      <xdr:row>18</xdr:row>
      <xdr:rowOff>62835</xdr:rowOff>
    </xdr:to>
    <xdr:grpSp>
      <xdr:nvGrpSpPr>
        <xdr:cNvPr id="41" name="Group 40">
          <a:extLst>
            <a:ext uri="{FF2B5EF4-FFF2-40B4-BE49-F238E27FC236}">
              <a16:creationId xmlns:a16="http://schemas.microsoft.com/office/drawing/2014/main" id="{BD4EBEBF-BA02-480F-AA39-6A04CFE6E685}"/>
            </a:ext>
          </a:extLst>
        </xdr:cNvPr>
        <xdr:cNvGrpSpPr/>
      </xdr:nvGrpSpPr>
      <xdr:grpSpPr>
        <a:xfrm>
          <a:off x="2648218" y="1271337"/>
          <a:ext cx="1190181" cy="315498"/>
          <a:chOff x="326374" y="31750"/>
          <a:chExt cx="1204330" cy="320982"/>
        </a:xfrm>
      </xdr:grpSpPr>
      <xdr:pic>
        <xdr:nvPicPr>
          <xdr:cNvPr id="42" name="Picture 41">
            <a:extLst>
              <a:ext uri="{FF2B5EF4-FFF2-40B4-BE49-F238E27FC236}">
                <a16:creationId xmlns:a16="http://schemas.microsoft.com/office/drawing/2014/main" id="{A439D323-051C-B0BB-39B2-074398E5645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6374" y="83759"/>
            <a:ext cx="184311" cy="184311"/>
          </a:xfrm>
          <a:prstGeom prst="rect">
            <a:avLst/>
          </a:prstGeom>
        </xdr:spPr>
      </xdr:pic>
      <xdr:sp macro="" textlink="">
        <xdr:nvSpPr>
          <xdr:cNvPr id="43" name="TextBox 42">
            <a:extLst>
              <a:ext uri="{FF2B5EF4-FFF2-40B4-BE49-F238E27FC236}">
                <a16:creationId xmlns:a16="http://schemas.microsoft.com/office/drawing/2014/main" id="{199BD5D3-5B01-5915-8980-053059178427}"/>
              </a:ext>
            </a:extLst>
          </xdr:cNvPr>
          <xdr:cNvSpPr txBox="1"/>
        </xdr:nvSpPr>
        <xdr:spPr>
          <a:xfrm>
            <a:off x="456408" y="31750"/>
            <a:ext cx="1074296" cy="32098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PH" sz="300" b="0"/>
              <a:t>Republic</a:t>
            </a:r>
            <a:r>
              <a:rPr lang="en-PH" sz="300" b="0" baseline="0"/>
              <a:t> of the Philippines</a:t>
            </a:r>
          </a:p>
          <a:p>
            <a:r>
              <a:rPr lang="en-PH" sz="300" b="0" baseline="0"/>
              <a:t>Department of Education - ROIVA (CALABARZON)</a:t>
            </a:r>
          </a:p>
          <a:p>
            <a:r>
              <a:rPr lang="en-PH" sz="300" b="1" baseline="0">
                <a:latin typeface="Amasis MT Pro" panose="02040504050005020304" pitchFamily="18" charset="0"/>
              </a:rPr>
              <a:t>SCHOOLS DIVISION OFFICE OF CAVITE CITY</a:t>
            </a:r>
          </a:p>
          <a:p>
            <a:r>
              <a:rPr lang="en-PH" sz="300" b="0" baseline="0"/>
              <a:t>CAVITE CITY</a:t>
            </a:r>
          </a:p>
        </xdr:txBody>
      </xdr:sp>
    </xdr:grpSp>
    <xdr:clientData/>
  </xdr:twoCellAnchor>
  <xdr:twoCellAnchor>
    <xdr:from>
      <xdr:col>9</xdr:col>
      <xdr:colOff>37171</xdr:colOff>
      <xdr:row>26</xdr:row>
      <xdr:rowOff>55753</xdr:rowOff>
    </xdr:from>
    <xdr:to>
      <xdr:col>16</xdr:col>
      <xdr:colOff>12391</xdr:colOff>
      <xdr:row>29</xdr:row>
      <xdr:rowOff>33420</xdr:rowOff>
    </xdr:to>
    <xdr:grpSp>
      <xdr:nvGrpSpPr>
        <xdr:cNvPr id="44" name="Group 43">
          <a:extLst>
            <a:ext uri="{FF2B5EF4-FFF2-40B4-BE49-F238E27FC236}">
              <a16:creationId xmlns:a16="http://schemas.microsoft.com/office/drawing/2014/main" id="{5BD76BD2-56E9-4A40-A0F2-E646A84BED0E}"/>
            </a:ext>
          </a:extLst>
        </xdr:cNvPr>
        <xdr:cNvGrpSpPr/>
      </xdr:nvGrpSpPr>
      <xdr:grpSpPr>
        <a:xfrm>
          <a:off x="2559792" y="2253521"/>
          <a:ext cx="2257210" cy="238352"/>
          <a:chOff x="229353" y="118363"/>
          <a:chExt cx="2055289" cy="333485"/>
        </a:xfrm>
      </xdr:grpSpPr>
      <xdr:pic>
        <xdr:nvPicPr>
          <xdr:cNvPr id="45" name="Picture 44">
            <a:extLst>
              <a:ext uri="{FF2B5EF4-FFF2-40B4-BE49-F238E27FC236}">
                <a16:creationId xmlns:a16="http://schemas.microsoft.com/office/drawing/2014/main" id="{E0C9FB3E-1FC6-C267-ECCA-52D3380F2D3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229353" y="146643"/>
            <a:ext cx="161345" cy="196127"/>
          </a:xfrm>
          <a:prstGeom prst="rect">
            <a:avLst/>
          </a:prstGeom>
        </xdr:spPr>
      </xdr:pic>
      <xdr:sp macro="" textlink="">
        <xdr:nvSpPr>
          <xdr:cNvPr id="46" name="TextBox 45">
            <a:extLst>
              <a:ext uri="{FF2B5EF4-FFF2-40B4-BE49-F238E27FC236}">
                <a16:creationId xmlns:a16="http://schemas.microsoft.com/office/drawing/2014/main" id="{0BCDB7EB-8398-8745-D337-74F9360A398D}"/>
              </a:ext>
            </a:extLst>
          </xdr:cNvPr>
          <xdr:cNvSpPr txBox="1"/>
        </xdr:nvSpPr>
        <xdr:spPr>
          <a:xfrm>
            <a:off x="360155" y="118363"/>
            <a:ext cx="1924487" cy="33348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PH" sz="400" b="0" baseline="0"/>
              <a:t>DOC. NUMBER: OSDS / AS - SD / FO - 15	                               EFFECTIVITY DATE: 05.24.2021</a:t>
            </a:r>
          </a:p>
          <a:p>
            <a:r>
              <a:rPr lang="en-PH" sz="400" b="0" baseline="0"/>
              <a:t>REV. NUMBER: 01</a:t>
            </a:r>
          </a:p>
        </xdr:txBody>
      </xdr:sp>
    </xdr:grpSp>
    <xdr:clientData/>
  </xdr:twoCellAnchor>
  <xdr:twoCellAnchor>
    <xdr:from>
      <xdr:col>1</xdr:col>
      <xdr:colOff>9292</xdr:colOff>
      <xdr:row>30</xdr:row>
      <xdr:rowOff>0</xdr:rowOff>
    </xdr:from>
    <xdr:to>
      <xdr:col>3</xdr:col>
      <xdr:colOff>461536</xdr:colOff>
      <xdr:row>33</xdr:row>
      <xdr:rowOff>62835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25FA5211-9FC1-4C3E-BAA9-671C1F5FE57E}"/>
            </a:ext>
          </a:extLst>
        </xdr:cNvPr>
        <xdr:cNvGrpSpPr/>
      </xdr:nvGrpSpPr>
      <xdr:grpSpPr>
        <a:xfrm>
          <a:off x="125597" y="2550695"/>
          <a:ext cx="1190181" cy="315498"/>
          <a:chOff x="326374" y="31750"/>
          <a:chExt cx="1204330" cy="320982"/>
        </a:xfrm>
      </xdr:grpSpPr>
      <xdr:pic>
        <xdr:nvPicPr>
          <xdr:cNvPr id="9" name="Picture 8">
            <a:extLst>
              <a:ext uri="{FF2B5EF4-FFF2-40B4-BE49-F238E27FC236}">
                <a16:creationId xmlns:a16="http://schemas.microsoft.com/office/drawing/2014/main" id="{F248BB3E-0259-C439-F3EF-95C2AE78707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6374" y="83759"/>
            <a:ext cx="184311" cy="184311"/>
          </a:xfrm>
          <a:prstGeom prst="rect">
            <a:avLst/>
          </a:prstGeom>
        </xdr:spPr>
      </xdr:pic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51E34CC5-4195-1B29-A3C2-5E53F90AA47C}"/>
              </a:ext>
            </a:extLst>
          </xdr:cNvPr>
          <xdr:cNvSpPr txBox="1"/>
        </xdr:nvSpPr>
        <xdr:spPr>
          <a:xfrm>
            <a:off x="456408" y="31750"/>
            <a:ext cx="1074296" cy="32098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PH" sz="300" b="0"/>
              <a:t>Republic</a:t>
            </a:r>
            <a:r>
              <a:rPr lang="en-PH" sz="300" b="0" baseline="0"/>
              <a:t> of the Philippines</a:t>
            </a:r>
          </a:p>
          <a:p>
            <a:r>
              <a:rPr lang="en-PH" sz="300" b="0" baseline="0"/>
              <a:t>Department of Education - ROIVA (CALABARZON)</a:t>
            </a:r>
          </a:p>
          <a:p>
            <a:r>
              <a:rPr lang="en-PH" sz="300" b="1" baseline="0">
                <a:latin typeface="Amasis MT Pro" panose="02040504050005020304" pitchFamily="18" charset="0"/>
              </a:rPr>
              <a:t>SCHOOLS DIVISION OFFICE OF CAVITE CITY</a:t>
            </a:r>
          </a:p>
          <a:p>
            <a:r>
              <a:rPr lang="en-PH" sz="300" b="0" baseline="0"/>
              <a:t>CAVITE CITY</a:t>
            </a:r>
          </a:p>
        </xdr:txBody>
      </xdr:sp>
    </xdr:grpSp>
    <xdr:clientData/>
  </xdr:twoCellAnchor>
  <xdr:twoCellAnchor>
    <xdr:from>
      <xdr:col>0</xdr:col>
      <xdr:colOff>37171</xdr:colOff>
      <xdr:row>41</xdr:row>
      <xdr:rowOff>55754</xdr:rowOff>
    </xdr:from>
    <xdr:to>
      <xdr:col>7</xdr:col>
      <xdr:colOff>12391</xdr:colOff>
      <xdr:row>44</xdr:row>
      <xdr:rowOff>38338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1AB13531-6685-4C49-93D7-243D42B4AF75}"/>
            </a:ext>
          </a:extLst>
        </xdr:cNvPr>
        <xdr:cNvGrpSpPr/>
      </xdr:nvGrpSpPr>
      <xdr:grpSpPr>
        <a:xfrm>
          <a:off x="37171" y="3532880"/>
          <a:ext cx="2257209" cy="243269"/>
          <a:chOff x="229353" y="118364"/>
          <a:chExt cx="2055289" cy="286060"/>
        </a:xfrm>
      </xdr:grpSpPr>
      <xdr:pic>
        <xdr:nvPicPr>
          <xdr:cNvPr id="12" name="Picture 11">
            <a:extLst>
              <a:ext uri="{FF2B5EF4-FFF2-40B4-BE49-F238E27FC236}">
                <a16:creationId xmlns:a16="http://schemas.microsoft.com/office/drawing/2014/main" id="{F99ACAF0-3590-A5E3-885A-B975B1E8409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229353" y="146643"/>
            <a:ext cx="161345" cy="164071"/>
          </a:xfrm>
          <a:prstGeom prst="rect">
            <a:avLst/>
          </a:prstGeom>
        </xdr:spPr>
      </xdr:pic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2AD8B205-FADC-0F9C-6105-C16362B452D4}"/>
              </a:ext>
            </a:extLst>
          </xdr:cNvPr>
          <xdr:cNvSpPr txBox="1"/>
        </xdr:nvSpPr>
        <xdr:spPr>
          <a:xfrm>
            <a:off x="360155" y="118364"/>
            <a:ext cx="1924487" cy="2860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PH" sz="400" b="0" baseline="0"/>
              <a:t>DOC. NUMBER: OSDS / AS - SD / FO - 15	                               EFFECTIVITY DATE: 05.24.2021</a:t>
            </a:r>
          </a:p>
          <a:p>
            <a:r>
              <a:rPr lang="en-PH" sz="400" b="0" baseline="0"/>
              <a:t>REV. NUMBER: 01</a:t>
            </a:r>
          </a:p>
        </xdr:txBody>
      </xdr:sp>
    </xdr:grpSp>
    <xdr:clientData/>
  </xdr:twoCellAnchor>
  <xdr:twoCellAnchor>
    <xdr:from>
      <xdr:col>10</xdr:col>
      <xdr:colOff>9292</xdr:colOff>
      <xdr:row>30</xdr:row>
      <xdr:rowOff>0</xdr:rowOff>
    </xdr:from>
    <xdr:to>
      <xdr:col>12</xdr:col>
      <xdr:colOff>461536</xdr:colOff>
      <xdr:row>33</xdr:row>
      <xdr:rowOff>62835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10BC57FC-6A8B-41B5-B5ED-10612302652C}"/>
            </a:ext>
          </a:extLst>
        </xdr:cNvPr>
        <xdr:cNvGrpSpPr/>
      </xdr:nvGrpSpPr>
      <xdr:grpSpPr>
        <a:xfrm>
          <a:off x="2648218" y="2550695"/>
          <a:ext cx="1190181" cy="315498"/>
          <a:chOff x="326374" y="31750"/>
          <a:chExt cx="1204330" cy="320982"/>
        </a:xfrm>
      </xdr:grpSpPr>
      <xdr:pic>
        <xdr:nvPicPr>
          <xdr:cNvPr id="15" name="Picture 14">
            <a:extLst>
              <a:ext uri="{FF2B5EF4-FFF2-40B4-BE49-F238E27FC236}">
                <a16:creationId xmlns:a16="http://schemas.microsoft.com/office/drawing/2014/main" id="{76059DD9-E350-E748-3348-39FE89778EB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6374" y="83759"/>
            <a:ext cx="184311" cy="184311"/>
          </a:xfrm>
          <a:prstGeom prst="rect">
            <a:avLst/>
          </a:prstGeom>
        </xdr:spPr>
      </xdr:pic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98AD3598-0E8C-F66C-9D99-5BB57CE03F27}"/>
              </a:ext>
            </a:extLst>
          </xdr:cNvPr>
          <xdr:cNvSpPr txBox="1"/>
        </xdr:nvSpPr>
        <xdr:spPr>
          <a:xfrm>
            <a:off x="456408" y="31750"/>
            <a:ext cx="1074296" cy="32098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PH" sz="300" b="0"/>
              <a:t>Republic</a:t>
            </a:r>
            <a:r>
              <a:rPr lang="en-PH" sz="300" b="0" baseline="0"/>
              <a:t> of the Philippines</a:t>
            </a:r>
          </a:p>
          <a:p>
            <a:r>
              <a:rPr lang="en-PH" sz="300" b="0" baseline="0"/>
              <a:t>Department of Education - ROIVA (CALABARZON)</a:t>
            </a:r>
          </a:p>
          <a:p>
            <a:r>
              <a:rPr lang="en-PH" sz="300" b="1" baseline="0">
                <a:latin typeface="Amasis MT Pro" panose="02040504050005020304" pitchFamily="18" charset="0"/>
              </a:rPr>
              <a:t>SCHOOLS DIVISION OFFICE OF CAVITE CITY</a:t>
            </a:r>
          </a:p>
          <a:p>
            <a:r>
              <a:rPr lang="en-PH" sz="300" b="0" baseline="0"/>
              <a:t>CAVITE CITY</a:t>
            </a:r>
          </a:p>
        </xdr:txBody>
      </xdr:sp>
    </xdr:grpSp>
    <xdr:clientData/>
  </xdr:twoCellAnchor>
  <xdr:twoCellAnchor>
    <xdr:from>
      <xdr:col>9</xdr:col>
      <xdr:colOff>37171</xdr:colOff>
      <xdr:row>41</xdr:row>
      <xdr:rowOff>55753</xdr:rowOff>
    </xdr:from>
    <xdr:to>
      <xdr:col>16</xdr:col>
      <xdr:colOff>12391</xdr:colOff>
      <xdr:row>44</xdr:row>
      <xdr:rowOff>33420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4037DD75-928F-42DD-8EE2-9C8A5C827498}"/>
            </a:ext>
          </a:extLst>
        </xdr:cNvPr>
        <xdr:cNvGrpSpPr/>
      </xdr:nvGrpSpPr>
      <xdr:grpSpPr>
        <a:xfrm>
          <a:off x="2559792" y="3532879"/>
          <a:ext cx="2257210" cy="238352"/>
          <a:chOff x="229353" y="118363"/>
          <a:chExt cx="2055289" cy="333485"/>
        </a:xfrm>
      </xdr:grpSpPr>
      <xdr:pic>
        <xdr:nvPicPr>
          <xdr:cNvPr id="18" name="Picture 17">
            <a:extLst>
              <a:ext uri="{FF2B5EF4-FFF2-40B4-BE49-F238E27FC236}">
                <a16:creationId xmlns:a16="http://schemas.microsoft.com/office/drawing/2014/main" id="{839022B7-53B6-9042-930A-A5B9EBF6A96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229353" y="146643"/>
            <a:ext cx="161345" cy="196127"/>
          </a:xfrm>
          <a:prstGeom prst="rect">
            <a:avLst/>
          </a:prstGeom>
        </xdr:spPr>
      </xdr:pic>
      <xdr:sp macro="" textlink="">
        <xdr:nvSpPr>
          <xdr:cNvPr id="19" name="TextBox 18">
            <a:extLst>
              <a:ext uri="{FF2B5EF4-FFF2-40B4-BE49-F238E27FC236}">
                <a16:creationId xmlns:a16="http://schemas.microsoft.com/office/drawing/2014/main" id="{9C9A5C72-7204-8D21-F5CC-18A099C9DF29}"/>
              </a:ext>
            </a:extLst>
          </xdr:cNvPr>
          <xdr:cNvSpPr txBox="1"/>
        </xdr:nvSpPr>
        <xdr:spPr>
          <a:xfrm>
            <a:off x="360155" y="118363"/>
            <a:ext cx="1924487" cy="33348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PH" sz="400" b="0" baseline="0"/>
              <a:t>DOC. NUMBER: OSDS / AS - SD / FO - 15	                               EFFECTIVITY DATE: 05.24.2021</a:t>
            </a:r>
          </a:p>
          <a:p>
            <a:r>
              <a:rPr lang="en-PH" sz="400" b="0" baseline="0"/>
              <a:t>REV. NUMBER: 01</a:t>
            </a:r>
          </a:p>
        </xdr:txBody>
      </xdr:sp>
    </xdr:grpSp>
    <xdr:clientData/>
  </xdr:twoCellAnchor>
  <xdr:twoCellAnchor>
    <xdr:from>
      <xdr:col>1</xdr:col>
      <xdr:colOff>9292</xdr:colOff>
      <xdr:row>45</xdr:row>
      <xdr:rowOff>0</xdr:rowOff>
    </xdr:from>
    <xdr:to>
      <xdr:col>3</xdr:col>
      <xdr:colOff>461536</xdr:colOff>
      <xdr:row>48</xdr:row>
      <xdr:rowOff>62835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725E35C8-1276-41B6-BAF7-0EDAE38AF087}"/>
            </a:ext>
          </a:extLst>
        </xdr:cNvPr>
        <xdr:cNvGrpSpPr/>
      </xdr:nvGrpSpPr>
      <xdr:grpSpPr>
        <a:xfrm>
          <a:off x="125597" y="3830053"/>
          <a:ext cx="1190181" cy="315498"/>
          <a:chOff x="326374" y="31750"/>
          <a:chExt cx="1204330" cy="320982"/>
        </a:xfrm>
      </xdr:grpSpPr>
      <xdr:pic>
        <xdr:nvPicPr>
          <xdr:cNvPr id="27" name="Picture 26">
            <a:extLst>
              <a:ext uri="{FF2B5EF4-FFF2-40B4-BE49-F238E27FC236}">
                <a16:creationId xmlns:a16="http://schemas.microsoft.com/office/drawing/2014/main" id="{4A71C7DF-581F-85DB-878C-CD3F0FE5FD8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6374" y="83759"/>
            <a:ext cx="184311" cy="184311"/>
          </a:xfrm>
          <a:prstGeom prst="rect">
            <a:avLst/>
          </a:prstGeom>
        </xdr:spPr>
      </xdr:pic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89CB8A04-B2B6-0C65-3B20-3229A8892FDF}"/>
              </a:ext>
            </a:extLst>
          </xdr:cNvPr>
          <xdr:cNvSpPr txBox="1"/>
        </xdr:nvSpPr>
        <xdr:spPr>
          <a:xfrm>
            <a:off x="456408" y="31750"/>
            <a:ext cx="1074296" cy="32098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PH" sz="300" b="0"/>
              <a:t>Republic</a:t>
            </a:r>
            <a:r>
              <a:rPr lang="en-PH" sz="300" b="0" baseline="0"/>
              <a:t> of the Philippines</a:t>
            </a:r>
          </a:p>
          <a:p>
            <a:r>
              <a:rPr lang="en-PH" sz="300" b="0" baseline="0"/>
              <a:t>Department of Education - ROIVA (CALABARZON)</a:t>
            </a:r>
          </a:p>
          <a:p>
            <a:r>
              <a:rPr lang="en-PH" sz="300" b="1" baseline="0">
                <a:latin typeface="Amasis MT Pro" panose="02040504050005020304" pitchFamily="18" charset="0"/>
              </a:rPr>
              <a:t>SCHOOLS DIVISION OFFICE OF CAVITE CITY</a:t>
            </a:r>
          </a:p>
          <a:p>
            <a:r>
              <a:rPr lang="en-PH" sz="300" b="0" baseline="0"/>
              <a:t>CAVITE CITY</a:t>
            </a:r>
          </a:p>
        </xdr:txBody>
      </xdr:sp>
    </xdr:grpSp>
    <xdr:clientData/>
  </xdr:twoCellAnchor>
  <xdr:twoCellAnchor>
    <xdr:from>
      <xdr:col>0</xdr:col>
      <xdr:colOff>37171</xdr:colOff>
      <xdr:row>56</xdr:row>
      <xdr:rowOff>55754</xdr:rowOff>
    </xdr:from>
    <xdr:to>
      <xdr:col>7</xdr:col>
      <xdr:colOff>12391</xdr:colOff>
      <xdr:row>59</xdr:row>
      <xdr:rowOff>38338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7CEE6F88-FEEA-45F1-AAD7-86FD4C2F1622}"/>
            </a:ext>
          </a:extLst>
        </xdr:cNvPr>
        <xdr:cNvGrpSpPr/>
      </xdr:nvGrpSpPr>
      <xdr:grpSpPr>
        <a:xfrm>
          <a:off x="37171" y="4812238"/>
          <a:ext cx="2257209" cy="243268"/>
          <a:chOff x="229353" y="118364"/>
          <a:chExt cx="2055289" cy="286060"/>
        </a:xfrm>
      </xdr:grpSpPr>
      <xdr:pic>
        <xdr:nvPicPr>
          <xdr:cNvPr id="30" name="Picture 29">
            <a:extLst>
              <a:ext uri="{FF2B5EF4-FFF2-40B4-BE49-F238E27FC236}">
                <a16:creationId xmlns:a16="http://schemas.microsoft.com/office/drawing/2014/main" id="{9E535176-E4AF-FEDB-A586-D805746F5F4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229353" y="146643"/>
            <a:ext cx="161345" cy="164071"/>
          </a:xfrm>
          <a:prstGeom prst="rect">
            <a:avLst/>
          </a:prstGeom>
        </xdr:spPr>
      </xdr:pic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B817CBAD-CB86-90CE-7F77-B07367CDD78F}"/>
              </a:ext>
            </a:extLst>
          </xdr:cNvPr>
          <xdr:cNvSpPr txBox="1"/>
        </xdr:nvSpPr>
        <xdr:spPr>
          <a:xfrm>
            <a:off x="360155" y="118364"/>
            <a:ext cx="1924487" cy="2860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PH" sz="400" b="0" baseline="0"/>
              <a:t>DOC. NUMBER: OSDS / AS - SD / FO - 15	                               EFFECTIVITY DATE: 05.24.2021</a:t>
            </a:r>
          </a:p>
          <a:p>
            <a:r>
              <a:rPr lang="en-PH" sz="400" b="0" baseline="0"/>
              <a:t>REV. NUMBER: 01</a:t>
            </a:r>
          </a:p>
        </xdr:txBody>
      </xdr:sp>
    </xdr:grpSp>
    <xdr:clientData/>
  </xdr:twoCellAnchor>
  <xdr:twoCellAnchor>
    <xdr:from>
      <xdr:col>10</xdr:col>
      <xdr:colOff>9292</xdr:colOff>
      <xdr:row>45</xdr:row>
      <xdr:rowOff>0</xdr:rowOff>
    </xdr:from>
    <xdr:to>
      <xdr:col>12</xdr:col>
      <xdr:colOff>461536</xdr:colOff>
      <xdr:row>48</xdr:row>
      <xdr:rowOff>62835</xdr:rowOff>
    </xdr:to>
    <xdr:grpSp>
      <xdr:nvGrpSpPr>
        <xdr:cNvPr id="32" name="Group 31">
          <a:extLst>
            <a:ext uri="{FF2B5EF4-FFF2-40B4-BE49-F238E27FC236}">
              <a16:creationId xmlns:a16="http://schemas.microsoft.com/office/drawing/2014/main" id="{20B430D8-15CF-477D-AED5-C0D0A6289CD2}"/>
            </a:ext>
          </a:extLst>
        </xdr:cNvPr>
        <xdr:cNvGrpSpPr/>
      </xdr:nvGrpSpPr>
      <xdr:grpSpPr>
        <a:xfrm>
          <a:off x="2648218" y="3830053"/>
          <a:ext cx="1190181" cy="315498"/>
          <a:chOff x="326374" y="31750"/>
          <a:chExt cx="1204330" cy="320982"/>
        </a:xfrm>
      </xdr:grpSpPr>
      <xdr:pic>
        <xdr:nvPicPr>
          <xdr:cNvPr id="33" name="Picture 32">
            <a:extLst>
              <a:ext uri="{FF2B5EF4-FFF2-40B4-BE49-F238E27FC236}">
                <a16:creationId xmlns:a16="http://schemas.microsoft.com/office/drawing/2014/main" id="{A8EBC322-CE54-9A44-D5A4-BE1324B3C4E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6374" y="83759"/>
            <a:ext cx="184311" cy="184311"/>
          </a:xfrm>
          <a:prstGeom prst="rect">
            <a:avLst/>
          </a:prstGeom>
        </xdr:spPr>
      </xdr:pic>
      <xdr:sp macro="" textlink="">
        <xdr:nvSpPr>
          <xdr:cNvPr id="40" name="TextBox 39">
            <a:extLst>
              <a:ext uri="{FF2B5EF4-FFF2-40B4-BE49-F238E27FC236}">
                <a16:creationId xmlns:a16="http://schemas.microsoft.com/office/drawing/2014/main" id="{25819E43-81E2-60E4-A351-925C78FB2E2B}"/>
              </a:ext>
            </a:extLst>
          </xdr:cNvPr>
          <xdr:cNvSpPr txBox="1"/>
        </xdr:nvSpPr>
        <xdr:spPr>
          <a:xfrm>
            <a:off x="456408" y="31750"/>
            <a:ext cx="1074296" cy="32098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PH" sz="300" b="0"/>
              <a:t>Republic</a:t>
            </a:r>
            <a:r>
              <a:rPr lang="en-PH" sz="300" b="0" baseline="0"/>
              <a:t> of the Philippines</a:t>
            </a:r>
          </a:p>
          <a:p>
            <a:r>
              <a:rPr lang="en-PH" sz="300" b="0" baseline="0"/>
              <a:t>Department of Education - ROIVA (CALABARZON)</a:t>
            </a:r>
          </a:p>
          <a:p>
            <a:r>
              <a:rPr lang="en-PH" sz="300" b="1" baseline="0">
                <a:latin typeface="Amasis MT Pro" panose="02040504050005020304" pitchFamily="18" charset="0"/>
              </a:rPr>
              <a:t>SCHOOLS DIVISION OFFICE OF CAVITE CITY</a:t>
            </a:r>
          </a:p>
          <a:p>
            <a:r>
              <a:rPr lang="en-PH" sz="300" b="0" baseline="0"/>
              <a:t>CAVITE CITY</a:t>
            </a:r>
          </a:p>
        </xdr:txBody>
      </xdr:sp>
    </xdr:grpSp>
    <xdr:clientData/>
  </xdr:twoCellAnchor>
  <xdr:twoCellAnchor>
    <xdr:from>
      <xdr:col>9</xdr:col>
      <xdr:colOff>37171</xdr:colOff>
      <xdr:row>56</xdr:row>
      <xdr:rowOff>55753</xdr:rowOff>
    </xdr:from>
    <xdr:to>
      <xdr:col>16</xdr:col>
      <xdr:colOff>12391</xdr:colOff>
      <xdr:row>59</xdr:row>
      <xdr:rowOff>33420</xdr:rowOff>
    </xdr:to>
    <xdr:grpSp>
      <xdr:nvGrpSpPr>
        <xdr:cNvPr id="47" name="Group 46">
          <a:extLst>
            <a:ext uri="{FF2B5EF4-FFF2-40B4-BE49-F238E27FC236}">
              <a16:creationId xmlns:a16="http://schemas.microsoft.com/office/drawing/2014/main" id="{B6865725-FC3D-4DE2-A240-33AFDB8E9BFF}"/>
            </a:ext>
          </a:extLst>
        </xdr:cNvPr>
        <xdr:cNvGrpSpPr/>
      </xdr:nvGrpSpPr>
      <xdr:grpSpPr>
        <a:xfrm>
          <a:off x="2559792" y="4812237"/>
          <a:ext cx="2257210" cy="238351"/>
          <a:chOff x="229353" y="118363"/>
          <a:chExt cx="2055289" cy="333485"/>
        </a:xfrm>
      </xdr:grpSpPr>
      <xdr:pic>
        <xdr:nvPicPr>
          <xdr:cNvPr id="48" name="Picture 47">
            <a:extLst>
              <a:ext uri="{FF2B5EF4-FFF2-40B4-BE49-F238E27FC236}">
                <a16:creationId xmlns:a16="http://schemas.microsoft.com/office/drawing/2014/main" id="{933E2064-ED2B-AF5B-933D-36FE5B62497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229353" y="146643"/>
            <a:ext cx="161345" cy="196127"/>
          </a:xfrm>
          <a:prstGeom prst="rect">
            <a:avLst/>
          </a:prstGeom>
        </xdr:spPr>
      </xdr:pic>
      <xdr:sp macro="" textlink="">
        <xdr:nvSpPr>
          <xdr:cNvPr id="49" name="TextBox 48">
            <a:extLst>
              <a:ext uri="{FF2B5EF4-FFF2-40B4-BE49-F238E27FC236}">
                <a16:creationId xmlns:a16="http://schemas.microsoft.com/office/drawing/2014/main" id="{674C546F-18B4-D3DC-BC3A-A673A4A1B739}"/>
              </a:ext>
            </a:extLst>
          </xdr:cNvPr>
          <xdr:cNvSpPr txBox="1"/>
        </xdr:nvSpPr>
        <xdr:spPr>
          <a:xfrm>
            <a:off x="360155" y="118363"/>
            <a:ext cx="1924487" cy="33348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PH" sz="400" b="0" baseline="0"/>
              <a:t>DOC. NUMBER: OSDS / AS - SD / FO - 15	                               EFFECTIVITY DATE: 05.24.2021</a:t>
            </a:r>
          </a:p>
          <a:p>
            <a:r>
              <a:rPr lang="en-PH" sz="400" b="0" baseline="0"/>
              <a:t>REV. NUMBER: 01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149087</xdr:colOff>
      <xdr:row>1</xdr:row>
      <xdr:rowOff>91109</xdr:rowOff>
    </xdr:from>
    <xdr:to>
      <xdr:col>9</xdr:col>
      <xdr:colOff>8283</xdr:colOff>
      <xdr:row>4</xdr:row>
      <xdr:rowOff>157370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DD2321-03AD-404A-A0F0-9C0B21FEC5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68762" y="148259"/>
          <a:ext cx="906946" cy="637761"/>
        </a:xfrm>
        <a:prstGeom prst="rect">
          <a:avLst/>
        </a:prstGeom>
      </xdr:spPr>
    </xdr:pic>
    <xdr:clientData/>
  </xdr:twoCellAnchor>
  <xdr:twoCellAnchor editAs="oneCell">
    <xdr:from>
      <xdr:col>2</xdr:col>
      <xdr:colOff>82826</xdr:colOff>
      <xdr:row>1</xdr:row>
      <xdr:rowOff>99391</xdr:rowOff>
    </xdr:from>
    <xdr:to>
      <xdr:col>3</xdr:col>
      <xdr:colOff>292541</xdr:colOff>
      <xdr:row>5</xdr:row>
      <xdr:rowOff>60628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84D67D-E944-49ED-90BE-E79D226522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2976" y="156541"/>
          <a:ext cx="733590" cy="73276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149087</xdr:colOff>
      <xdr:row>1</xdr:row>
      <xdr:rowOff>91109</xdr:rowOff>
    </xdr:from>
    <xdr:to>
      <xdr:col>9</xdr:col>
      <xdr:colOff>8283</xdr:colOff>
      <xdr:row>4</xdr:row>
      <xdr:rowOff>157370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B8B62B-6DF2-4D3E-842E-ED14DE95D5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68762" y="148259"/>
          <a:ext cx="906946" cy="637761"/>
        </a:xfrm>
        <a:prstGeom prst="rect">
          <a:avLst/>
        </a:prstGeom>
      </xdr:spPr>
    </xdr:pic>
    <xdr:clientData/>
  </xdr:twoCellAnchor>
  <xdr:twoCellAnchor editAs="oneCell">
    <xdr:from>
      <xdr:col>2</xdr:col>
      <xdr:colOff>82826</xdr:colOff>
      <xdr:row>1</xdr:row>
      <xdr:rowOff>99391</xdr:rowOff>
    </xdr:from>
    <xdr:to>
      <xdr:col>3</xdr:col>
      <xdr:colOff>292541</xdr:colOff>
      <xdr:row>5</xdr:row>
      <xdr:rowOff>60628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192CA08-F05F-41F9-8D06-DFEA7C91D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2976" y="156541"/>
          <a:ext cx="733590" cy="73276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149087</xdr:colOff>
      <xdr:row>1</xdr:row>
      <xdr:rowOff>91109</xdr:rowOff>
    </xdr:from>
    <xdr:to>
      <xdr:col>9</xdr:col>
      <xdr:colOff>8283</xdr:colOff>
      <xdr:row>4</xdr:row>
      <xdr:rowOff>157370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4A51C3-C451-4400-A324-A520E11851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68762" y="148259"/>
          <a:ext cx="906946" cy="637761"/>
        </a:xfrm>
        <a:prstGeom prst="rect">
          <a:avLst/>
        </a:prstGeom>
      </xdr:spPr>
    </xdr:pic>
    <xdr:clientData/>
  </xdr:twoCellAnchor>
  <xdr:twoCellAnchor editAs="oneCell">
    <xdr:from>
      <xdr:col>2</xdr:col>
      <xdr:colOff>82826</xdr:colOff>
      <xdr:row>1</xdr:row>
      <xdr:rowOff>99391</xdr:rowOff>
    </xdr:from>
    <xdr:to>
      <xdr:col>3</xdr:col>
      <xdr:colOff>292541</xdr:colOff>
      <xdr:row>5</xdr:row>
      <xdr:rowOff>60628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E355538-1627-4AD3-B30F-92C5C56B6C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2976" y="156541"/>
          <a:ext cx="733590" cy="73276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CER\Desktop\Supply%20Office\ICS\2024%20ICS\ICS2024%20-%2008%20-%200340%20to%200341_Steel%20Cabinet.xlsx" TargetMode="External"/><Relationship Id="rId1" Type="http://schemas.openxmlformats.org/officeDocument/2006/relationships/externalLinkPath" Target="/Users/ACER/Desktop/Supply%20Office/ICS/2024%20ICS/ICS2024%20-%2008%20-%200340%20to%200341_Steel%20Cabin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2"/>
      <sheetName val="List"/>
      <sheetName val="Sheet1"/>
      <sheetName val="Printer (2)"/>
      <sheetName val="Printer"/>
      <sheetName val="Sticker"/>
      <sheetName val="Q1"/>
      <sheetName val="Q2"/>
      <sheetName val="Q3"/>
      <sheetName val="P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B6E14C-D439-4A41-8508-007B8E63CD67}" name="Table1" displayName="Table1" ref="A1:O19" totalsRowShown="0" headerRowDxfId="27" dataDxfId="26">
  <autoFilter ref="A1:O19" xr:uid="{48B6E14C-D439-4A41-8508-007B8E63CD67}"/>
  <tableColumns count="15">
    <tableColumn id="1" xr3:uid="{3DECE491-32B0-4C71-BF97-684A0BFDB21E}" name="No. " dataDxfId="25"/>
    <tableColumn id="10" xr3:uid="{17E9BFE9-FCC5-4F62-ACAE-B7C226BB3ED9}" name="SN" dataDxfId="24"/>
    <tableColumn id="2" xr3:uid="{253282A8-41AD-4F33-BBFD-F99329B26C40}" name="PAR No." dataDxfId="23"/>
    <tableColumn id="3" xr3:uid="{58FD1755-46C9-422E-BAAB-D924B5D25510}" name="Quantity" dataDxfId="22"/>
    <tableColumn id="4" xr3:uid="{0DA9DEE5-EE3E-40E4-8CBA-0BC7B80CB2AB}" name="Unit" dataDxfId="21"/>
    <tableColumn id="14" xr3:uid="{6F9BB9C4-937F-4FAA-9FF0-06E96DAF990B}" name="YEAR" dataDxfId="20"/>
    <tableColumn id="13" xr3:uid="{F9CA730F-B059-4161-88BA-92150F1E660A}" name="UACS" dataDxfId="19"/>
    <tableColumn id="12" xr3:uid="{0101BFE3-9F30-4A1C-A9A9-715531B2C24E}" name="SERIES" dataDxfId="18"/>
    <tableColumn id="11" xr3:uid="{BED49C23-19BC-412E-862B-9DE39B907615}" name="LOCATION CODE" dataDxfId="17"/>
    <tableColumn id="5" xr3:uid="{91155534-2D0C-41CF-8B8B-17E52FCAE5C8}" name="Property Number" dataDxfId="16">
      <calculatedColumnFormula>_xlfn.CONCAT(Table1[[#This Row],[YEAR]]," - ",Table1[[#This Row],[UACS]]," - ",TEXT(Table1[[#This Row],[SERIES]],"0000")," - ",TEXT(Table1[[#This Row],[LOCATION CODE]],"00"))</calculatedColumnFormula>
    </tableColumn>
    <tableColumn id="6" xr3:uid="{AD47099B-129E-4939-AC77-FAC1F43F1357}" name="Date Acquired " dataDxfId="15"/>
    <tableColumn id="7" xr3:uid="{3FFE7638-4F0A-459E-9C1D-6CE80A42D9C0}" name="Amount" dataDxfId="14" dataCellStyle="Comma"/>
    <tableColumn id="8" xr3:uid="{08E48EAC-1500-4BE3-8FE9-6A8301AAD2C3}" name="Received by" dataDxfId="13"/>
    <tableColumn id="9" xr3:uid="{21ADE7D7-D966-46CA-A454-6DF7594A0764}" name="Position | Designation" dataDxfId="12"/>
    <tableColumn id="15" xr3:uid="{25B629E1-F75E-4C75-B028-315ACBCEDB36}" name="Column1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F16896-4379-4351-8DCD-4AAE6D6C246F}" name="Table2" displayName="Table2" ref="B3:L32" totalsRowShown="0">
  <autoFilter ref="B3:L32" xr:uid="{9DC4902F-7872-4A51-BF35-310109856B19}"/>
  <tableColumns count="11">
    <tableColumn id="1" xr3:uid="{D64D5E87-3B66-4CC6-B6BA-DEB8D7D22B43}" name="ICS No." dataDxfId="2">
      <calculatedColumnFormula>List!C2</calculatedColumnFormula>
    </tableColumn>
    <tableColumn id="2" xr3:uid="{FF97282B-2D71-4E00-90DE-7B64BDB57DFE}" name="Property No." dataDxfId="1">
      <calculatedColumnFormula>List!J2</calculatedColumnFormula>
    </tableColumn>
    <tableColumn id="3" xr3:uid="{280F1BB6-01CF-4BF2-A455-DE3CF16C5A91}" name="Asset Classification" dataDxfId="10">
      <calculatedColumnFormula>[1]List!C2</calculatedColumnFormula>
    </tableColumn>
    <tableColumn id="4" xr3:uid="{4A07470A-7C21-4273-A7C9-772D8B23D42E}" name="Item | Brand | Model" dataDxfId="9">
      <calculatedColumnFormula>CONCATENATE([1]List!E2," - ",[1]List!F2," - ",[1]List!G2)</calculatedColumnFormula>
    </tableColumn>
    <tableColumn id="5" xr3:uid="{6E051B55-4D8E-4EBD-B97B-8D9C9D4E0405}" name="Serial No." dataDxfId="8">
      <calculatedColumnFormula>[1]List!H2</calculatedColumnFormula>
    </tableColumn>
    <tableColumn id="6" xr3:uid="{1E10EC79-B6F6-4EFE-992C-1FD279638A15}" name="Acquisition Cost" dataCellStyle="Comma">
      <calculatedColumnFormula>[1]List!O2</calculatedColumnFormula>
    </tableColumn>
    <tableColumn id="7" xr3:uid="{722AB6AC-05BC-4E06-9CD9-7C1A12F5835E}" name="Acquisition Date" dataDxfId="7">
      <calculatedColumnFormula>[1]List!V2</calculatedColumnFormula>
    </tableColumn>
    <tableColumn id="9" xr3:uid="{3ED33BA1-95AE-4185-A4EC-37CD9EE2646F}" name="Issuance Date" dataDxfId="6">
      <calculatedColumnFormula>[1]List!AC2</calculatedColumnFormula>
    </tableColumn>
    <tableColumn id="10" xr3:uid="{2EBA64B3-FA14-4731-98FE-B123A6F9E1F6}" name="Location" dataDxfId="5">
      <calculatedColumnFormula>[1]List!W2</calculatedColumnFormula>
    </tableColumn>
    <tableColumn id="8" xr3:uid="{B5FFEA00-372B-4F3D-8ACC-06AE7D6D6CD5}" name="Accountable Person" dataDxfId="4">
      <calculatedColumnFormula>[1]List!X2</calculatedColumnFormula>
    </tableColumn>
    <tableColumn id="11" xr3:uid="{7451FD6C-B258-4971-9329-38D44C304A9C}" name="Fund Source" dataDxfId="3">
      <calculatedColumnFormula>[1]List!Z2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02234-393D-421A-9536-C84C5DE9B687}">
  <dimension ref="A1:Q176"/>
  <sheetViews>
    <sheetView zoomScale="190" zoomScaleNormal="190" workbookViewId="0">
      <selection activeCell="M65" sqref="M65"/>
    </sheetView>
  </sheetViews>
  <sheetFormatPr defaultRowHeight="15"/>
  <cols>
    <col min="1" max="1" width="1.6640625" customWidth="1"/>
    <col min="2" max="2" width="9.88671875" style="47" bestFit="1" customWidth="1"/>
    <col min="3" max="3" width="0.88671875" bestFit="1" customWidth="1"/>
    <col min="4" max="4" width="8.33203125" customWidth="1"/>
    <col min="5" max="5" width="7.77734375" customWidth="1"/>
    <col min="6" max="6" width="0.77734375" bestFit="1" customWidth="1"/>
    <col min="7" max="7" width="3.88671875" customWidth="1"/>
    <col min="8" max="9" width="1.77734375" customWidth="1"/>
    <col min="10" max="10" width="1.6640625" customWidth="1"/>
    <col min="11" max="11" width="9.88671875" customWidth="1"/>
    <col min="12" max="12" width="0.88671875" customWidth="1"/>
    <col min="13" max="13" width="8.33203125" customWidth="1"/>
    <col min="14" max="14" width="7.77734375" customWidth="1"/>
    <col min="15" max="15" width="0.77734375" customWidth="1"/>
    <col min="16" max="16" width="3.88671875" customWidth="1"/>
    <col min="17" max="17" width="1.77734375" customWidth="1"/>
  </cols>
  <sheetData>
    <row r="1" spans="1:17" s="48" customFormat="1" ht="6.45" customHeight="1">
      <c r="A1" s="53"/>
      <c r="B1" s="54"/>
      <c r="C1" s="55"/>
      <c r="D1" s="55"/>
      <c r="E1" s="55"/>
      <c r="F1" s="55"/>
      <c r="G1" s="55"/>
      <c r="H1" s="118" t="e" cm="1">
        <f t="array" ref="H1">_xlfn.XLOOKUP(D5,#REF!,CONCATENATE("Fund Source: ",#REF!))</f>
        <v>#REF!</v>
      </c>
      <c r="J1" s="53"/>
      <c r="K1" s="54"/>
      <c r="L1" s="55"/>
      <c r="M1" s="55"/>
      <c r="N1" s="55"/>
      <c r="O1" s="55"/>
      <c r="P1" s="55"/>
      <c r="Q1" s="118" t="e" cm="1">
        <f t="array" ref="Q1">_xlfn.XLOOKUP(M5,#REF!,CONCATENATE("Fund Source: ",#REF!))</f>
        <v>#REF!</v>
      </c>
    </row>
    <row r="2" spans="1:17" s="48" customFormat="1" ht="6.6">
      <c r="A2" s="56"/>
      <c r="B2" s="62"/>
      <c r="C2" s="63"/>
      <c r="D2" s="63"/>
      <c r="E2" s="58"/>
      <c r="F2" s="58"/>
      <c r="G2" s="58"/>
      <c r="H2" s="119"/>
      <c r="J2" s="56"/>
      <c r="K2" s="62"/>
      <c r="L2" s="63"/>
      <c r="M2" s="63"/>
      <c r="N2" s="58"/>
      <c r="O2" s="58"/>
      <c r="P2" s="58"/>
      <c r="Q2" s="119"/>
    </row>
    <row r="3" spans="1:17" s="48" customFormat="1" ht="6.6">
      <c r="A3" s="56"/>
      <c r="B3" s="62"/>
      <c r="C3" s="63"/>
      <c r="D3" s="63"/>
      <c r="E3" s="58"/>
      <c r="F3" s="58"/>
      <c r="G3" s="58"/>
      <c r="H3" s="119"/>
      <c r="J3" s="56"/>
      <c r="K3" s="62"/>
      <c r="L3" s="63"/>
      <c r="M3" s="63"/>
      <c r="N3" s="58"/>
      <c r="O3" s="58"/>
      <c r="P3" s="58"/>
      <c r="Q3" s="119"/>
    </row>
    <row r="4" spans="1:17" s="48" customFormat="1" ht="6.6">
      <c r="A4" s="56"/>
      <c r="B4" s="64" t="s">
        <v>80</v>
      </c>
      <c r="C4" s="65" t="s">
        <v>81</v>
      </c>
      <c r="D4" s="66" t="e">
        <f>_xlfn.XLOOKUP(D5,#REF!,#REF!)</f>
        <v>#REF!</v>
      </c>
      <c r="E4" s="66"/>
      <c r="F4" s="66"/>
      <c r="G4" s="66"/>
      <c r="H4" s="119"/>
      <c r="J4" s="56"/>
      <c r="K4" s="64" t="s">
        <v>80</v>
      </c>
      <c r="L4" s="65" t="s">
        <v>81</v>
      </c>
      <c r="M4" s="66" t="e">
        <f>_xlfn.XLOOKUP(M5,#REF!,#REF!)</f>
        <v>#REF!</v>
      </c>
      <c r="N4" s="66"/>
      <c r="O4" s="66"/>
      <c r="P4" s="66"/>
      <c r="Q4" s="119"/>
    </row>
    <row r="5" spans="1:17" s="48" customFormat="1" ht="6.6">
      <c r="A5" s="56"/>
      <c r="B5" s="64" t="s">
        <v>82</v>
      </c>
      <c r="C5" s="65" t="s">
        <v>81</v>
      </c>
      <c r="D5" s="121" t="s">
        <v>92</v>
      </c>
      <c r="E5" s="121"/>
      <c r="F5" s="121"/>
      <c r="G5" s="121"/>
      <c r="H5" s="119"/>
      <c r="J5" s="56"/>
      <c r="K5" s="64" t="s">
        <v>82</v>
      </c>
      <c r="L5" s="65" t="s">
        <v>81</v>
      </c>
      <c r="M5" s="121" t="s">
        <v>93</v>
      </c>
      <c r="N5" s="121"/>
      <c r="O5" s="121"/>
      <c r="P5" s="121"/>
      <c r="Q5" s="119"/>
    </row>
    <row r="6" spans="1:17" s="48" customFormat="1" ht="6.6">
      <c r="A6" s="56"/>
      <c r="B6" s="64" t="s">
        <v>83</v>
      </c>
      <c r="C6" s="65" t="s">
        <v>81</v>
      </c>
      <c r="D6" s="121" t="e">
        <f>_xlfn.XLOOKUP(D5,#REF!,#REF!)</f>
        <v>#REF!</v>
      </c>
      <c r="E6" s="121"/>
      <c r="F6" s="121"/>
      <c r="G6" s="121"/>
      <c r="H6" s="119"/>
      <c r="J6" s="56"/>
      <c r="K6" s="64" t="s">
        <v>83</v>
      </c>
      <c r="L6" s="65" t="s">
        <v>81</v>
      </c>
      <c r="M6" s="121" t="e">
        <f>_xlfn.XLOOKUP(M5,#REF!,#REF!)</f>
        <v>#REF!</v>
      </c>
      <c r="N6" s="121"/>
      <c r="O6" s="121"/>
      <c r="P6" s="121"/>
      <c r="Q6" s="119"/>
    </row>
    <row r="7" spans="1:17" s="48" customFormat="1" ht="6.6">
      <c r="A7" s="56"/>
      <c r="B7" s="64" t="s">
        <v>90</v>
      </c>
      <c r="C7" s="65" t="s">
        <v>81</v>
      </c>
      <c r="D7" s="125" t="e" cm="1">
        <f t="array" ref="D7">_xlfn.XLOOKUP(D5,#REF!,CONCATENATE(IF(#REF!="n|a"," ",#REF!)," | ",IF(#REF!="n|a"," ",#REF!)))</f>
        <v>#REF!</v>
      </c>
      <c r="E7" s="125"/>
      <c r="F7" s="125"/>
      <c r="G7" s="125"/>
      <c r="H7" s="119"/>
      <c r="J7" s="56"/>
      <c r="K7" s="64" t="s">
        <v>90</v>
      </c>
      <c r="L7" s="65" t="s">
        <v>81</v>
      </c>
      <c r="M7" s="125" t="e" cm="1">
        <f t="array" ref="M7">_xlfn.XLOOKUP(M5,#REF!,CONCATENATE(IF(#REF!="n|a"," ",#REF!)," | ",IF(#REF!="n|a"," ",#REF!)))</f>
        <v>#REF!</v>
      </c>
      <c r="N7" s="125"/>
      <c r="O7" s="125"/>
      <c r="P7" s="125"/>
      <c r="Q7" s="119"/>
    </row>
    <row r="8" spans="1:17" s="48" customFormat="1" ht="7.05" customHeight="1">
      <c r="A8" s="56"/>
      <c r="B8" s="64" t="s">
        <v>84</v>
      </c>
      <c r="C8" s="65" t="s">
        <v>81</v>
      </c>
      <c r="D8" s="123" t="e">
        <f>_xlfn.XLOOKUP(D5,#REF!,#REF!)</f>
        <v>#REF!</v>
      </c>
      <c r="E8" s="123"/>
      <c r="F8" s="123"/>
      <c r="G8" s="123"/>
      <c r="H8" s="119"/>
      <c r="J8" s="56"/>
      <c r="K8" s="64" t="s">
        <v>84</v>
      </c>
      <c r="L8" s="65" t="s">
        <v>81</v>
      </c>
      <c r="M8" s="123" t="e">
        <f>_xlfn.XLOOKUP(M5,#REF!,#REF!)</f>
        <v>#REF!</v>
      </c>
      <c r="N8" s="123"/>
      <c r="O8" s="123"/>
      <c r="P8" s="123"/>
      <c r="Q8" s="119"/>
    </row>
    <row r="9" spans="1:17" s="48" customFormat="1" ht="6.6">
      <c r="A9" s="56"/>
      <c r="B9" s="64" t="s">
        <v>85</v>
      </c>
      <c r="C9" s="65" t="s">
        <v>81</v>
      </c>
      <c r="D9" s="50" t="e">
        <f>_xlfn.XLOOKUP(D5,#REF!,#REF!)</f>
        <v>#REF!</v>
      </c>
      <c r="E9" s="64" t="s">
        <v>86</v>
      </c>
      <c r="F9" s="67" t="s">
        <v>81</v>
      </c>
      <c r="G9" s="72" t="e">
        <f>TEXT(_xlfn.XLOOKUP(D5,#REF!,#REF!),"mm.dd.yyyy")</f>
        <v>#REF!</v>
      </c>
      <c r="H9" s="119"/>
      <c r="J9" s="56"/>
      <c r="K9" s="64" t="s">
        <v>85</v>
      </c>
      <c r="L9" s="65" t="s">
        <v>81</v>
      </c>
      <c r="M9" s="50" t="e">
        <f>_xlfn.XLOOKUP(M5,#REF!,#REF!)</f>
        <v>#REF!</v>
      </c>
      <c r="N9" s="64" t="s">
        <v>86</v>
      </c>
      <c r="O9" s="67" t="s">
        <v>81</v>
      </c>
      <c r="P9" s="69" t="e">
        <f>_xlfn.XLOOKUP(M5,#REF!,#REF!)</f>
        <v>#REF!</v>
      </c>
      <c r="Q9" s="119"/>
    </row>
    <row r="10" spans="1:17" s="48" customFormat="1" ht="6.6">
      <c r="A10" s="56"/>
      <c r="B10" s="64" t="s">
        <v>87</v>
      </c>
      <c r="C10" s="65" t="s">
        <v>81</v>
      </c>
      <c r="D10" s="51" t="e">
        <f>_xlfn.XLOOKUP(D5,#REF!,#REF!)</f>
        <v>#REF!</v>
      </c>
      <c r="E10" s="68"/>
      <c r="F10" s="68"/>
      <c r="G10" s="68"/>
      <c r="H10" s="119"/>
      <c r="J10" s="56"/>
      <c r="K10" s="64" t="s">
        <v>87</v>
      </c>
      <c r="L10" s="65" t="s">
        <v>81</v>
      </c>
      <c r="M10" s="51" t="e">
        <f>_xlfn.XLOOKUP(M5,#REF!,#REF!)</f>
        <v>#REF!</v>
      </c>
      <c r="N10" s="68"/>
      <c r="O10" s="68"/>
      <c r="P10" s="68"/>
      <c r="Q10" s="119"/>
    </row>
    <row r="11" spans="1:17" s="48" customFormat="1" ht="6.6">
      <c r="A11" s="56"/>
      <c r="B11" s="64" t="s">
        <v>88</v>
      </c>
      <c r="C11" s="65" t="s">
        <v>81</v>
      </c>
      <c r="D11" s="52"/>
      <c r="E11" s="68"/>
      <c r="F11" s="68"/>
      <c r="G11" s="68"/>
      <c r="H11" s="119"/>
      <c r="J11" s="56"/>
      <c r="K11" s="64" t="s">
        <v>88</v>
      </c>
      <c r="L11" s="65" t="s">
        <v>81</v>
      </c>
      <c r="M11" s="52"/>
      <c r="N11" s="68"/>
      <c r="O11" s="68"/>
      <c r="P11" s="68"/>
      <c r="Q11" s="119"/>
    </row>
    <row r="12" spans="1:17" s="48" customFormat="1" ht="6.6">
      <c r="A12" s="56"/>
      <c r="B12" s="124" t="s">
        <v>89</v>
      </c>
      <c r="C12" s="124"/>
      <c r="D12" s="124"/>
      <c r="E12" s="124"/>
      <c r="F12" s="124"/>
      <c r="G12" s="124"/>
      <c r="H12" s="119"/>
      <c r="J12" s="56"/>
      <c r="K12" s="124" t="s">
        <v>89</v>
      </c>
      <c r="L12" s="124"/>
      <c r="M12" s="124"/>
      <c r="N12" s="124"/>
      <c r="O12" s="124"/>
      <c r="P12" s="124"/>
      <c r="Q12" s="119"/>
    </row>
    <row r="13" spans="1:17" s="48" customFormat="1" ht="6.6">
      <c r="A13" s="56"/>
      <c r="B13" s="57"/>
      <c r="C13" s="58"/>
      <c r="D13" s="58"/>
      <c r="E13" s="58"/>
      <c r="F13" s="58"/>
      <c r="G13" s="58"/>
      <c r="H13" s="119"/>
      <c r="J13" s="56"/>
      <c r="K13" s="57"/>
      <c r="L13" s="58"/>
      <c r="M13" s="58"/>
      <c r="N13" s="58"/>
      <c r="O13" s="58"/>
      <c r="P13" s="58"/>
      <c r="Q13" s="119"/>
    </row>
    <row r="14" spans="1:17" s="48" customFormat="1" ht="7.2" thickBot="1">
      <c r="A14" s="59"/>
      <c r="B14" s="60"/>
      <c r="C14" s="61"/>
      <c r="D14" s="61"/>
      <c r="E14" s="61"/>
      <c r="F14" s="61"/>
      <c r="G14" s="61"/>
      <c r="H14" s="120"/>
      <c r="J14" s="59"/>
      <c r="K14" s="60"/>
      <c r="L14" s="61"/>
      <c r="M14" s="61"/>
      <c r="N14" s="61"/>
      <c r="O14" s="61"/>
      <c r="P14" s="61"/>
      <c r="Q14" s="120"/>
    </row>
    <row r="15" spans="1:17" s="48" customFormat="1" ht="7.2" thickBot="1"/>
    <row r="16" spans="1:17" s="48" customFormat="1" ht="6.6">
      <c r="A16" s="53"/>
      <c r="B16" s="54"/>
      <c r="C16" s="55"/>
      <c r="D16" s="55"/>
      <c r="E16" s="55"/>
      <c r="F16" s="55"/>
      <c r="G16" s="55"/>
      <c r="H16" s="118" t="e" cm="1">
        <f t="array" ref="H16">_xlfn.XLOOKUP(D20,#REF!,CONCATENATE("Fund Source: ",#REF!))</f>
        <v>#REF!</v>
      </c>
      <c r="J16" s="53"/>
      <c r="K16" s="54"/>
      <c r="L16" s="55"/>
      <c r="M16" s="55"/>
      <c r="N16" s="55"/>
      <c r="O16" s="55"/>
      <c r="P16" s="55"/>
      <c r="Q16" s="118" t="e" cm="1">
        <f t="array" ref="Q16">_xlfn.XLOOKUP(M20,#REF!,CONCATENATE("Fund Source: ",#REF!))</f>
        <v>#REF!</v>
      </c>
    </row>
    <row r="17" spans="1:17" s="48" customFormat="1" ht="6.6">
      <c r="A17" s="56"/>
      <c r="B17" s="62"/>
      <c r="C17" s="63"/>
      <c r="D17" s="63"/>
      <c r="E17" s="58"/>
      <c r="F17" s="58"/>
      <c r="G17" s="58"/>
      <c r="H17" s="119"/>
      <c r="J17" s="56"/>
      <c r="K17" s="62"/>
      <c r="L17" s="63"/>
      <c r="M17" s="63"/>
      <c r="N17" s="58"/>
      <c r="O17" s="58"/>
      <c r="P17" s="58"/>
      <c r="Q17" s="119"/>
    </row>
    <row r="18" spans="1:17" s="48" customFormat="1" ht="6.6">
      <c r="A18" s="56"/>
      <c r="B18" s="62"/>
      <c r="C18" s="63"/>
      <c r="D18" s="63"/>
      <c r="E18" s="58"/>
      <c r="F18" s="58"/>
      <c r="G18" s="58"/>
      <c r="H18" s="119"/>
      <c r="J18" s="56"/>
      <c r="K18" s="62"/>
      <c r="L18" s="63"/>
      <c r="M18" s="63"/>
      <c r="N18" s="58"/>
      <c r="O18" s="58"/>
      <c r="P18" s="58"/>
      <c r="Q18" s="119"/>
    </row>
    <row r="19" spans="1:17" s="48" customFormat="1" ht="6.6">
      <c r="A19" s="56"/>
      <c r="B19" s="64" t="s">
        <v>80</v>
      </c>
      <c r="C19" s="65" t="s">
        <v>81</v>
      </c>
      <c r="D19" s="66" t="e">
        <f>_xlfn.XLOOKUP(D20,#REF!,#REF!)</f>
        <v>#REF!</v>
      </c>
      <c r="E19" s="66"/>
      <c r="F19" s="66"/>
      <c r="G19" s="66"/>
      <c r="H19" s="119"/>
      <c r="J19" s="56"/>
      <c r="K19" s="64" t="s">
        <v>80</v>
      </c>
      <c r="L19" s="65" t="s">
        <v>81</v>
      </c>
      <c r="M19" s="66" t="e">
        <f>_xlfn.XLOOKUP(M20,#REF!,#REF!)</f>
        <v>#REF!</v>
      </c>
      <c r="N19" s="66"/>
      <c r="O19" s="66"/>
      <c r="P19" s="66"/>
      <c r="Q19" s="119"/>
    </row>
    <row r="20" spans="1:17" s="48" customFormat="1" ht="6.6">
      <c r="A20" s="56"/>
      <c r="B20" s="64" t="s">
        <v>82</v>
      </c>
      <c r="C20" s="65" t="s">
        <v>81</v>
      </c>
      <c r="D20" s="121" t="s">
        <v>94</v>
      </c>
      <c r="E20" s="121"/>
      <c r="F20" s="121"/>
      <c r="G20" s="121"/>
      <c r="H20" s="119"/>
      <c r="J20" s="56"/>
      <c r="K20" s="64" t="s">
        <v>82</v>
      </c>
      <c r="L20" s="65" t="s">
        <v>81</v>
      </c>
      <c r="M20" s="121" t="s">
        <v>95</v>
      </c>
      <c r="N20" s="121"/>
      <c r="O20" s="121"/>
      <c r="P20" s="121"/>
      <c r="Q20" s="119"/>
    </row>
    <row r="21" spans="1:17" s="48" customFormat="1" ht="6.6">
      <c r="A21" s="56"/>
      <c r="B21" s="64" t="s">
        <v>83</v>
      </c>
      <c r="C21" s="65" t="s">
        <v>81</v>
      </c>
      <c r="D21" s="121" t="e">
        <f>_xlfn.XLOOKUP(D20,#REF!,#REF!)</f>
        <v>#REF!</v>
      </c>
      <c r="E21" s="121"/>
      <c r="F21" s="121"/>
      <c r="G21" s="121"/>
      <c r="H21" s="119"/>
      <c r="J21" s="56"/>
      <c r="K21" s="64" t="s">
        <v>83</v>
      </c>
      <c r="L21" s="65" t="s">
        <v>81</v>
      </c>
      <c r="M21" s="121" t="e">
        <f>_xlfn.XLOOKUP(M20,#REF!,#REF!)</f>
        <v>#REF!</v>
      </c>
      <c r="N21" s="121"/>
      <c r="O21" s="121"/>
      <c r="P21" s="121"/>
      <c r="Q21" s="119"/>
    </row>
    <row r="22" spans="1:17" s="48" customFormat="1" ht="6.6">
      <c r="A22" s="56"/>
      <c r="B22" s="70" t="s">
        <v>90</v>
      </c>
      <c r="C22" s="71" t="s">
        <v>81</v>
      </c>
      <c r="D22" s="125" t="e" cm="1">
        <f t="array" ref="D22">_xlfn.XLOOKUP(D20,#REF!,CONCATENATE(IF(#REF!="n|a"," ",#REF!)," | ",IF(#REF!="n|a"," ",#REF!)))</f>
        <v>#REF!</v>
      </c>
      <c r="E22" s="125"/>
      <c r="F22" s="125"/>
      <c r="G22" s="125"/>
      <c r="H22" s="119"/>
      <c r="J22" s="56"/>
      <c r="K22" s="70" t="s">
        <v>90</v>
      </c>
      <c r="L22" s="71" t="s">
        <v>81</v>
      </c>
      <c r="M22" s="122" t="e" cm="1">
        <f t="array" ref="M22">_xlfn.XLOOKUP(M20,#REF!,CONCATENATE(IF(#REF!="n|a"," ",#REF!)," | ",IF(#REF!="n|a"," ",#REF!)))</f>
        <v>#REF!</v>
      </c>
      <c r="N22" s="122"/>
      <c r="O22" s="122"/>
      <c r="P22" s="122"/>
      <c r="Q22" s="119"/>
    </row>
    <row r="23" spans="1:17" s="48" customFormat="1" ht="6.6">
      <c r="A23" s="56"/>
      <c r="B23" s="64" t="s">
        <v>84</v>
      </c>
      <c r="C23" s="65" t="s">
        <v>81</v>
      </c>
      <c r="D23" s="123" t="e">
        <f>_xlfn.XLOOKUP(D20,#REF!,#REF!)</f>
        <v>#REF!</v>
      </c>
      <c r="E23" s="123"/>
      <c r="F23" s="123"/>
      <c r="G23" s="123"/>
      <c r="H23" s="119"/>
      <c r="J23" s="56"/>
      <c r="K23" s="64" t="s">
        <v>84</v>
      </c>
      <c r="L23" s="65" t="s">
        <v>81</v>
      </c>
      <c r="M23" s="123" t="e">
        <f>_xlfn.XLOOKUP(M20,#REF!,#REF!)</f>
        <v>#REF!</v>
      </c>
      <c r="N23" s="123"/>
      <c r="O23" s="123"/>
      <c r="P23" s="123"/>
      <c r="Q23" s="119"/>
    </row>
    <row r="24" spans="1:17" s="48" customFormat="1" ht="6.6">
      <c r="A24" s="56"/>
      <c r="B24" s="64" t="s">
        <v>85</v>
      </c>
      <c r="C24" s="65" t="s">
        <v>81</v>
      </c>
      <c r="D24" s="50" t="e">
        <f>_xlfn.XLOOKUP(D20,#REF!,#REF!)</f>
        <v>#REF!</v>
      </c>
      <c r="E24" s="64" t="s">
        <v>86</v>
      </c>
      <c r="F24" s="67" t="s">
        <v>81</v>
      </c>
      <c r="G24" s="69" t="e">
        <f>_xlfn.XLOOKUP(D20,#REF!,#REF!)</f>
        <v>#REF!</v>
      </c>
      <c r="H24" s="119"/>
      <c r="J24" s="56"/>
      <c r="K24" s="64" t="s">
        <v>85</v>
      </c>
      <c r="L24" s="65" t="s">
        <v>81</v>
      </c>
      <c r="M24" s="50" t="e">
        <f>_xlfn.XLOOKUP(M20,#REF!,#REF!)</f>
        <v>#REF!</v>
      </c>
      <c r="N24" s="64" t="s">
        <v>86</v>
      </c>
      <c r="O24" s="67" t="s">
        <v>81</v>
      </c>
      <c r="P24" s="69" t="e">
        <f>_xlfn.XLOOKUP(M20,#REF!,#REF!)</f>
        <v>#REF!</v>
      </c>
      <c r="Q24" s="119"/>
    </row>
    <row r="25" spans="1:17" s="48" customFormat="1" ht="6.6">
      <c r="A25" s="56"/>
      <c r="B25" s="64" t="s">
        <v>87</v>
      </c>
      <c r="C25" s="65" t="s">
        <v>81</v>
      </c>
      <c r="D25" s="51" t="e">
        <f>_xlfn.XLOOKUP(D20,#REF!,#REF!)</f>
        <v>#REF!</v>
      </c>
      <c r="E25" s="68"/>
      <c r="F25" s="68"/>
      <c r="G25" s="68"/>
      <c r="H25" s="119"/>
      <c r="J25" s="56"/>
      <c r="K25" s="64" t="s">
        <v>87</v>
      </c>
      <c r="L25" s="65" t="s">
        <v>81</v>
      </c>
      <c r="M25" s="51" t="e">
        <f>_xlfn.XLOOKUP(M20,#REF!,#REF!)</f>
        <v>#REF!</v>
      </c>
      <c r="N25" s="68"/>
      <c r="O25" s="68"/>
      <c r="P25" s="68"/>
      <c r="Q25" s="119"/>
    </row>
    <row r="26" spans="1:17" s="48" customFormat="1" ht="6.6">
      <c r="A26" s="56"/>
      <c r="B26" s="64" t="s">
        <v>88</v>
      </c>
      <c r="C26" s="65" t="s">
        <v>81</v>
      </c>
      <c r="D26" s="52"/>
      <c r="E26" s="68"/>
      <c r="F26" s="68"/>
      <c r="G26" s="68"/>
      <c r="H26" s="119"/>
      <c r="J26" s="56"/>
      <c r="K26" s="64" t="s">
        <v>88</v>
      </c>
      <c r="L26" s="65" t="s">
        <v>81</v>
      </c>
      <c r="M26" s="52"/>
      <c r="N26" s="68"/>
      <c r="O26" s="68"/>
      <c r="P26" s="68"/>
      <c r="Q26" s="119"/>
    </row>
    <row r="27" spans="1:17" s="48" customFormat="1" ht="6.6">
      <c r="A27" s="56"/>
      <c r="B27" s="124" t="s">
        <v>89</v>
      </c>
      <c r="C27" s="124"/>
      <c r="D27" s="124"/>
      <c r="E27" s="124"/>
      <c r="F27" s="124"/>
      <c r="G27" s="124"/>
      <c r="H27" s="119"/>
      <c r="J27" s="56"/>
      <c r="K27" s="124" t="s">
        <v>89</v>
      </c>
      <c r="L27" s="124"/>
      <c r="M27" s="124"/>
      <c r="N27" s="124"/>
      <c r="O27" s="124"/>
      <c r="P27" s="124"/>
      <c r="Q27" s="119"/>
    </row>
    <row r="28" spans="1:17" s="48" customFormat="1" ht="6.6">
      <c r="A28" s="56"/>
      <c r="B28" s="57"/>
      <c r="C28" s="58"/>
      <c r="D28" s="58"/>
      <c r="E28" s="58"/>
      <c r="F28" s="58"/>
      <c r="G28" s="58"/>
      <c r="H28" s="119"/>
      <c r="J28" s="56"/>
      <c r="K28" s="57"/>
      <c r="L28" s="58"/>
      <c r="M28" s="58"/>
      <c r="N28" s="58"/>
      <c r="O28" s="58"/>
      <c r="P28" s="58"/>
      <c r="Q28" s="119"/>
    </row>
    <row r="29" spans="1:17" s="48" customFormat="1" ht="7.2" thickBot="1">
      <c r="A29" s="59"/>
      <c r="B29" s="60"/>
      <c r="C29" s="61"/>
      <c r="D29" s="61"/>
      <c r="E29" s="61"/>
      <c r="F29" s="61"/>
      <c r="G29" s="61"/>
      <c r="H29" s="120"/>
      <c r="J29" s="59"/>
      <c r="K29" s="60"/>
      <c r="L29" s="61"/>
      <c r="M29" s="61"/>
      <c r="N29" s="61"/>
      <c r="O29" s="61"/>
      <c r="P29" s="61"/>
      <c r="Q29" s="120"/>
    </row>
    <row r="30" spans="1:17" s="48" customFormat="1" ht="7.2" thickBot="1"/>
    <row r="31" spans="1:17" s="48" customFormat="1" ht="6.6">
      <c r="A31" s="53"/>
      <c r="B31" s="54"/>
      <c r="C31" s="55"/>
      <c r="D31" s="55"/>
      <c r="E31" s="55"/>
      <c r="F31" s="55"/>
      <c r="G31" s="55"/>
      <c r="H31" s="118" t="e" cm="1">
        <f t="array" ref="H31">_xlfn.XLOOKUP(D35,#REF!,CONCATENATE("Fund Source: ",#REF!))</f>
        <v>#REF!</v>
      </c>
      <c r="J31" s="53"/>
      <c r="K31" s="54"/>
      <c r="L31" s="55"/>
      <c r="M31" s="55"/>
      <c r="N31" s="55"/>
      <c r="O31" s="55"/>
      <c r="P31" s="55"/>
      <c r="Q31" s="118" t="e" cm="1">
        <f t="array" ref="Q31">_xlfn.XLOOKUP(M35,#REF!,CONCATENATE("Fund Source: ",#REF!))</f>
        <v>#REF!</v>
      </c>
    </row>
    <row r="32" spans="1:17" s="48" customFormat="1" ht="6.6">
      <c r="A32" s="56"/>
      <c r="B32" s="62"/>
      <c r="C32" s="63"/>
      <c r="D32" s="63"/>
      <c r="E32" s="58"/>
      <c r="F32" s="58"/>
      <c r="G32" s="58"/>
      <c r="H32" s="119"/>
      <c r="J32" s="56"/>
      <c r="K32" s="62"/>
      <c r="L32" s="63"/>
      <c r="M32" s="63"/>
      <c r="N32" s="58"/>
      <c r="O32" s="58"/>
      <c r="P32" s="58"/>
      <c r="Q32" s="119"/>
    </row>
    <row r="33" spans="1:17" s="48" customFormat="1" ht="6.6">
      <c r="A33" s="56"/>
      <c r="B33" s="62"/>
      <c r="C33" s="63"/>
      <c r="D33" s="63"/>
      <c r="E33" s="58"/>
      <c r="F33" s="58"/>
      <c r="G33" s="58"/>
      <c r="H33" s="119"/>
      <c r="J33" s="56"/>
      <c r="K33" s="62"/>
      <c r="L33" s="63"/>
      <c r="M33" s="63"/>
      <c r="N33" s="58"/>
      <c r="O33" s="58"/>
      <c r="P33" s="58"/>
      <c r="Q33" s="119"/>
    </row>
    <row r="34" spans="1:17" s="48" customFormat="1" ht="6.6">
      <c r="A34" s="56"/>
      <c r="B34" s="64" t="s">
        <v>80</v>
      </c>
      <c r="C34" s="65" t="s">
        <v>81</v>
      </c>
      <c r="D34" s="66" t="e">
        <f>_xlfn.XLOOKUP(D35,#REF!,#REF!)</f>
        <v>#REF!</v>
      </c>
      <c r="E34" s="66"/>
      <c r="F34" s="66"/>
      <c r="G34" s="66"/>
      <c r="H34" s="119"/>
      <c r="J34" s="56"/>
      <c r="K34" s="64" t="s">
        <v>80</v>
      </c>
      <c r="L34" s="65" t="s">
        <v>81</v>
      </c>
      <c r="M34" s="66" t="e">
        <f>_xlfn.XLOOKUP(M35,#REF!,#REF!)</f>
        <v>#REF!</v>
      </c>
      <c r="N34" s="66"/>
      <c r="O34" s="66"/>
      <c r="P34" s="66"/>
      <c r="Q34" s="119"/>
    </row>
    <row r="35" spans="1:17" s="48" customFormat="1" ht="6.6">
      <c r="A35" s="56"/>
      <c r="B35" s="64" t="s">
        <v>82</v>
      </c>
      <c r="C35" s="65" t="s">
        <v>81</v>
      </c>
      <c r="D35" s="121" t="s">
        <v>96</v>
      </c>
      <c r="E35" s="121"/>
      <c r="F35" s="121"/>
      <c r="G35" s="121"/>
      <c r="H35" s="119"/>
      <c r="J35" s="56"/>
      <c r="K35" s="64" t="s">
        <v>82</v>
      </c>
      <c r="L35" s="65" t="s">
        <v>81</v>
      </c>
      <c r="M35" s="121" t="s">
        <v>97</v>
      </c>
      <c r="N35" s="121"/>
      <c r="O35" s="121"/>
      <c r="P35" s="121"/>
      <c r="Q35" s="119"/>
    </row>
    <row r="36" spans="1:17" s="48" customFormat="1" ht="6.6">
      <c r="A36" s="56"/>
      <c r="B36" s="64" t="s">
        <v>83</v>
      </c>
      <c r="C36" s="65" t="s">
        <v>81</v>
      </c>
      <c r="D36" s="121" t="e">
        <f>_xlfn.XLOOKUP(D35,#REF!,#REF!)</f>
        <v>#REF!</v>
      </c>
      <c r="E36" s="121"/>
      <c r="F36" s="121"/>
      <c r="G36" s="121"/>
      <c r="H36" s="119"/>
      <c r="J36" s="56"/>
      <c r="K36" s="64" t="s">
        <v>83</v>
      </c>
      <c r="L36" s="65" t="s">
        <v>81</v>
      </c>
      <c r="M36" s="121" t="e">
        <f>_xlfn.XLOOKUP(M35,#REF!,#REF!)</f>
        <v>#REF!</v>
      </c>
      <c r="N36" s="121"/>
      <c r="O36" s="121"/>
      <c r="P36" s="121"/>
      <c r="Q36" s="119"/>
    </row>
    <row r="37" spans="1:17" s="48" customFormat="1" ht="6.6">
      <c r="A37" s="56"/>
      <c r="B37" s="70" t="s">
        <v>90</v>
      </c>
      <c r="C37" s="71" t="s">
        <v>81</v>
      </c>
      <c r="D37" s="125" t="e" cm="1">
        <f t="array" ref="D37">_xlfn.XLOOKUP(D35,#REF!,CONCATENATE(IF(#REF!="n|a"," ",#REF!)," | ",IF(#REF!="n|a"," ",#REF!)))</f>
        <v>#REF!</v>
      </c>
      <c r="E37" s="125"/>
      <c r="F37" s="125"/>
      <c r="G37" s="125"/>
      <c r="H37" s="119"/>
      <c r="J37" s="56"/>
      <c r="K37" s="70" t="s">
        <v>90</v>
      </c>
      <c r="L37" s="71" t="s">
        <v>81</v>
      </c>
      <c r="M37" s="122" t="e" cm="1">
        <f t="array" ref="M37">_xlfn.XLOOKUP(M35,#REF!,CONCATENATE(IF(#REF!="n|a"," ",#REF!)," | ",IF(#REF!="n|a"," ",#REF!)))</f>
        <v>#REF!</v>
      </c>
      <c r="N37" s="122"/>
      <c r="O37" s="122"/>
      <c r="P37" s="122"/>
      <c r="Q37" s="119"/>
    </row>
    <row r="38" spans="1:17" s="48" customFormat="1" ht="6.6">
      <c r="A38" s="56"/>
      <c r="B38" s="64" t="s">
        <v>84</v>
      </c>
      <c r="C38" s="65" t="s">
        <v>81</v>
      </c>
      <c r="D38" s="123" t="e">
        <f>_xlfn.XLOOKUP(D35,#REF!,#REF!)</f>
        <v>#REF!</v>
      </c>
      <c r="E38" s="123"/>
      <c r="F38" s="123"/>
      <c r="G38" s="123"/>
      <c r="H38" s="119"/>
      <c r="J38" s="56"/>
      <c r="K38" s="64" t="s">
        <v>84</v>
      </c>
      <c r="L38" s="65" t="s">
        <v>81</v>
      </c>
      <c r="M38" s="123" t="e">
        <f>_xlfn.XLOOKUP(M35,#REF!,#REF!)</f>
        <v>#REF!</v>
      </c>
      <c r="N38" s="123"/>
      <c r="O38" s="123"/>
      <c r="P38" s="123"/>
      <c r="Q38" s="119"/>
    </row>
    <row r="39" spans="1:17" s="48" customFormat="1" ht="6.6">
      <c r="A39" s="56"/>
      <c r="B39" s="64" t="s">
        <v>85</v>
      </c>
      <c r="C39" s="65" t="s">
        <v>81</v>
      </c>
      <c r="D39" s="50" t="e">
        <f>_xlfn.XLOOKUP(D35,#REF!,#REF!)</f>
        <v>#REF!</v>
      </c>
      <c r="E39" s="64" t="s">
        <v>86</v>
      </c>
      <c r="F39" s="67" t="s">
        <v>81</v>
      </c>
      <c r="G39" s="69" t="e">
        <f>_xlfn.XLOOKUP(D35,#REF!,#REF!)</f>
        <v>#REF!</v>
      </c>
      <c r="H39" s="119"/>
      <c r="J39" s="56"/>
      <c r="K39" s="64" t="s">
        <v>85</v>
      </c>
      <c r="L39" s="65" t="s">
        <v>81</v>
      </c>
      <c r="M39" s="50" t="e">
        <f>_xlfn.XLOOKUP(M35,#REF!,#REF!)</f>
        <v>#REF!</v>
      </c>
      <c r="N39" s="64" t="s">
        <v>86</v>
      </c>
      <c r="O39" s="67" t="s">
        <v>81</v>
      </c>
      <c r="P39" s="69" t="e">
        <f>_xlfn.XLOOKUP(M35,#REF!,#REF!)</f>
        <v>#REF!</v>
      </c>
      <c r="Q39" s="119"/>
    </row>
    <row r="40" spans="1:17" s="48" customFormat="1" ht="6.6">
      <c r="A40" s="56"/>
      <c r="B40" s="64" t="s">
        <v>87</v>
      </c>
      <c r="C40" s="65" t="s">
        <v>81</v>
      </c>
      <c r="D40" s="51" t="e">
        <f>_xlfn.XLOOKUP(D35,#REF!,#REF!)</f>
        <v>#REF!</v>
      </c>
      <c r="E40" s="68"/>
      <c r="F40" s="68"/>
      <c r="G40" s="68"/>
      <c r="H40" s="119"/>
      <c r="J40" s="56"/>
      <c r="K40" s="64" t="s">
        <v>87</v>
      </c>
      <c r="L40" s="65" t="s">
        <v>81</v>
      </c>
      <c r="M40" s="51" t="e">
        <f>_xlfn.XLOOKUP(M35,#REF!,#REF!)</f>
        <v>#REF!</v>
      </c>
      <c r="N40" s="68"/>
      <c r="O40" s="68"/>
      <c r="P40" s="68"/>
      <c r="Q40" s="119"/>
    </row>
    <row r="41" spans="1:17" s="48" customFormat="1" ht="6.6">
      <c r="A41" s="56"/>
      <c r="B41" s="64" t="s">
        <v>88</v>
      </c>
      <c r="C41" s="65" t="s">
        <v>81</v>
      </c>
      <c r="D41" s="52"/>
      <c r="E41" s="68"/>
      <c r="F41" s="68"/>
      <c r="G41" s="68"/>
      <c r="H41" s="119"/>
      <c r="J41" s="56"/>
      <c r="K41" s="64" t="s">
        <v>88</v>
      </c>
      <c r="L41" s="65" t="s">
        <v>81</v>
      </c>
      <c r="M41" s="52"/>
      <c r="N41" s="68"/>
      <c r="O41" s="68"/>
      <c r="P41" s="68"/>
      <c r="Q41" s="119"/>
    </row>
    <row r="42" spans="1:17" s="48" customFormat="1" ht="6.6">
      <c r="A42" s="56"/>
      <c r="B42" s="124" t="s">
        <v>89</v>
      </c>
      <c r="C42" s="124"/>
      <c r="D42" s="124"/>
      <c r="E42" s="124"/>
      <c r="F42" s="124"/>
      <c r="G42" s="124"/>
      <c r="H42" s="119"/>
      <c r="J42" s="56"/>
      <c r="K42" s="124" t="s">
        <v>89</v>
      </c>
      <c r="L42" s="124"/>
      <c r="M42" s="124"/>
      <c r="N42" s="124"/>
      <c r="O42" s="124"/>
      <c r="P42" s="124"/>
      <c r="Q42" s="119"/>
    </row>
    <row r="43" spans="1:17" s="48" customFormat="1" ht="6.6">
      <c r="A43" s="56"/>
      <c r="B43" s="57"/>
      <c r="C43" s="58"/>
      <c r="D43" s="58"/>
      <c r="E43" s="58"/>
      <c r="F43" s="58"/>
      <c r="G43" s="58"/>
      <c r="H43" s="119"/>
      <c r="J43" s="56"/>
      <c r="K43" s="57"/>
      <c r="L43" s="58"/>
      <c r="M43" s="58"/>
      <c r="N43" s="58"/>
      <c r="O43" s="58"/>
      <c r="P43" s="58"/>
      <c r="Q43" s="119"/>
    </row>
    <row r="44" spans="1:17" s="48" customFormat="1" ht="7.2" thickBot="1">
      <c r="A44" s="59"/>
      <c r="B44" s="60"/>
      <c r="C44" s="61"/>
      <c r="D44" s="61"/>
      <c r="E44" s="61"/>
      <c r="F44" s="61"/>
      <c r="G44" s="61"/>
      <c r="H44" s="120"/>
      <c r="J44" s="59"/>
      <c r="K44" s="60"/>
      <c r="L44" s="61"/>
      <c r="M44" s="61"/>
      <c r="N44" s="61"/>
      <c r="O44" s="61"/>
      <c r="P44" s="61"/>
      <c r="Q44" s="120"/>
    </row>
    <row r="45" spans="1:17" s="48" customFormat="1" ht="7.2" thickBot="1">
      <c r="B45" s="49"/>
    </row>
    <row r="46" spans="1:17" s="48" customFormat="1" ht="6.6">
      <c r="A46" s="53"/>
      <c r="B46" s="54"/>
      <c r="C46" s="55"/>
      <c r="D46" s="55"/>
      <c r="E46" s="55"/>
      <c r="F46" s="55"/>
      <c r="G46" s="55"/>
      <c r="H46" s="118" t="e" cm="1">
        <f t="array" ref="H46">_xlfn.XLOOKUP(D50,#REF!,CONCATENATE("Fund Source: ",#REF!))</f>
        <v>#REF!</v>
      </c>
      <c r="J46" s="53"/>
      <c r="K46" s="54"/>
      <c r="L46" s="55"/>
      <c r="M46" s="55"/>
      <c r="N46" s="55"/>
      <c r="O46" s="55"/>
      <c r="P46" s="55"/>
      <c r="Q46" s="118" t="e" cm="1">
        <f t="array" ref="Q46">_xlfn.XLOOKUP(M50,#REF!,CONCATENATE("Fund Source: ",#REF!))</f>
        <v>#REF!</v>
      </c>
    </row>
    <row r="47" spans="1:17" s="48" customFormat="1" ht="6.6">
      <c r="A47" s="56"/>
      <c r="B47" s="62"/>
      <c r="C47" s="63"/>
      <c r="D47" s="63"/>
      <c r="E47" s="58"/>
      <c r="F47" s="58"/>
      <c r="G47" s="58"/>
      <c r="H47" s="119"/>
      <c r="J47" s="56"/>
      <c r="K47" s="62"/>
      <c r="L47" s="63"/>
      <c r="M47" s="63"/>
      <c r="N47" s="58"/>
      <c r="O47" s="58"/>
      <c r="P47" s="58"/>
      <c r="Q47" s="119"/>
    </row>
    <row r="48" spans="1:17" s="48" customFormat="1" ht="6.6">
      <c r="A48" s="56"/>
      <c r="B48" s="62"/>
      <c r="C48" s="63"/>
      <c r="D48" s="63"/>
      <c r="E48" s="58"/>
      <c r="F48" s="58"/>
      <c r="G48" s="58"/>
      <c r="H48" s="119"/>
      <c r="J48" s="56"/>
      <c r="K48" s="62"/>
      <c r="L48" s="63"/>
      <c r="M48" s="63"/>
      <c r="N48" s="58"/>
      <c r="O48" s="58"/>
      <c r="P48" s="58"/>
      <c r="Q48" s="119"/>
    </row>
    <row r="49" spans="1:17" s="48" customFormat="1" ht="6.6">
      <c r="A49" s="56"/>
      <c r="B49" s="64" t="s">
        <v>80</v>
      </c>
      <c r="C49" s="65" t="s">
        <v>81</v>
      </c>
      <c r="D49" s="66" t="e">
        <f>_xlfn.XLOOKUP(D50,#REF!,#REF!)</f>
        <v>#REF!</v>
      </c>
      <c r="E49" s="66"/>
      <c r="F49" s="66"/>
      <c r="G49" s="66"/>
      <c r="H49" s="119"/>
      <c r="J49" s="56"/>
      <c r="K49" s="64" t="s">
        <v>80</v>
      </c>
      <c r="L49" s="65" t="s">
        <v>81</v>
      </c>
      <c r="M49" s="66" t="e">
        <f>_xlfn.XLOOKUP(M50,#REF!,#REF!)</f>
        <v>#REF!</v>
      </c>
      <c r="N49" s="66"/>
      <c r="O49" s="66"/>
      <c r="P49" s="66"/>
      <c r="Q49" s="119"/>
    </row>
    <row r="50" spans="1:17" s="48" customFormat="1" ht="6.6">
      <c r="A50" s="56"/>
      <c r="B50" s="64" t="s">
        <v>82</v>
      </c>
      <c r="C50" s="65" t="s">
        <v>81</v>
      </c>
      <c r="D50" s="121" t="s">
        <v>98</v>
      </c>
      <c r="E50" s="121"/>
      <c r="F50" s="121"/>
      <c r="G50" s="121"/>
      <c r="H50" s="119"/>
      <c r="J50" s="56"/>
      <c r="K50" s="64" t="s">
        <v>82</v>
      </c>
      <c r="L50" s="65" t="s">
        <v>81</v>
      </c>
      <c r="M50" s="121" t="s">
        <v>99</v>
      </c>
      <c r="N50" s="121"/>
      <c r="O50" s="121"/>
      <c r="P50" s="121"/>
      <c r="Q50" s="119"/>
    </row>
    <row r="51" spans="1:17" s="48" customFormat="1" ht="6.6">
      <c r="A51" s="56"/>
      <c r="B51" s="64" t="s">
        <v>83</v>
      </c>
      <c r="C51" s="65" t="s">
        <v>81</v>
      </c>
      <c r="D51" s="121" t="e">
        <f>_xlfn.XLOOKUP(D50,#REF!,#REF!)</f>
        <v>#REF!</v>
      </c>
      <c r="E51" s="121"/>
      <c r="F51" s="121"/>
      <c r="G51" s="121"/>
      <c r="H51" s="119"/>
      <c r="J51" s="56"/>
      <c r="K51" s="64" t="s">
        <v>83</v>
      </c>
      <c r="L51" s="65" t="s">
        <v>81</v>
      </c>
      <c r="M51" s="121" t="e">
        <f>_xlfn.XLOOKUP(M50,#REF!,#REF!)</f>
        <v>#REF!</v>
      </c>
      <c r="N51" s="121"/>
      <c r="O51" s="121"/>
      <c r="P51" s="121"/>
      <c r="Q51" s="119"/>
    </row>
    <row r="52" spans="1:17" s="48" customFormat="1" ht="6.6">
      <c r="A52" s="56"/>
      <c r="B52" s="70" t="s">
        <v>90</v>
      </c>
      <c r="C52" s="71" t="s">
        <v>81</v>
      </c>
      <c r="D52" s="125" t="e" cm="1">
        <f t="array" ref="D52">_xlfn.XLOOKUP(D50,#REF!,CONCATENATE(IF(#REF!="n|a"," ",#REF!)," | ",IF(#REF!="n|a"," ",#REF!)))</f>
        <v>#REF!</v>
      </c>
      <c r="E52" s="125"/>
      <c r="F52" s="125"/>
      <c r="G52" s="125"/>
      <c r="H52" s="119"/>
      <c r="J52" s="56"/>
      <c r="K52" s="70" t="s">
        <v>90</v>
      </c>
      <c r="L52" s="71" t="s">
        <v>81</v>
      </c>
      <c r="M52" s="122" t="e" cm="1">
        <f t="array" ref="M52">_xlfn.XLOOKUP(M50,#REF!,CONCATENATE(IF(#REF!="n|a"," ",#REF!)," | ",IF(#REF!="n|a"," ",#REF!)))</f>
        <v>#REF!</v>
      </c>
      <c r="N52" s="122"/>
      <c r="O52" s="122"/>
      <c r="P52" s="122"/>
      <c r="Q52" s="119"/>
    </row>
    <row r="53" spans="1:17" s="48" customFormat="1" ht="6.6">
      <c r="A53" s="56"/>
      <c r="B53" s="64" t="s">
        <v>84</v>
      </c>
      <c r="C53" s="65" t="s">
        <v>81</v>
      </c>
      <c r="D53" s="123" t="e">
        <f>_xlfn.XLOOKUP(D50,#REF!,#REF!)</f>
        <v>#REF!</v>
      </c>
      <c r="E53" s="123"/>
      <c r="F53" s="123"/>
      <c r="G53" s="123"/>
      <c r="H53" s="119"/>
      <c r="J53" s="56"/>
      <c r="K53" s="64" t="s">
        <v>84</v>
      </c>
      <c r="L53" s="65" t="s">
        <v>81</v>
      </c>
      <c r="M53" s="123" t="e">
        <f>_xlfn.XLOOKUP(M50,#REF!,#REF!)</f>
        <v>#REF!</v>
      </c>
      <c r="N53" s="123"/>
      <c r="O53" s="123"/>
      <c r="P53" s="123"/>
      <c r="Q53" s="119"/>
    </row>
    <row r="54" spans="1:17" s="48" customFormat="1" ht="6.6">
      <c r="A54" s="56"/>
      <c r="B54" s="64" t="s">
        <v>85</v>
      </c>
      <c r="C54" s="65" t="s">
        <v>81</v>
      </c>
      <c r="D54" s="50" t="e">
        <f>_xlfn.XLOOKUP(D50,#REF!,#REF!)</f>
        <v>#REF!</v>
      </c>
      <c r="E54" s="64" t="s">
        <v>86</v>
      </c>
      <c r="F54" s="67" t="s">
        <v>81</v>
      </c>
      <c r="G54" s="69" t="e">
        <f>_xlfn.XLOOKUP(D50,#REF!,#REF!)</f>
        <v>#REF!</v>
      </c>
      <c r="H54" s="119"/>
      <c r="J54" s="56"/>
      <c r="K54" s="64" t="s">
        <v>85</v>
      </c>
      <c r="L54" s="65" t="s">
        <v>81</v>
      </c>
      <c r="M54" s="50" t="e">
        <f>_xlfn.XLOOKUP(M50,#REF!,#REF!)</f>
        <v>#REF!</v>
      </c>
      <c r="N54" s="64" t="s">
        <v>86</v>
      </c>
      <c r="O54" s="67" t="s">
        <v>81</v>
      </c>
      <c r="P54" s="69" t="e">
        <f>_xlfn.XLOOKUP(M50,#REF!,#REF!)</f>
        <v>#REF!</v>
      </c>
      <c r="Q54" s="119"/>
    </row>
    <row r="55" spans="1:17" s="48" customFormat="1" ht="6.6">
      <c r="A55" s="56"/>
      <c r="B55" s="64" t="s">
        <v>87</v>
      </c>
      <c r="C55" s="65" t="s">
        <v>81</v>
      </c>
      <c r="D55" s="51" t="e">
        <f>_xlfn.XLOOKUP(D50,#REF!,#REF!)</f>
        <v>#REF!</v>
      </c>
      <c r="E55" s="68"/>
      <c r="F55" s="68"/>
      <c r="G55" s="68"/>
      <c r="H55" s="119"/>
      <c r="J55" s="56"/>
      <c r="K55" s="64" t="s">
        <v>87</v>
      </c>
      <c r="L55" s="65" t="s">
        <v>81</v>
      </c>
      <c r="M55" s="51" t="e">
        <f>_xlfn.XLOOKUP(M50,#REF!,#REF!)</f>
        <v>#REF!</v>
      </c>
      <c r="N55" s="68"/>
      <c r="O55" s="68"/>
      <c r="P55" s="68"/>
      <c r="Q55" s="119"/>
    </row>
    <row r="56" spans="1:17" s="48" customFormat="1" ht="6.6">
      <c r="A56" s="56"/>
      <c r="B56" s="64" t="s">
        <v>88</v>
      </c>
      <c r="C56" s="65" t="s">
        <v>81</v>
      </c>
      <c r="D56" s="52"/>
      <c r="E56" s="68"/>
      <c r="F56" s="68"/>
      <c r="G56" s="68"/>
      <c r="H56" s="119"/>
      <c r="J56" s="56"/>
      <c r="K56" s="64" t="s">
        <v>88</v>
      </c>
      <c r="L56" s="65" t="s">
        <v>81</v>
      </c>
      <c r="M56" s="52"/>
      <c r="N56" s="68"/>
      <c r="O56" s="68"/>
      <c r="P56" s="68"/>
      <c r="Q56" s="119"/>
    </row>
    <row r="57" spans="1:17" s="48" customFormat="1" ht="6.6">
      <c r="A57" s="56"/>
      <c r="B57" s="124" t="s">
        <v>89</v>
      </c>
      <c r="C57" s="124"/>
      <c r="D57" s="124"/>
      <c r="E57" s="124"/>
      <c r="F57" s="124"/>
      <c r="G57" s="124"/>
      <c r="H57" s="119"/>
      <c r="J57" s="56"/>
      <c r="K57" s="124" t="s">
        <v>89</v>
      </c>
      <c r="L57" s="124"/>
      <c r="M57" s="124"/>
      <c r="N57" s="124"/>
      <c r="O57" s="124"/>
      <c r="P57" s="124"/>
      <c r="Q57" s="119"/>
    </row>
    <row r="58" spans="1:17" s="48" customFormat="1" ht="6.6">
      <c r="A58" s="56"/>
      <c r="B58" s="57"/>
      <c r="C58" s="58"/>
      <c r="D58" s="58"/>
      <c r="E58" s="58"/>
      <c r="F58" s="58"/>
      <c r="G58" s="58"/>
      <c r="H58" s="119"/>
      <c r="J58" s="56"/>
      <c r="K58" s="57"/>
      <c r="L58" s="58"/>
      <c r="M58" s="58"/>
      <c r="N58" s="58"/>
      <c r="O58" s="58"/>
      <c r="P58" s="58"/>
      <c r="Q58" s="119"/>
    </row>
    <row r="59" spans="1:17" s="48" customFormat="1" ht="7.2" thickBot="1">
      <c r="A59" s="59"/>
      <c r="B59" s="60"/>
      <c r="C59" s="61"/>
      <c r="D59" s="61"/>
      <c r="E59" s="61"/>
      <c r="F59" s="61"/>
      <c r="G59" s="61"/>
      <c r="H59" s="120"/>
      <c r="J59" s="59"/>
      <c r="K59" s="60"/>
      <c r="L59" s="61"/>
      <c r="M59" s="61"/>
      <c r="N59" s="61"/>
      <c r="O59" s="61"/>
      <c r="P59" s="61"/>
      <c r="Q59" s="120"/>
    </row>
    <row r="60" spans="1:17" s="48" customFormat="1" ht="6.6">
      <c r="B60" s="49"/>
    </row>
    <row r="61" spans="1:17" s="48" customFormat="1" ht="6.6">
      <c r="B61" s="49"/>
    </row>
    <row r="62" spans="1:17" s="48" customFormat="1" ht="6.6">
      <c r="B62" s="49"/>
    </row>
    <row r="63" spans="1:17" s="48" customFormat="1" ht="6.6">
      <c r="B63" s="49"/>
    </row>
    <row r="64" spans="1:17" s="48" customFormat="1" ht="6.6">
      <c r="B64" s="49"/>
    </row>
    <row r="65" spans="2:2" s="48" customFormat="1" ht="6.6">
      <c r="B65" s="49"/>
    </row>
    <row r="66" spans="2:2" s="48" customFormat="1" ht="6.6">
      <c r="B66" s="49"/>
    </row>
    <row r="67" spans="2:2" s="48" customFormat="1" ht="6.6">
      <c r="B67" s="49"/>
    </row>
    <row r="68" spans="2:2" s="48" customFormat="1" ht="6.6">
      <c r="B68" s="49"/>
    </row>
    <row r="69" spans="2:2" s="48" customFormat="1" ht="6.6">
      <c r="B69" s="49"/>
    </row>
    <row r="70" spans="2:2" s="48" customFormat="1" ht="6.6">
      <c r="B70" s="49"/>
    </row>
    <row r="71" spans="2:2" s="48" customFormat="1" ht="6.6">
      <c r="B71" s="49"/>
    </row>
    <row r="72" spans="2:2" s="48" customFormat="1" ht="6.6">
      <c r="B72" s="49"/>
    </row>
    <row r="73" spans="2:2" s="48" customFormat="1" ht="6.6">
      <c r="B73" s="49"/>
    </row>
    <row r="74" spans="2:2" s="48" customFormat="1" ht="6.6">
      <c r="B74" s="49"/>
    </row>
    <row r="75" spans="2:2" s="48" customFormat="1" ht="6.6">
      <c r="B75" s="49"/>
    </row>
    <row r="76" spans="2:2" s="48" customFormat="1" ht="6.6">
      <c r="B76" s="49"/>
    </row>
    <row r="77" spans="2:2" s="48" customFormat="1" ht="6.6">
      <c r="B77" s="49"/>
    </row>
    <row r="78" spans="2:2" s="48" customFormat="1" ht="6.6">
      <c r="B78" s="49"/>
    </row>
    <row r="79" spans="2:2" s="48" customFormat="1" ht="6.6">
      <c r="B79" s="49"/>
    </row>
    <row r="80" spans="2:2" s="48" customFormat="1" ht="6.6">
      <c r="B80" s="49"/>
    </row>
    <row r="81" spans="2:2" s="48" customFormat="1" ht="6.6">
      <c r="B81" s="49"/>
    </row>
    <row r="82" spans="2:2" s="48" customFormat="1" ht="6.6">
      <c r="B82" s="49"/>
    </row>
    <row r="83" spans="2:2" s="48" customFormat="1" ht="6.6">
      <c r="B83" s="49"/>
    </row>
    <row r="84" spans="2:2" s="48" customFormat="1" ht="6.6">
      <c r="B84" s="49"/>
    </row>
    <row r="85" spans="2:2" s="48" customFormat="1" ht="6.6">
      <c r="B85" s="49"/>
    </row>
    <row r="86" spans="2:2" s="48" customFormat="1" ht="6.6">
      <c r="B86" s="49"/>
    </row>
    <row r="87" spans="2:2" s="48" customFormat="1" ht="6.6">
      <c r="B87" s="49"/>
    </row>
    <row r="88" spans="2:2" s="48" customFormat="1" ht="6.6">
      <c r="B88" s="49"/>
    </row>
    <row r="89" spans="2:2" s="48" customFormat="1" ht="6.6">
      <c r="B89" s="49"/>
    </row>
    <row r="90" spans="2:2" s="48" customFormat="1" ht="6.6">
      <c r="B90" s="49"/>
    </row>
    <row r="91" spans="2:2" s="48" customFormat="1" ht="6.6">
      <c r="B91" s="49"/>
    </row>
    <row r="92" spans="2:2" s="48" customFormat="1" ht="6.6">
      <c r="B92" s="49"/>
    </row>
    <row r="93" spans="2:2" s="48" customFormat="1" ht="6.6">
      <c r="B93" s="49"/>
    </row>
    <row r="94" spans="2:2" s="48" customFormat="1" ht="6.6">
      <c r="B94" s="49"/>
    </row>
    <row r="95" spans="2:2" s="48" customFormat="1" ht="6.6">
      <c r="B95" s="49"/>
    </row>
    <row r="96" spans="2:2" s="48" customFormat="1" ht="6.6">
      <c r="B96" s="49"/>
    </row>
    <row r="97" spans="2:2" s="48" customFormat="1" ht="6.6">
      <c r="B97" s="49"/>
    </row>
    <row r="98" spans="2:2" s="48" customFormat="1" ht="6.6">
      <c r="B98" s="49"/>
    </row>
    <row r="99" spans="2:2" s="48" customFormat="1" ht="6.6">
      <c r="B99" s="49"/>
    </row>
    <row r="100" spans="2:2" s="48" customFormat="1" ht="6.6">
      <c r="B100" s="49"/>
    </row>
    <row r="101" spans="2:2" s="48" customFormat="1" ht="6.6">
      <c r="B101" s="49"/>
    </row>
    <row r="102" spans="2:2" s="48" customFormat="1" ht="6.6">
      <c r="B102" s="49"/>
    </row>
    <row r="103" spans="2:2" s="48" customFormat="1" ht="6.6">
      <c r="B103" s="49"/>
    </row>
    <row r="104" spans="2:2" s="48" customFormat="1" ht="6.6">
      <c r="B104" s="49"/>
    </row>
    <row r="105" spans="2:2" s="48" customFormat="1" ht="6.6">
      <c r="B105" s="49"/>
    </row>
    <row r="106" spans="2:2" s="48" customFormat="1" ht="6.6">
      <c r="B106" s="49"/>
    </row>
    <row r="107" spans="2:2" s="48" customFormat="1" ht="6.6">
      <c r="B107" s="49"/>
    </row>
    <row r="108" spans="2:2" s="48" customFormat="1" ht="6.6">
      <c r="B108" s="49"/>
    </row>
    <row r="109" spans="2:2" s="48" customFormat="1" ht="6.6">
      <c r="B109" s="49"/>
    </row>
    <row r="110" spans="2:2" s="48" customFormat="1" ht="6.6">
      <c r="B110" s="49"/>
    </row>
    <row r="111" spans="2:2" s="48" customFormat="1" ht="6.6">
      <c r="B111" s="49"/>
    </row>
    <row r="112" spans="2:2" s="48" customFormat="1" ht="6.6">
      <c r="B112" s="49"/>
    </row>
    <row r="113" spans="2:2" s="48" customFormat="1" ht="6.6">
      <c r="B113" s="49"/>
    </row>
    <row r="114" spans="2:2" s="48" customFormat="1" ht="6.6">
      <c r="B114" s="49"/>
    </row>
    <row r="115" spans="2:2" s="48" customFormat="1" ht="6.6">
      <c r="B115" s="49"/>
    </row>
    <row r="116" spans="2:2" s="48" customFormat="1" ht="6.6">
      <c r="B116" s="49"/>
    </row>
    <row r="117" spans="2:2" s="48" customFormat="1" ht="6.6">
      <c r="B117" s="49"/>
    </row>
    <row r="118" spans="2:2" s="48" customFormat="1" ht="6.6">
      <c r="B118" s="49"/>
    </row>
    <row r="119" spans="2:2" s="48" customFormat="1" ht="6.6">
      <c r="B119" s="49"/>
    </row>
    <row r="120" spans="2:2" s="48" customFormat="1" ht="6.6">
      <c r="B120" s="49"/>
    </row>
    <row r="121" spans="2:2" s="48" customFormat="1" ht="6.6">
      <c r="B121" s="49"/>
    </row>
    <row r="122" spans="2:2" s="48" customFormat="1" ht="6.6">
      <c r="B122" s="49"/>
    </row>
    <row r="123" spans="2:2" s="48" customFormat="1" ht="6.6">
      <c r="B123" s="49"/>
    </row>
    <row r="124" spans="2:2" s="48" customFormat="1" ht="6.6">
      <c r="B124" s="49"/>
    </row>
    <row r="125" spans="2:2" s="48" customFormat="1" ht="6.6">
      <c r="B125" s="49"/>
    </row>
    <row r="126" spans="2:2" s="48" customFormat="1" ht="6.6">
      <c r="B126" s="49"/>
    </row>
    <row r="127" spans="2:2" s="48" customFormat="1" ht="6.6">
      <c r="B127" s="49"/>
    </row>
    <row r="128" spans="2:2" s="48" customFormat="1" ht="6.6">
      <c r="B128" s="49"/>
    </row>
    <row r="129" spans="2:2" s="48" customFormat="1" ht="6.6">
      <c r="B129" s="49"/>
    </row>
    <row r="130" spans="2:2" s="48" customFormat="1" ht="6.6">
      <c r="B130" s="49"/>
    </row>
    <row r="131" spans="2:2" s="48" customFormat="1" ht="6.6">
      <c r="B131" s="49"/>
    </row>
    <row r="132" spans="2:2" s="48" customFormat="1" ht="6.6">
      <c r="B132" s="49"/>
    </row>
    <row r="133" spans="2:2" s="48" customFormat="1" ht="6.6">
      <c r="B133" s="49"/>
    </row>
    <row r="134" spans="2:2" s="48" customFormat="1" ht="6.6">
      <c r="B134" s="49"/>
    </row>
    <row r="135" spans="2:2" s="48" customFormat="1" ht="6.6">
      <c r="B135" s="49"/>
    </row>
    <row r="136" spans="2:2" s="48" customFormat="1" ht="6.6">
      <c r="B136" s="49"/>
    </row>
    <row r="137" spans="2:2" s="48" customFormat="1" ht="6.6">
      <c r="B137" s="49"/>
    </row>
    <row r="138" spans="2:2" s="48" customFormat="1" ht="6.6">
      <c r="B138" s="49"/>
    </row>
    <row r="139" spans="2:2" s="48" customFormat="1" ht="6.6">
      <c r="B139" s="49"/>
    </row>
    <row r="140" spans="2:2" s="48" customFormat="1" ht="6.6">
      <c r="B140" s="49"/>
    </row>
    <row r="141" spans="2:2" s="48" customFormat="1" ht="6.6">
      <c r="B141" s="49"/>
    </row>
    <row r="142" spans="2:2" s="48" customFormat="1" ht="6.6">
      <c r="B142" s="49"/>
    </row>
    <row r="143" spans="2:2" s="48" customFormat="1" ht="6.6">
      <c r="B143" s="49"/>
    </row>
    <row r="144" spans="2:2" s="48" customFormat="1" ht="6.6">
      <c r="B144" s="49"/>
    </row>
    <row r="145" spans="2:2" s="48" customFormat="1" ht="6.6">
      <c r="B145" s="49"/>
    </row>
    <row r="146" spans="2:2" s="48" customFormat="1" ht="6.6">
      <c r="B146" s="49"/>
    </row>
    <row r="147" spans="2:2" s="48" customFormat="1" ht="6.6">
      <c r="B147" s="49"/>
    </row>
    <row r="148" spans="2:2" s="48" customFormat="1" ht="6.6">
      <c r="B148" s="49"/>
    </row>
    <row r="149" spans="2:2" s="48" customFormat="1" ht="6.6">
      <c r="B149" s="49"/>
    </row>
    <row r="150" spans="2:2" s="48" customFormat="1" ht="6.6">
      <c r="B150" s="49"/>
    </row>
    <row r="151" spans="2:2" s="48" customFormat="1" ht="6.6">
      <c r="B151" s="49"/>
    </row>
    <row r="152" spans="2:2" s="48" customFormat="1" ht="6.6">
      <c r="B152" s="49"/>
    </row>
    <row r="153" spans="2:2" s="48" customFormat="1" ht="6.6">
      <c r="B153" s="49"/>
    </row>
    <row r="154" spans="2:2" s="48" customFormat="1" ht="6.6">
      <c r="B154" s="49"/>
    </row>
    <row r="155" spans="2:2" s="48" customFormat="1" ht="6.6">
      <c r="B155" s="49"/>
    </row>
    <row r="156" spans="2:2" s="48" customFormat="1" ht="6.6">
      <c r="B156" s="49"/>
    </row>
    <row r="157" spans="2:2" s="48" customFormat="1" ht="6.6">
      <c r="B157" s="49"/>
    </row>
    <row r="158" spans="2:2" s="48" customFormat="1" ht="6.6">
      <c r="B158" s="49"/>
    </row>
    <row r="159" spans="2:2" s="48" customFormat="1" ht="6.6">
      <c r="B159" s="49"/>
    </row>
    <row r="160" spans="2:2" s="48" customFormat="1" ht="6.6">
      <c r="B160" s="49"/>
    </row>
    <row r="161" spans="2:2" s="48" customFormat="1" ht="6.6">
      <c r="B161" s="49"/>
    </row>
    <row r="162" spans="2:2" s="48" customFormat="1" ht="6.6">
      <c r="B162" s="49"/>
    </row>
    <row r="163" spans="2:2" s="48" customFormat="1" ht="6.6">
      <c r="B163" s="49"/>
    </row>
    <row r="164" spans="2:2" s="48" customFormat="1" ht="6.6">
      <c r="B164" s="49"/>
    </row>
    <row r="165" spans="2:2" s="48" customFormat="1" ht="6.6">
      <c r="B165" s="49"/>
    </row>
    <row r="166" spans="2:2" s="48" customFormat="1" ht="6.6">
      <c r="B166" s="49"/>
    </row>
    <row r="167" spans="2:2" s="48" customFormat="1" ht="6.6">
      <c r="B167" s="49"/>
    </row>
    <row r="168" spans="2:2" s="48" customFormat="1" ht="6.6">
      <c r="B168" s="49"/>
    </row>
    <row r="169" spans="2:2" s="48" customFormat="1" ht="6.6">
      <c r="B169" s="49"/>
    </row>
    <row r="170" spans="2:2" s="48" customFormat="1" ht="6.6">
      <c r="B170" s="49"/>
    </row>
    <row r="171" spans="2:2" s="48" customFormat="1" ht="6.6">
      <c r="B171" s="49"/>
    </row>
    <row r="172" spans="2:2" s="48" customFormat="1" ht="6.6">
      <c r="B172" s="49"/>
    </row>
    <row r="173" spans="2:2" s="48" customFormat="1" ht="6.6">
      <c r="B173" s="49"/>
    </row>
    <row r="174" spans="2:2" s="48" customFormat="1" ht="6.6">
      <c r="B174" s="49"/>
    </row>
    <row r="175" spans="2:2" s="48" customFormat="1" ht="6.6">
      <c r="B175" s="49"/>
    </row>
    <row r="176" spans="2:2" s="48" customFormat="1" ht="6.6">
      <c r="B176" s="49"/>
    </row>
  </sheetData>
  <mergeCells count="48">
    <mergeCell ref="H46:H59"/>
    <mergeCell ref="Q46:Q59"/>
    <mergeCell ref="D50:G50"/>
    <mergeCell ref="M50:P50"/>
    <mergeCell ref="D51:G51"/>
    <mergeCell ref="M51:P51"/>
    <mergeCell ref="D52:G52"/>
    <mergeCell ref="M52:P52"/>
    <mergeCell ref="D53:G53"/>
    <mergeCell ref="M53:P53"/>
    <mergeCell ref="B57:G57"/>
    <mergeCell ref="K57:P57"/>
    <mergeCell ref="H31:H44"/>
    <mergeCell ref="Q31:Q44"/>
    <mergeCell ref="D35:G35"/>
    <mergeCell ref="M35:P35"/>
    <mergeCell ref="D36:G36"/>
    <mergeCell ref="M36:P36"/>
    <mergeCell ref="D37:G37"/>
    <mergeCell ref="M37:P37"/>
    <mergeCell ref="D38:G38"/>
    <mergeCell ref="M38:P38"/>
    <mergeCell ref="B42:G42"/>
    <mergeCell ref="K42:P42"/>
    <mergeCell ref="H1:H14"/>
    <mergeCell ref="D5:G5"/>
    <mergeCell ref="D6:G6"/>
    <mergeCell ref="D7:G7"/>
    <mergeCell ref="D8:G8"/>
    <mergeCell ref="B12:G12"/>
    <mergeCell ref="D22:G22"/>
    <mergeCell ref="D21:G21"/>
    <mergeCell ref="D20:G20"/>
    <mergeCell ref="H16:H29"/>
    <mergeCell ref="D23:G23"/>
    <mergeCell ref="B27:G27"/>
    <mergeCell ref="Q1:Q14"/>
    <mergeCell ref="M5:P5"/>
    <mergeCell ref="M6:P6"/>
    <mergeCell ref="M7:P7"/>
    <mergeCell ref="M8:P8"/>
    <mergeCell ref="K12:P12"/>
    <mergeCell ref="Q16:Q29"/>
    <mergeCell ref="M20:P20"/>
    <mergeCell ref="M21:P21"/>
    <mergeCell ref="M22:P22"/>
    <mergeCell ref="M23:P23"/>
    <mergeCell ref="K27:P27"/>
  </mergeCells>
  <pageMargins left="0.7" right="0.7" top="0.75" bottom="0.75" header="0.3" footer="0.3"/>
  <pageSetup paperSize="9" orientation="portrait" horizontalDpi="0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7AA7247-98AE-4D84-9669-259648B8CEBF}">
          <x14:formula1>
            <xm:f>List!#REF!</xm:f>
          </x14:formula1>
          <xm:sqref>D5 M35 D35 M20 M5 D20</xm:sqref>
        </x14:dataValidation>
        <x14:dataValidation type="list" allowBlank="1" showInputMessage="1" showErrorMessage="1" xr:uid="{C3DA29D9-45DA-41A8-8988-D1F48DA55ADE}">
          <x14:formula1>
            <xm:f>List!#REF!</xm:f>
          </x14:formula1>
          <xm:sqref>D50:G50 M50:P50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387B1-A1F6-4C8F-A42E-4EC853EB448F}">
  <dimension ref="A1:O19"/>
  <sheetViews>
    <sheetView workbookViewId="0">
      <selection activeCell="M3" sqref="M3"/>
    </sheetView>
  </sheetViews>
  <sheetFormatPr defaultRowHeight="10.8"/>
  <cols>
    <col min="1" max="1" width="7.44140625" style="101" bestFit="1" customWidth="1"/>
    <col min="2" max="2" width="17.44140625" style="101" customWidth="1"/>
    <col min="3" max="3" width="13.88671875" style="101" bestFit="1" customWidth="1"/>
    <col min="4" max="4" width="11" style="101" bestFit="1" customWidth="1"/>
    <col min="5" max="5" width="8" style="101" bestFit="1" customWidth="1"/>
    <col min="6" max="6" width="8.6640625" style="101" bestFit="1" customWidth="1"/>
    <col min="7" max="7" width="9" style="101" bestFit="1" customWidth="1"/>
    <col min="8" max="8" width="9.88671875" style="101" bestFit="1" customWidth="1"/>
    <col min="9" max="9" width="16.5546875" style="101" bestFit="1" customWidth="1"/>
    <col min="10" max="10" width="16.21875" style="101" bestFit="1" customWidth="1"/>
    <col min="11" max="11" width="14.6640625" style="101" bestFit="1" customWidth="1"/>
    <col min="12" max="12" width="10.5546875" style="101" bestFit="1" customWidth="1"/>
    <col min="13" max="13" width="24.44140625" style="101" bestFit="1" customWidth="1"/>
    <col min="14" max="14" width="24.77734375" style="101" bestFit="1" customWidth="1"/>
    <col min="15" max="15" width="11.33203125" style="101" bestFit="1" customWidth="1"/>
    <col min="16" max="16" width="13.21875" style="101" bestFit="1" customWidth="1"/>
    <col min="17" max="17" width="15.88671875" style="101" bestFit="1" customWidth="1"/>
    <col min="18" max="18" width="13.77734375" style="101" bestFit="1" customWidth="1"/>
    <col min="19" max="19" width="14.6640625" style="101" bestFit="1" customWidth="1"/>
    <col min="20" max="20" width="11.21875" style="101" bestFit="1" customWidth="1"/>
    <col min="21" max="21" width="12.6640625" style="101" bestFit="1" customWidth="1"/>
    <col min="22" max="22" width="18.33203125" style="101" bestFit="1" customWidth="1"/>
    <col min="23" max="23" width="40" style="101" bestFit="1" customWidth="1"/>
    <col min="24" max="24" width="18.88671875" style="101" bestFit="1" customWidth="1"/>
    <col min="25" max="25" width="32.88671875" style="101" bestFit="1" customWidth="1"/>
    <col min="26" max="26" width="15.6640625" style="101" bestFit="1" customWidth="1"/>
    <col min="27" max="27" width="255.6640625" style="101" bestFit="1" customWidth="1"/>
    <col min="28" max="28" width="12.5546875" style="101" bestFit="1" customWidth="1"/>
    <col min="29" max="29" width="16.77734375" style="101" bestFit="1" customWidth="1"/>
    <col min="30" max="36" width="12.109375" style="101" bestFit="1" customWidth="1"/>
    <col min="37" max="126" width="13" style="101" bestFit="1" customWidth="1"/>
    <col min="127" max="1026" width="13.88671875" style="101" bestFit="1" customWidth="1"/>
    <col min="1027" max="10026" width="14.77734375" style="101" bestFit="1" customWidth="1"/>
    <col min="10027" max="16384" width="15.77734375" style="101" bestFit="1" customWidth="1"/>
  </cols>
  <sheetData>
    <row r="1" spans="1:15" s="104" customFormat="1">
      <c r="A1" s="102" t="s">
        <v>108</v>
      </c>
      <c r="B1" s="103" t="s">
        <v>109</v>
      </c>
      <c r="C1" s="102" t="s">
        <v>110</v>
      </c>
      <c r="D1" s="102" t="s">
        <v>111</v>
      </c>
      <c r="E1" s="102" t="s">
        <v>40</v>
      </c>
      <c r="F1" s="102" t="s">
        <v>112</v>
      </c>
      <c r="G1" s="102" t="s">
        <v>113</v>
      </c>
      <c r="H1" s="102" t="s">
        <v>114</v>
      </c>
      <c r="I1" s="102" t="s">
        <v>115</v>
      </c>
      <c r="J1" s="102" t="s">
        <v>79</v>
      </c>
      <c r="K1" s="102" t="s">
        <v>116</v>
      </c>
      <c r="L1" s="102" t="s">
        <v>44</v>
      </c>
      <c r="M1" s="102" t="s">
        <v>117</v>
      </c>
      <c r="N1" s="102" t="s">
        <v>78</v>
      </c>
      <c r="O1" s="102" t="s">
        <v>118</v>
      </c>
    </row>
    <row r="2" spans="1:15" s="104" customFormat="1">
      <c r="A2" s="310">
        <v>17</v>
      </c>
      <c r="B2" s="311" t="s">
        <v>211</v>
      </c>
      <c r="C2" s="105" t="s">
        <v>212</v>
      </c>
      <c r="D2" s="105">
        <v>1</v>
      </c>
      <c r="E2" s="105" t="s">
        <v>119</v>
      </c>
      <c r="F2" s="105">
        <v>2022</v>
      </c>
      <c r="G2" s="312" t="s">
        <v>120</v>
      </c>
      <c r="H2" s="105">
        <v>60</v>
      </c>
      <c r="I2" s="313" t="s">
        <v>215</v>
      </c>
      <c r="J2" s="105" t="str">
        <f>_xlfn.CONCAT(Table1[[#This Row],[YEAR]]," - ",Table1[[#This Row],[UACS]]," - ",TEXT(Table1[[#This Row],[SERIES]],"0000")," - ",TEXT(Table1[[#This Row],[LOCATION CODE]],"00"))</f>
        <v>2022 - 05 - 03 - 0060 - 001G</v>
      </c>
      <c r="K2" s="314">
        <v>44581</v>
      </c>
      <c r="L2" s="315">
        <v>58270</v>
      </c>
      <c r="M2" s="105" t="s">
        <v>213</v>
      </c>
      <c r="N2" s="107" t="s">
        <v>214</v>
      </c>
      <c r="O2" s="105"/>
    </row>
    <row r="3" spans="1:15" s="104" customFormat="1">
      <c r="A3" s="310">
        <v>18</v>
      </c>
      <c r="B3" s="316" t="s">
        <v>272</v>
      </c>
      <c r="C3" s="105" t="s">
        <v>207</v>
      </c>
      <c r="D3" s="105">
        <v>17</v>
      </c>
      <c r="E3" s="105" t="s">
        <v>119</v>
      </c>
      <c r="F3" s="105">
        <v>2022</v>
      </c>
      <c r="G3" s="312" t="s">
        <v>120</v>
      </c>
      <c r="H3" s="105">
        <v>76</v>
      </c>
      <c r="I3" s="313" t="s">
        <v>208</v>
      </c>
      <c r="J3" s="105" t="str">
        <f>_xlfn.CONCAT(Table1[[#This Row],[YEAR]]," - ",Table1[[#This Row],[UACS]]," - ",TEXT(Table1[[#This Row],[SERIES]],"0000")," - ",TEXT(Table1[[#This Row],[LOCATION CODE]],"00"))</f>
        <v>2022 - 05 - 03 - 0076 - 001C</v>
      </c>
      <c r="K3" s="111">
        <v>44600</v>
      </c>
      <c r="L3" s="315">
        <v>58270</v>
      </c>
      <c r="M3" s="105" t="s">
        <v>209</v>
      </c>
      <c r="N3" s="105" t="s">
        <v>210</v>
      </c>
      <c r="O3" s="105"/>
    </row>
    <row r="4" spans="1:15">
      <c r="A4" s="106">
        <v>19</v>
      </c>
      <c r="B4" s="107" t="s">
        <v>121</v>
      </c>
      <c r="C4" s="104" t="s">
        <v>122</v>
      </c>
      <c r="D4" s="104">
        <v>17</v>
      </c>
      <c r="E4" s="104" t="s">
        <v>119</v>
      </c>
      <c r="F4" s="104">
        <v>2022</v>
      </c>
      <c r="G4" s="108" t="s">
        <v>120</v>
      </c>
      <c r="H4" s="109">
        <v>77</v>
      </c>
      <c r="I4" s="110">
        <v>4</v>
      </c>
      <c r="J4" s="104" t="str">
        <f>_xlfn.CONCAT(Table1[[#This Row],[YEAR]]," - ",Table1[[#This Row],[UACS]]," - ",TEXT(Table1[[#This Row],[SERIES]],"0000")," - ",TEXT(Table1[[#This Row],[LOCATION CODE]],"00"))</f>
        <v>2022 - 05 - 03 - 0077 - 04</v>
      </c>
      <c r="K4" s="111">
        <v>44600</v>
      </c>
      <c r="L4" s="112">
        <v>58270</v>
      </c>
      <c r="M4" s="107" t="s">
        <v>123</v>
      </c>
      <c r="N4" s="107" t="s">
        <v>124</v>
      </c>
      <c r="O4" s="113"/>
    </row>
    <row r="5" spans="1:15">
      <c r="A5" s="106">
        <v>20</v>
      </c>
      <c r="B5" s="107" t="s">
        <v>125</v>
      </c>
      <c r="C5" s="104" t="s">
        <v>126</v>
      </c>
      <c r="D5" s="104">
        <v>12</v>
      </c>
      <c r="E5" s="104" t="s">
        <v>119</v>
      </c>
      <c r="F5" s="104">
        <v>2022</v>
      </c>
      <c r="G5" s="108" t="s">
        <v>120</v>
      </c>
      <c r="H5" s="109">
        <v>78</v>
      </c>
      <c r="I5" s="110">
        <v>5</v>
      </c>
      <c r="J5" s="104" t="str">
        <f>_xlfn.CONCAT(Table1[[#This Row],[YEAR]]," - ",Table1[[#This Row],[UACS]]," - ",TEXT(Table1[[#This Row],[SERIES]],"0000")," - ",TEXT(Table1[[#This Row],[LOCATION CODE]],"00"))</f>
        <v>2022 - 05 - 03 - 0078 - 05</v>
      </c>
      <c r="K5" s="111">
        <v>44600</v>
      </c>
      <c r="L5" s="112">
        <v>58270</v>
      </c>
      <c r="M5" s="107" t="s">
        <v>127</v>
      </c>
      <c r="N5" s="107" t="s">
        <v>124</v>
      </c>
      <c r="O5" s="113"/>
    </row>
    <row r="6" spans="1:15">
      <c r="A6" s="106">
        <v>21</v>
      </c>
      <c r="B6" s="107" t="s">
        <v>128</v>
      </c>
      <c r="C6" s="104" t="s">
        <v>129</v>
      </c>
      <c r="D6" s="104">
        <v>9</v>
      </c>
      <c r="E6" s="104" t="s">
        <v>119</v>
      </c>
      <c r="F6" s="104">
        <v>2022</v>
      </c>
      <c r="G6" s="108" t="s">
        <v>120</v>
      </c>
      <c r="H6" s="109">
        <v>79</v>
      </c>
      <c r="I6" s="110">
        <v>6</v>
      </c>
      <c r="J6" s="104" t="str">
        <f>_xlfn.CONCAT(Table1[[#This Row],[YEAR]]," - ",Table1[[#This Row],[UACS]]," - ",TEXT(Table1[[#This Row],[SERIES]],"0000")," - ",TEXT(Table1[[#This Row],[LOCATION CODE]],"00"))</f>
        <v>2022 - 05 - 03 - 0079 - 06</v>
      </c>
      <c r="K6" s="111">
        <v>44600</v>
      </c>
      <c r="L6" s="112">
        <v>58270</v>
      </c>
      <c r="M6" s="107" t="s">
        <v>130</v>
      </c>
      <c r="N6" s="107" t="s">
        <v>124</v>
      </c>
      <c r="O6" s="113"/>
    </row>
    <row r="7" spans="1:15">
      <c r="A7" s="106">
        <v>22</v>
      </c>
      <c r="B7" s="107" t="s">
        <v>131</v>
      </c>
      <c r="C7" s="104" t="s">
        <v>132</v>
      </c>
      <c r="D7" s="104">
        <v>5</v>
      </c>
      <c r="E7" s="104" t="s">
        <v>119</v>
      </c>
      <c r="F7" s="104">
        <v>2022</v>
      </c>
      <c r="G7" s="108" t="s">
        <v>120</v>
      </c>
      <c r="H7" s="109">
        <v>80</v>
      </c>
      <c r="I7" s="110">
        <v>7</v>
      </c>
      <c r="J7" s="104" t="str">
        <f>_xlfn.CONCAT(Table1[[#This Row],[YEAR]]," - ",Table1[[#This Row],[UACS]]," - ",TEXT(Table1[[#This Row],[SERIES]],"0000")," - ",TEXT(Table1[[#This Row],[LOCATION CODE]],"00"))</f>
        <v>2022 - 05 - 03 - 0080 - 07</v>
      </c>
      <c r="K7" s="111">
        <v>44600</v>
      </c>
      <c r="L7" s="112">
        <v>58270</v>
      </c>
      <c r="M7" s="107" t="s">
        <v>133</v>
      </c>
      <c r="N7" s="107" t="s">
        <v>124</v>
      </c>
      <c r="O7" s="113"/>
    </row>
    <row r="8" spans="1:15">
      <c r="A8" s="106">
        <v>23</v>
      </c>
      <c r="B8" s="107" t="s">
        <v>134</v>
      </c>
      <c r="C8" s="104" t="s">
        <v>135</v>
      </c>
      <c r="D8" s="104">
        <v>5</v>
      </c>
      <c r="E8" s="104" t="s">
        <v>119</v>
      </c>
      <c r="F8" s="104">
        <v>2022</v>
      </c>
      <c r="G8" s="108" t="s">
        <v>120</v>
      </c>
      <c r="H8" s="109">
        <v>81</v>
      </c>
      <c r="I8" s="110">
        <v>8</v>
      </c>
      <c r="J8" s="104" t="str">
        <f>_xlfn.CONCAT(Table1[[#This Row],[YEAR]]," - ",Table1[[#This Row],[UACS]]," - ",TEXT(Table1[[#This Row],[SERIES]],"0000")," - ",TEXT(Table1[[#This Row],[LOCATION CODE]],"00"))</f>
        <v>2022 - 05 - 03 - 0081 - 08</v>
      </c>
      <c r="K8" s="111">
        <v>44600</v>
      </c>
      <c r="L8" s="112">
        <v>58270</v>
      </c>
      <c r="M8" s="107" t="s">
        <v>162</v>
      </c>
      <c r="N8" s="107" t="s">
        <v>124</v>
      </c>
      <c r="O8" s="105"/>
    </row>
    <row r="9" spans="1:15">
      <c r="A9" s="106">
        <v>24</v>
      </c>
      <c r="B9" s="107" t="s">
        <v>136</v>
      </c>
      <c r="C9" s="104" t="s">
        <v>137</v>
      </c>
      <c r="D9" s="104">
        <v>5</v>
      </c>
      <c r="E9" s="104" t="s">
        <v>119</v>
      </c>
      <c r="F9" s="104">
        <v>2022</v>
      </c>
      <c r="G9" s="108" t="s">
        <v>120</v>
      </c>
      <c r="H9" s="109">
        <v>82</v>
      </c>
      <c r="I9" s="110">
        <v>9</v>
      </c>
      <c r="J9" s="104" t="str">
        <f>_xlfn.CONCAT(Table1[[#This Row],[YEAR]]," - ",Table1[[#This Row],[UACS]]," - ",TEXT(Table1[[#This Row],[SERIES]],"0000")," - ",TEXT(Table1[[#This Row],[LOCATION CODE]],"00"))</f>
        <v>2022 - 05 - 03 - 0082 - 09</v>
      </c>
      <c r="K9" s="111">
        <v>44600</v>
      </c>
      <c r="L9" s="112">
        <v>58270</v>
      </c>
      <c r="M9" s="107" t="s">
        <v>163</v>
      </c>
      <c r="N9" s="107" t="s">
        <v>124</v>
      </c>
      <c r="O9" s="113"/>
    </row>
    <row r="10" spans="1:15">
      <c r="A10" s="106">
        <v>25</v>
      </c>
      <c r="B10" s="107" t="s">
        <v>138</v>
      </c>
      <c r="C10" s="104" t="s">
        <v>139</v>
      </c>
      <c r="D10" s="104">
        <v>4</v>
      </c>
      <c r="E10" s="104" t="s">
        <v>119</v>
      </c>
      <c r="F10" s="104">
        <v>2022</v>
      </c>
      <c r="G10" s="108" t="s">
        <v>120</v>
      </c>
      <c r="H10" s="109">
        <v>83</v>
      </c>
      <c r="I10" s="110">
        <v>10</v>
      </c>
      <c r="J10" s="104" t="str">
        <f>_xlfn.CONCAT(Table1[[#This Row],[YEAR]]," - ",Table1[[#This Row],[UACS]]," - ",TEXT(Table1[[#This Row],[SERIES]],"0000")," - ",TEXT(Table1[[#This Row],[LOCATION CODE]],"00"))</f>
        <v>2022 - 05 - 03 - 0083 - 10</v>
      </c>
      <c r="K10" s="111">
        <v>44600</v>
      </c>
      <c r="L10" s="112">
        <v>58270</v>
      </c>
      <c r="M10" s="107" t="s">
        <v>164</v>
      </c>
      <c r="N10" s="107" t="s">
        <v>124</v>
      </c>
      <c r="O10" s="113"/>
    </row>
    <row r="11" spans="1:15">
      <c r="A11" s="106">
        <v>26</v>
      </c>
      <c r="B11" s="107" t="s">
        <v>140</v>
      </c>
      <c r="C11" s="104" t="s">
        <v>141</v>
      </c>
      <c r="D11" s="104">
        <v>3</v>
      </c>
      <c r="E11" s="104" t="s">
        <v>119</v>
      </c>
      <c r="F11" s="104">
        <v>2022</v>
      </c>
      <c r="G11" s="108" t="s">
        <v>120</v>
      </c>
      <c r="H11" s="109">
        <v>84</v>
      </c>
      <c r="I11" s="110">
        <v>11</v>
      </c>
      <c r="J11" s="104" t="str">
        <f>_xlfn.CONCAT(Table1[[#This Row],[YEAR]]," - ",Table1[[#This Row],[UACS]]," - ",TEXT(Table1[[#This Row],[SERIES]],"0000")," - ",TEXT(Table1[[#This Row],[LOCATION CODE]],"00"))</f>
        <v>2022 - 05 - 03 - 0084 - 11</v>
      </c>
      <c r="K11" s="111">
        <v>44600</v>
      </c>
      <c r="L11" s="112">
        <v>58270</v>
      </c>
      <c r="M11" s="107" t="s">
        <v>165</v>
      </c>
      <c r="N11" s="107" t="s">
        <v>124</v>
      </c>
      <c r="O11" s="113"/>
    </row>
    <row r="12" spans="1:15">
      <c r="A12" s="106">
        <v>27</v>
      </c>
      <c r="B12" s="107" t="s">
        <v>142</v>
      </c>
      <c r="C12" s="104" t="s">
        <v>143</v>
      </c>
      <c r="D12" s="104">
        <v>2</v>
      </c>
      <c r="E12" s="104" t="s">
        <v>119</v>
      </c>
      <c r="F12" s="104">
        <v>2022</v>
      </c>
      <c r="G12" s="108" t="s">
        <v>120</v>
      </c>
      <c r="H12" s="109">
        <v>85</v>
      </c>
      <c r="I12" s="110">
        <v>12</v>
      </c>
      <c r="J12" s="104" t="str">
        <f>_xlfn.CONCAT(Table1[[#This Row],[YEAR]]," - ",Table1[[#This Row],[UACS]]," - ",TEXT(Table1[[#This Row],[SERIES]],"0000")," - ",TEXT(Table1[[#This Row],[LOCATION CODE]],"00"))</f>
        <v>2022 - 05 - 03 - 0085 - 12</v>
      </c>
      <c r="K12" s="111">
        <v>44600</v>
      </c>
      <c r="L12" s="112">
        <v>58270</v>
      </c>
      <c r="M12" s="107" t="s">
        <v>165</v>
      </c>
      <c r="N12" s="107" t="s">
        <v>124</v>
      </c>
      <c r="O12" s="113"/>
    </row>
    <row r="13" spans="1:15">
      <c r="A13" s="106">
        <v>28</v>
      </c>
      <c r="B13" s="107" t="s">
        <v>144</v>
      </c>
      <c r="C13" s="104" t="s">
        <v>145</v>
      </c>
      <c r="D13" s="104">
        <v>2</v>
      </c>
      <c r="E13" s="104" t="s">
        <v>119</v>
      </c>
      <c r="F13" s="104">
        <v>2022</v>
      </c>
      <c r="G13" s="108" t="s">
        <v>120</v>
      </c>
      <c r="H13" s="109">
        <v>86</v>
      </c>
      <c r="I13" s="110">
        <v>13</v>
      </c>
      <c r="J13" s="104" t="str">
        <f>_xlfn.CONCAT(Table1[[#This Row],[YEAR]]," - ",Table1[[#This Row],[UACS]]," - ",TEXT(Table1[[#This Row],[SERIES]],"0000")," - ",TEXT(Table1[[#This Row],[LOCATION CODE]],"00"))</f>
        <v>2022 - 05 - 03 - 0086 - 13</v>
      </c>
      <c r="K13" s="111">
        <v>44600</v>
      </c>
      <c r="L13" s="112">
        <v>58270</v>
      </c>
      <c r="M13" s="107" t="s">
        <v>166</v>
      </c>
      <c r="N13" s="107" t="s">
        <v>167</v>
      </c>
      <c r="O13" s="113"/>
    </row>
    <row r="14" spans="1:15">
      <c r="A14" s="106">
        <v>29</v>
      </c>
      <c r="B14" s="107" t="s">
        <v>146</v>
      </c>
      <c r="C14" s="104" t="s">
        <v>147</v>
      </c>
      <c r="D14" s="104">
        <v>1</v>
      </c>
      <c r="E14" s="104" t="s">
        <v>119</v>
      </c>
      <c r="F14" s="104">
        <v>2022</v>
      </c>
      <c r="G14" s="108" t="s">
        <v>120</v>
      </c>
      <c r="H14" s="109">
        <v>87</v>
      </c>
      <c r="I14" s="110">
        <v>14</v>
      </c>
      <c r="J14" s="104" t="str">
        <f>_xlfn.CONCAT(Table1[[#This Row],[YEAR]]," - ",Table1[[#This Row],[UACS]]," - ",TEXT(Table1[[#This Row],[SERIES]],"0000")," - ",TEXT(Table1[[#This Row],[LOCATION CODE]],"00"))</f>
        <v>2022 - 05 - 03 - 0087 - 14</v>
      </c>
      <c r="K14" s="111">
        <v>44600</v>
      </c>
      <c r="L14" s="112">
        <v>58270</v>
      </c>
      <c r="M14" s="107" t="s">
        <v>166</v>
      </c>
      <c r="N14" s="107" t="s">
        <v>167</v>
      </c>
      <c r="O14" s="105"/>
    </row>
    <row r="15" spans="1:15">
      <c r="A15" s="106">
        <v>30</v>
      </c>
      <c r="B15" s="107" t="s">
        <v>148</v>
      </c>
      <c r="C15" s="104" t="s">
        <v>149</v>
      </c>
      <c r="D15" s="104">
        <v>1</v>
      </c>
      <c r="E15" s="104" t="s">
        <v>119</v>
      </c>
      <c r="F15" s="104">
        <v>2022</v>
      </c>
      <c r="G15" s="108" t="s">
        <v>120</v>
      </c>
      <c r="H15" s="109">
        <v>88</v>
      </c>
      <c r="I15" s="110">
        <v>15</v>
      </c>
      <c r="J15" s="104" t="str">
        <f>_xlfn.CONCAT(Table1[[#This Row],[YEAR]]," - ",Table1[[#This Row],[UACS]]," - ",TEXT(Table1[[#This Row],[SERIES]],"0000")," - ",TEXT(Table1[[#This Row],[LOCATION CODE]],"00"))</f>
        <v>2022 - 05 - 03 - 0088 - 15</v>
      </c>
      <c r="K15" s="111">
        <v>44600</v>
      </c>
      <c r="L15" s="112">
        <v>58270</v>
      </c>
      <c r="M15" s="107" t="s">
        <v>162</v>
      </c>
      <c r="N15" s="107" t="s">
        <v>124</v>
      </c>
      <c r="O15" s="105"/>
    </row>
    <row r="16" spans="1:15">
      <c r="A16" s="106">
        <v>31</v>
      </c>
      <c r="B16" s="107" t="s">
        <v>150</v>
      </c>
      <c r="C16" s="104" t="s">
        <v>151</v>
      </c>
      <c r="D16" s="104">
        <v>33</v>
      </c>
      <c r="E16" s="104" t="s">
        <v>119</v>
      </c>
      <c r="F16" s="104">
        <v>2022</v>
      </c>
      <c r="G16" s="108" t="s">
        <v>120</v>
      </c>
      <c r="H16" s="109">
        <v>89</v>
      </c>
      <c r="I16" s="110">
        <v>16</v>
      </c>
      <c r="J16" s="104" t="str">
        <f>_xlfn.CONCAT(Table1[[#This Row],[YEAR]]," - ",Table1[[#This Row],[UACS]]," - ",TEXT(Table1[[#This Row],[SERIES]],"0000")," - ",TEXT(Table1[[#This Row],[LOCATION CODE]],"00"))</f>
        <v>2022 - 05 - 03 - 0089 - 16</v>
      </c>
      <c r="K16" s="111">
        <v>44600</v>
      </c>
      <c r="L16" s="112">
        <v>58270</v>
      </c>
      <c r="M16" s="107" t="s">
        <v>152</v>
      </c>
      <c r="N16" s="107" t="s">
        <v>153</v>
      </c>
      <c r="O16" s="105"/>
    </row>
    <row r="17" spans="1:15">
      <c r="A17" s="106">
        <v>32</v>
      </c>
      <c r="B17" s="107" t="s">
        <v>154</v>
      </c>
      <c r="C17" s="104" t="s">
        <v>155</v>
      </c>
      <c r="D17" s="104">
        <v>6</v>
      </c>
      <c r="E17" s="104" t="s">
        <v>119</v>
      </c>
      <c r="F17" s="104">
        <v>2022</v>
      </c>
      <c r="G17" s="108" t="s">
        <v>120</v>
      </c>
      <c r="H17" s="109">
        <v>90</v>
      </c>
      <c r="I17" s="110">
        <v>17</v>
      </c>
      <c r="J17" s="104" t="str">
        <f>_xlfn.CONCAT(Table1[[#This Row],[YEAR]]," - ",Table1[[#This Row],[UACS]]," - ",TEXT(Table1[[#This Row],[SERIES]],"0000")," - ",TEXT(Table1[[#This Row],[LOCATION CODE]],"00"))</f>
        <v>2022 - 05 - 03 - 0090 - 17</v>
      </c>
      <c r="K17" s="111">
        <v>44600</v>
      </c>
      <c r="L17" s="112">
        <v>58270</v>
      </c>
      <c r="M17" s="107" t="s">
        <v>168</v>
      </c>
      <c r="N17" s="107" t="s">
        <v>159</v>
      </c>
      <c r="O17" s="105"/>
    </row>
    <row r="18" spans="1:15">
      <c r="A18" s="106">
        <v>33</v>
      </c>
      <c r="B18" s="107" t="s">
        <v>156</v>
      </c>
      <c r="C18" s="104" t="s">
        <v>157</v>
      </c>
      <c r="D18" s="104">
        <v>8</v>
      </c>
      <c r="E18" s="104" t="s">
        <v>119</v>
      </c>
      <c r="F18" s="104">
        <v>2022</v>
      </c>
      <c r="G18" s="108" t="s">
        <v>120</v>
      </c>
      <c r="H18" s="109">
        <v>91</v>
      </c>
      <c r="I18" s="110">
        <v>18</v>
      </c>
      <c r="J18" s="104" t="str">
        <f>_xlfn.CONCAT(Table1[[#This Row],[YEAR]]," - ",Table1[[#This Row],[UACS]]," - ",TEXT(Table1[[#This Row],[SERIES]],"0000")," - ",TEXT(Table1[[#This Row],[LOCATION CODE]],"00"))</f>
        <v>2022 - 05 - 03 - 0091 - 18</v>
      </c>
      <c r="K18" s="111">
        <v>44600</v>
      </c>
      <c r="L18" s="112">
        <v>58270</v>
      </c>
      <c r="M18" s="107" t="s">
        <v>158</v>
      </c>
      <c r="N18" s="107" t="s">
        <v>159</v>
      </c>
      <c r="O18" s="105"/>
    </row>
    <row r="19" spans="1:15">
      <c r="A19" s="106">
        <v>34</v>
      </c>
      <c r="B19" s="107" t="s">
        <v>160</v>
      </c>
      <c r="C19" s="104" t="s">
        <v>161</v>
      </c>
      <c r="D19" s="104">
        <v>3</v>
      </c>
      <c r="E19" s="104" t="s">
        <v>119</v>
      </c>
      <c r="F19" s="104">
        <v>2022</v>
      </c>
      <c r="G19" s="108" t="s">
        <v>120</v>
      </c>
      <c r="H19" s="109">
        <v>92</v>
      </c>
      <c r="I19" s="110">
        <v>19</v>
      </c>
      <c r="J19" s="104" t="str">
        <f>_xlfn.CONCAT(Table1[[#This Row],[YEAR]]," - ",Table1[[#This Row],[UACS]]," - ",TEXT(Table1[[#This Row],[SERIES]],"0000")," - ",TEXT(Table1[[#This Row],[LOCATION CODE]],"00"))</f>
        <v>2022 - 05 - 03 - 0092 - 19</v>
      </c>
      <c r="K19" s="111">
        <v>44600</v>
      </c>
      <c r="L19" s="112">
        <v>58270</v>
      </c>
      <c r="M19" s="107" t="s">
        <v>169</v>
      </c>
      <c r="N19" s="107" t="s">
        <v>159</v>
      </c>
      <c r="O19" s="105"/>
    </row>
  </sheetData>
  <phoneticPr fontId="26" type="noConversion"/>
  <conditionalFormatting sqref="I1:I19">
    <cfRule type="cellIs" dxfId="0" priority="1" operator="equal">
      <formula>0</formula>
    </cfRule>
  </conditionalFormatting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0D58E-7211-4AFB-B4A3-AFCAAC315C71}">
  <dimension ref="A1:D18"/>
  <sheetViews>
    <sheetView workbookViewId="0">
      <selection activeCell="D1" sqref="D1"/>
    </sheetView>
  </sheetViews>
  <sheetFormatPr defaultRowHeight="14.4"/>
  <sheetData>
    <row r="1" spans="1:4">
      <c r="A1" t="str" cm="1">
        <f t="array" ref="A1:A18">_xlfn.UNIQUE(Table1[PAR No.])</f>
        <v>PAR 2022 - 01 - 0002</v>
      </c>
      <c r="D1" t="e" cm="1">
        <f t="array" ref="D1">_xlfn.UNIQUE(#REF!)</f>
        <v>#REF!</v>
      </c>
    </row>
    <row r="2" spans="1:4">
      <c r="A2" t="str">
        <v>PAR 2022 - 01 - 0001</v>
      </c>
    </row>
    <row r="3" spans="1:4">
      <c r="A3" t="str">
        <v>PAR 2022 - 01 - 0019</v>
      </c>
    </row>
    <row r="4" spans="1:4">
      <c r="A4" t="str">
        <v>PAR 2022 - 01 - 0020</v>
      </c>
    </row>
    <row r="5" spans="1:4">
      <c r="A5" t="str">
        <v>PAR 2022 - 01 - 0021</v>
      </c>
    </row>
    <row r="6" spans="1:4">
      <c r="A6" t="str">
        <v>PAR 2022 - 01 - 0022</v>
      </c>
    </row>
    <row r="7" spans="1:4">
      <c r="A7" t="str">
        <v>PAR 2022 - 01 - 0023</v>
      </c>
    </row>
    <row r="8" spans="1:4">
      <c r="A8" t="str">
        <v>PAR 2022 - 01 - 0024</v>
      </c>
    </row>
    <row r="9" spans="1:4">
      <c r="A9" t="str">
        <v>PAR 2022 - 01 - 0025</v>
      </c>
    </row>
    <row r="10" spans="1:4">
      <c r="A10" t="str">
        <v>PAR 2022 - 01 - 0026</v>
      </c>
    </row>
    <row r="11" spans="1:4">
      <c r="A11" t="str">
        <v>PAR 2022 - 01 - 0027</v>
      </c>
    </row>
    <row r="12" spans="1:4">
      <c r="A12" t="str">
        <v>PAR 2022 - 01 - 0028</v>
      </c>
    </row>
    <row r="13" spans="1:4">
      <c r="A13" t="str">
        <v>PAR 2022 - 01 - 0029</v>
      </c>
    </row>
    <row r="14" spans="1:4">
      <c r="A14" t="str">
        <v>PAR 2022 - 01 - 0030</v>
      </c>
    </row>
    <row r="15" spans="1:4">
      <c r="A15" t="str">
        <v>PAR 2022 - 01 - 0031</v>
      </c>
    </row>
    <row r="16" spans="1:4">
      <c r="A16" t="str">
        <v>PAR 2022 - 01 - 0032</v>
      </c>
    </row>
    <row r="17" spans="1:1">
      <c r="A17" t="str">
        <v>PAR 2022 - 01 - 0033</v>
      </c>
    </row>
    <row r="18" spans="1:1">
      <c r="A18" t="str">
        <v>PAR 2022 - 01 - 0034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08B2E-15BD-4FCA-87B5-3CCFD984D550}">
  <dimension ref="A1:P120"/>
  <sheetViews>
    <sheetView view="pageBreakPreview" topLeftCell="A42" zoomScale="115" zoomScaleNormal="115" zoomScaleSheetLayoutView="115" workbookViewId="0">
      <selection activeCell="D60" sqref="D60"/>
    </sheetView>
  </sheetViews>
  <sheetFormatPr defaultColWidth="9.21875" defaultRowHeight="14.4"/>
  <cols>
    <col min="1" max="1" width="1.77734375" style="75" customWidth="1"/>
    <col min="2" max="2" width="11" style="75" bestFit="1" customWidth="1"/>
    <col min="3" max="3" width="9.21875" style="75" customWidth="1"/>
    <col min="4" max="4" width="17.5546875" style="75" customWidth="1"/>
    <col min="5" max="5" width="13.109375" style="75" customWidth="1"/>
    <col min="6" max="7" width="1.77734375" style="75" customWidth="1"/>
    <col min="8" max="8" width="21.5546875" style="75" bestFit="1" customWidth="1"/>
    <col min="9" max="9" width="15.88671875" style="75" bestFit="1" customWidth="1"/>
    <col min="10" max="10" width="13.6640625" style="75" customWidth="1"/>
    <col min="11" max="11" width="1.77734375" style="75" customWidth="1"/>
    <col min="12" max="16384" width="9.21875" style="75"/>
  </cols>
  <sheetData>
    <row r="1" spans="1:11">
      <c r="A1" s="73"/>
      <c r="B1" s="126" t="s">
        <v>100</v>
      </c>
      <c r="C1" s="126"/>
      <c r="D1" s="126"/>
      <c r="E1" s="126"/>
      <c r="F1" s="126"/>
      <c r="G1" s="126"/>
      <c r="H1" s="126"/>
      <c r="I1" s="126"/>
      <c r="J1" s="126"/>
      <c r="K1" s="74"/>
    </row>
    <row r="2" spans="1:11" ht="5.0999999999999996" customHeight="1">
      <c r="A2" s="76"/>
      <c r="B2" s="127"/>
      <c r="C2" s="127"/>
      <c r="D2" s="127"/>
      <c r="E2" s="127"/>
      <c r="F2" s="127"/>
      <c r="G2" s="127"/>
      <c r="H2" s="127"/>
      <c r="I2" s="127"/>
      <c r="J2" s="127"/>
      <c r="K2" s="77"/>
    </row>
    <row r="3" spans="1:11" ht="21">
      <c r="A3" s="76"/>
      <c r="B3" s="128" t="s">
        <v>101</v>
      </c>
      <c r="C3" s="128"/>
      <c r="D3" s="128"/>
      <c r="E3" s="128"/>
      <c r="F3" s="128"/>
      <c r="G3" s="128"/>
      <c r="H3" s="128"/>
      <c r="I3" s="128"/>
      <c r="J3" s="128"/>
      <c r="K3" s="77"/>
    </row>
    <row r="4" spans="1:11" ht="5.0999999999999996" customHeight="1">
      <c r="A4" s="76"/>
      <c r="B4" s="127"/>
      <c r="C4" s="127"/>
      <c r="D4" s="127"/>
      <c r="E4" s="127"/>
      <c r="F4" s="127"/>
      <c r="G4" s="127"/>
      <c r="H4" s="127"/>
      <c r="I4" s="127"/>
      <c r="J4" s="127"/>
      <c r="K4" s="77"/>
    </row>
    <row r="5" spans="1:11">
      <c r="A5" s="76"/>
      <c r="B5" s="78" t="s">
        <v>61</v>
      </c>
      <c r="C5" s="129" t="s">
        <v>0</v>
      </c>
      <c r="D5" s="129"/>
      <c r="E5" s="129"/>
      <c r="F5" s="129"/>
      <c r="G5" s="129"/>
      <c r="H5" s="130"/>
      <c r="I5" s="130"/>
      <c r="J5" s="130"/>
      <c r="K5" s="77"/>
    </row>
    <row r="6" spans="1:11">
      <c r="A6" s="76"/>
      <c r="B6" s="78" t="s">
        <v>53</v>
      </c>
      <c r="C6" s="140">
        <v>1101101</v>
      </c>
      <c r="D6" s="140"/>
      <c r="E6" s="140"/>
      <c r="F6" s="140"/>
      <c r="G6" s="140"/>
      <c r="H6" s="79" t="s">
        <v>102</v>
      </c>
      <c r="I6" s="141" t="s">
        <v>207</v>
      </c>
      <c r="J6" s="141"/>
      <c r="K6" s="77"/>
    </row>
    <row r="7" spans="1:11" ht="5.0999999999999996" customHeight="1">
      <c r="A7" s="76"/>
      <c r="B7" s="80"/>
      <c r="C7" s="80"/>
      <c r="D7" s="80"/>
      <c r="E7" s="80"/>
      <c r="F7" s="80"/>
      <c r="G7" s="80"/>
      <c r="H7" s="80"/>
      <c r="I7" s="80"/>
      <c r="J7" s="80"/>
      <c r="K7" s="77"/>
    </row>
    <row r="8" spans="1:11" ht="15" thickBot="1">
      <c r="A8" s="142" t="s">
        <v>75</v>
      </c>
      <c r="B8" s="143"/>
      <c r="C8" s="81" t="s">
        <v>3</v>
      </c>
      <c r="D8" s="143" t="s">
        <v>77</v>
      </c>
      <c r="E8" s="143"/>
      <c r="F8" s="143"/>
      <c r="G8" s="143"/>
      <c r="H8" s="81" t="s">
        <v>103</v>
      </c>
      <c r="I8" s="81" t="s">
        <v>104</v>
      </c>
      <c r="J8" s="143" t="s">
        <v>76</v>
      </c>
      <c r="K8" s="144"/>
    </row>
    <row r="9" spans="1:11" s="90" customFormat="1" ht="11.4" thickTop="1">
      <c r="A9" s="138">
        <f>_xlfn.XLOOKUP($I$6,Table1[PAR No.],Table1[Quantity])</f>
        <v>17</v>
      </c>
      <c r="B9" s="139"/>
      <c r="C9" s="88" t="str">
        <f>_xlfn.XLOOKUP($I$6,Table1[PAR No.],Table1[Unit])</f>
        <v>unit</v>
      </c>
      <c r="D9" s="145" t="s">
        <v>170</v>
      </c>
      <c r="E9" s="146"/>
      <c r="F9" s="146"/>
      <c r="G9" s="147"/>
      <c r="H9" s="88"/>
      <c r="I9" s="89">
        <f>_xlfn.XLOOKUP($I$6,Table1[PAR No.],Table1[[Date Acquired ]])</f>
        <v>44600</v>
      </c>
      <c r="J9" s="148">
        <f>_xlfn.XLOOKUP($I$6,Table1[PAR No.],Table1[Amount])*A9</f>
        <v>990590</v>
      </c>
      <c r="K9" s="149"/>
    </row>
    <row r="10" spans="1:11" s="90" customFormat="1" ht="11.4">
      <c r="A10" s="131"/>
      <c r="B10" s="132"/>
      <c r="C10" s="88"/>
      <c r="D10" s="135" t="s">
        <v>171</v>
      </c>
      <c r="E10" s="136"/>
      <c r="F10" s="136"/>
      <c r="G10" s="137"/>
      <c r="H10" s="322"/>
      <c r="I10" s="89"/>
      <c r="J10" s="133"/>
      <c r="K10" s="134"/>
    </row>
    <row r="11" spans="1:11" s="90" customFormat="1" ht="11.4">
      <c r="A11" s="138"/>
      <c r="B11" s="139"/>
      <c r="C11" s="88"/>
      <c r="D11" s="135" t="s">
        <v>172</v>
      </c>
      <c r="E11" s="136"/>
      <c r="F11" s="136"/>
      <c r="G11" s="137"/>
      <c r="H11" s="322"/>
      <c r="I11" s="89"/>
      <c r="J11" s="133"/>
      <c r="K11" s="134"/>
    </row>
    <row r="12" spans="1:11" s="90" customFormat="1" ht="11.4">
      <c r="A12" s="138"/>
      <c r="B12" s="139"/>
      <c r="C12" s="88"/>
      <c r="D12" s="135" t="s">
        <v>173</v>
      </c>
      <c r="E12" s="136"/>
      <c r="F12" s="136"/>
      <c r="G12" s="137"/>
      <c r="H12" s="322"/>
      <c r="I12" s="89"/>
      <c r="J12" s="133"/>
      <c r="K12" s="134"/>
    </row>
    <row r="13" spans="1:11" s="90" customFormat="1" ht="11.4">
      <c r="A13" s="138"/>
      <c r="B13" s="139"/>
      <c r="C13" s="88"/>
      <c r="D13" s="135" t="s">
        <v>174</v>
      </c>
      <c r="E13" s="136"/>
      <c r="F13" s="136"/>
      <c r="G13" s="137"/>
      <c r="H13" s="322"/>
      <c r="I13" s="89"/>
      <c r="J13" s="133"/>
      <c r="K13" s="134"/>
    </row>
    <row r="14" spans="1:11" s="90" customFormat="1" ht="11.4">
      <c r="A14" s="138"/>
      <c r="B14" s="139"/>
      <c r="C14" s="88"/>
      <c r="D14" s="135" t="s">
        <v>175</v>
      </c>
      <c r="E14" s="136"/>
      <c r="F14" s="136"/>
      <c r="G14" s="137"/>
      <c r="H14" s="322"/>
      <c r="I14" s="89"/>
      <c r="J14" s="133"/>
      <c r="K14" s="134"/>
    </row>
    <row r="15" spans="1:11" s="90" customFormat="1" ht="11.4">
      <c r="A15" s="138"/>
      <c r="B15" s="139"/>
      <c r="C15" s="88"/>
      <c r="D15" s="135" t="s">
        <v>176</v>
      </c>
      <c r="E15" s="136"/>
      <c r="F15" s="136"/>
      <c r="G15" s="137"/>
      <c r="H15" s="322"/>
      <c r="I15" s="89"/>
      <c r="J15" s="133"/>
      <c r="K15" s="134"/>
    </row>
    <row r="16" spans="1:11" s="90" customFormat="1" ht="11.4">
      <c r="A16" s="138"/>
      <c r="B16" s="139"/>
      <c r="C16" s="88"/>
      <c r="D16" s="135" t="s">
        <v>177</v>
      </c>
      <c r="E16" s="136"/>
      <c r="F16" s="136"/>
      <c r="G16" s="137"/>
      <c r="H16" s="322"/>
      <c r="I16" s="89"/>
      <c r="J16" s="133"/>
      <c r="K16" s="134"/>
    </row>
    <row r="17" spans="1:13" s="90" customFormat="1" ht="11.4">
      <c r="A17" s="138"/>
      <c r="B17" s="139"/>
      <c r="C17" s="88"/>
      <c r="D17" s="135" t="s">
        <v>178</v>
      </c>
      <c r="E17" s="136"/>
      <c r="F17" s="136"/>
      <c r="G17" s="137"/>
      <c r="H17" s="322"/>
      <c r="I17" s="89"/>
      <c r="J17" s="133"/>
      <c r="K17" s="134"/>
    </row>
    <row r="18" spans="1:13" s="90" customFormat="1" ht="11.4">
      <c r="A18" s="138"/>
      <c r="B18" s="139"/>
      <c r="C18" s="88"/>
      <c r="D18" s="135" t="s">
        <v>179</v>
      </c>
      <c r="E18" s="136"/>
      <c r="F18" s="136"/>
      <c r="G18" s="137"/>
      <c r="H18" s="322"/>
      <c r="I18" s="89"/>
      <c r="J18" s="133"/>
      <c r="K18" s="134"/>
    </row>
    <row r="19" spans="1:13" s="90" customFormat="1" ht="11.4">
      <c r="A19" s="138"/>
      <c r="B19" s="139"/>
      <c r="C19" s="88"/>
      <c r="D19" s="135" t="s">
        <v>180</v>
      </c>
      <c r="E19" s="136"/>
      <c r="F19" s="136"/>
      <c r="G19" s="137"/>
      <c r="H19" s="322"/>
      <c r="I19" s="89"/>
      <c r="J19" s="133"/>
      <c r="K19" s="134"/>
      <c r="M19" s="100"/>
    </row>
    <row r="20" spans="1:13" s="90" customFormat="1" ht="11.4">
      <c r="A20" s="138"/>
      <c r="B20" s="139"/>
      <c r="C20" s="88"/>
      <c r="D20" s="135" t="s">
        <v>181</v>
      </c>
      <c r="E20" s="136"/>
      <c r="F20" s="136"/>
      <c r="G20" s="137"/>
      <c r="H20" s="322"/>
      <c r="I20" s="89"/>
      <c r="J20" s="133"/>
      <c r="K20" s="134"/>
    </row>
    <row r="21" spans="1:13" s="90" customFormat="1" ht="11.4">
      <c r="A21" s="138"/>
      <c r="B21" s="139"/>
      <c r="C21" s="88"/>
      <c r="D21" s="135" t="s">
        <v>182</v>
      </c>
      <c r="E21" s="136"/>
      <c r="F21" s="136"/>
      <c r="G21" s="137"/>
      <c r="H21" s="322"/>
      <c r="I21" s="89"/>
      <c r="J21" s="133"/>
      <c r="K21" s="134"/>
    </row>
    <row r="22" spans="1:13" s="90" customFormat="1" ht="11.4">
      <c r="A22" s="138"/>
      <c r="B22" s="139"/>
      <c r="C22" s="88"/>
      <c r="D22" s="135" t="s">
        <v>183</v>
      </c>
      <c r="E22" s="136"/>
      <c r="F22" s="136"/>
      <c r="G22" s="137"/>
      <c r="H22" s="322"/>
      <c r="I22" s="89"/>
      <c r="J22" s="133"/>
      <c r="K22" s="134"/>
    </row>
    <row r="23" spans="1:13" s="90" customFormat="1" ht="11.4">
      <c r="A23" s="138"/>
      <c r="B23" s="139"/>
      <c r="C23" s="88"/>
      <c r="D23" s="135" t="s">
        <v>184</v>
      </c>
      <c r="E23" s="136"/>
      <c r="F23" s="136"/>
      <c r="G23" s="137"/>
      <c r="H23" s="322"/>
      <c r="I23" s="89"/>
      <c r="J23" s="133"/>
      <c r="K23" s="134"/>
    </row>
    <row r="24" spans="1:13" s="90" customFormat="1" ht="11.4">
      <c r="A24" s="138"/>
      <c r="B24" s="139"/>
      <c r="C24" s="88"/>
      <c r="D24" s="135" t="s">
        <v>185</v>
      </c>
      <c r="E24" s="136"/>
      <c r="F24" s="136"/>
      <c r="G24" s="137"/>
      <c r="H24" s="322"/>
      <c r="I24" s="89"/>
      <c r="J24" s="133"/>
      <c r="K24" s="134"/>
    </row>
    <row r="25" spans="1:13" s="90" customFormat="1" ht="11.4">
      <c r="A25" s="138"/>
      <c r="B25" s="139"/>
      <c r="C25" s="88"/>
      <c r="D25" s="135" t="s">
        <v>186</v>
      </c>
      <c r="E25" s="136"/>
      <c r="F25" s="136"/>
      <c r="G25" s="137"/>
      <c r="H25" s="322"/>
      <c r="I25" s="89"/>
      <c r="J25" s="133"/>
      <c r="K25" s="134"/>
      <c r="M25" s="100"/>
    </row>
    <row r="26" spans="1:13" s="90" customFormat="1" ht="11.4">
      <c r="A26" s="138"/>
      <c r="B26" s="139"/>
      <c r="C26" s="88"/>
      <c r="D26" s="135" t="s">
        <v>187</v>
      </c>
      <c r="E26" s="136"/>
      <c r="F26" s="136"/>
      <c r="G26" s="137"/>
      <c r="H26" s="91"/>
      <c r="I26" s="89"/>
      <c r="J26" s="133"/>
      <c r="K26" s="134"/>
    </row>
    <row r="27" spans="1:13" s="90" customFormat="1" ht="11.4">
      <c r="A27" s="138"/>
      <c r="B27" s="139"/>
      <c r="C27" s="88"/>
      <c r="D27" s="135" t="s">
        <v>188</v>
      </c>
      <c r="E27" s="136"/>
      <c r="F27" s="136"/>
      <c r="G27" s="137"/>
      <c r="H27" s="91"/>
      <c r="I27" s="89"/>
      <c r="J27" s="133"/>
      <c r="K27" s="134"/>
    </row>
    <row r="28" spans="1:13" s="90" customFormat="1" ht="11.4">
      <c r="A28" s="138"/>
      <c r="B28" s="139"/>
      <c r="C28" s="88"/>
      <c r="D28" s="135" t="s">
        <v>189</v>
      </c>
      <c r="E28" s="136"/>
      <c r="F28" s="136"/>
      <c r="G28" s="137"/>
      <c r="H28" s="91"/>
      <c r="I28" s="89"/>
      <c r="J28" s="133"/>
      <c r="K28" s="134"/>
    </row>
    <row r="29" spans="1:13" s="90" customFormat="1" ht="11.4">
      <c r="A29" s="138"/>
      <c r="B29" s="139"/>
      <c r="C29" s="88"/>
      <c r="D29" s="135" t="s">
        <v>190</v>
      </c>
      <c r="E29" s="136"/>
      <c r="F29" s="136"/>
      <c r="G29" s="137"/>
      <c r="H29" s="91"/>
      <c r="I29" s="89"/>
      <c r="J29" s="133"/>
      <c r="K29" s="134"/>
    </row>
    <row r="30" spans="1:13" s="90" customFormat="1" ht="11.4">
      <c r="A30" s="138"/>
      <c r="B30" s="139"/>
      <c r="C30" s="88"/>
      <c r="D30" s="135" t="s">
        <v>191</v>
      </c>
      <c r="E30" s="136"/>
      <c r="F30" s="136"/>
      <c r="G30" s="137"/>
      <c r="H30" s="91"/>
      <c r="I30" s="89"/>
      <c r="J30" s="133"/>
      <c r="K30" s="134"/>
    </row>
    <row r="31" spans="1:13" s="90" customFormat="1" ht="11.4">
      <c r="A31" s="138"/>
      <c r="B31" s="139"/>
      <c r="C31" s="88"/>
      <c r="D31" s="135" t="s">
        <v>192</v>
      </c>
      <c r="E31" s="136"/>
      <c r="F31" s="136"/>
      <c r="G31" s="137"/>
      <c r="H31" s="91"/>
      <c r="I31" s="89"/>
      <c r="J31" s="133"/>
      <c r="K31" s="134"/>
    </row>
    <row r="32" spans="1:13" s="90" customFormat="1" ht="11.4">
      <c r="A32" s="138"/>
      <c r="B32" s="139"/>
      <c r="C32" s="88"/>
      <c r="D32" s="135" t="s">
        <v>193</v>
      </c>
      <c r="E32" s="136"/>
      <c r="F32" s="136"/>
      <c r="G32" s="137"/>
      <c r="H32" s="91"/>
      <c r="I32" s="89"/>
      <c r="J32" s="133"/>
      <c r="K32" s="134"/>
    </row>
    <row r="33" spans="1:13" s="90" customFormat="1" ht="11.4">
      <c r="A33" s="138"/>
      <c r="B33" s="139"/>
      <c r="C33" s="88"/>
      <c r="D33" s="135" t="s">
        <v>194</v>
      </c>
      <c r="E33" s="136"/>
      <c r="F33" s="136"/>
      <c r="G33" s="137"/>
      <c r="H33" s="91"/>
      <c r="I33" s="89"/>
      <c r="J33" s="133"/>
      <c r="K33" s="134"/>
    </row>
    <row r="34" spans="1:13" s="90" customFormat="1" ht="11.4">
      <c r="A34" s="138"/>
      <c r="B34" s="139"/>
      <c r="C34" s="88"/>
      <c r="D34" s="135" t="s">
        <v>195</v>
      </c>
      <c r="E34" s="136"/>
      <c r="F34" s="136"/>
      <c r="G34" s="137"/>
      <c r="H34" s="91"/>
      <c r="I34" s="89"/>
      <c r="J34" s="133"/>
      <c r="K34" s="134"/>
    </row>
    <row r="35" spans="1:13" s="90" customFormat="1" ht="11.4">
      <c r="A35" s="138"/>
      <c r="B35" s="139"/>
      <c r="C35" s="88"/>
      <c r="D35" s="135" t="s">
        <v>196</v>
      </c>
      <c r="E35" s="136"/>
      <c r="F35" s="136"/>
      <c r="G35" s="137"/>
      <c r="H35" s="91"/>
      <c r="I35" s="89"/>
      <c r="J35" s="133"/>
      <c r="K35" s="134"/>
    </row>
    <row r="36" spans="1:13" s="90" customFormat="1" ht="11.4">
      <c r="A36" s="138"/>
      <c r="B36" s="139"/>
      <c r="C36" s="88"/>
      <c r="D36" s="135" t="s">
        <v>197</v>
      </c>
      <c r="E36" s="136"/>
      <c r="F36" s="136"/>
      <c r="G36" s="137"/>
      <c r="H36" s="91"/>
      <c r="I36" s="89"/>
      <c r="J36" s="133"/>
      <c r="K36" s="134"/>
    </row>
    <row r="37" spans="1:13" s="90" customFormat="1" ht="11.4">
      <c r="A37" s="138"/>
      <c r="B37" s="139"/>
      <c r="C37" s="88"/>
      <c r="D37" s="135" t="s">
        <v>198</v>
      </c>
      <c r="E37" s="136"/>
      <c r="F37" s="136"/>
      <c r="G37" s="137"/>
      <c r="H37" s="91"/>
      <c r="I37" s="89"/>
      <c r="J37" s="133"/>
      <c r="K37" s="134"/>
    </row>
    <row r="38" spans="1:13" s="90" customFormat="1" ht="11.4">
      <c r="A38" s="138"/>
      <c r="B38" s="139"/>
      <c r="C38" s="88"/>
      <c r="D38" s="135" t="s">
        <v>199</v>
      </c>
      <c r="E38" s="136"/>
      <c r="F38" s="136"/>
      <c r="G38" s="137"/>
      <c r="H38" s="91"/>
      <c r="I38" s="89"/>
      <c r="J38" s="133"/>
      <c r="K38" s="134"/>
    </row>
    <row r="39" spans="1:13" s="90" customFormat="1" ht="11.4">
      <c r="A39" s="138"/>
      <c r="B39" s="139"/>
      <c r="C39" s="88"/>
      <c r="D39" s="135" t="s">
        <v>200</v>
      </c>
      <c r="E39" s="136"/>
      <c r="F39" s="136"/>
      <c r="G39" s="137"/>
      <c r="H39" s="91"/>
      <c r="I39" s="89"/>
      <c r="J39" s="133"/>
      <c r="K39" s="134"/>
    </row>
    <row r="40" spans="1:13" s="90" customFormat="1" ht="11.4">
      <c r="A40" s="138"/>
      <c r="B40" s="139"/>
      <c r="C40" s="88"/>
      <c r="D40" s="135" t="s">
        <v>201</v>
      </c>
      <c r="E40" s="136"/>
      <c r="F40" s="136"/>
      <c r="G40" s="137"/>
      <c r="H40" s="91"/>
      <c r="I40" s="89"/>
      <c r="J40" s="133"/>
      <c r="K40" s="134"/>
    </row>
    <row r="41" spans="1:13" s="90" customFormat="1" ht="11.4">
      <c r="A41" s="138"/>
      <c r="B41" s="139"/>
      <c r="C41" s="88"/>
      <c r="D41" s="135" t="s">
        <v>202</v>
      </c>
      <c r="E41" s="136"/>
      <c r="F41" s="136"/>
      <c r="G41" s="137"/>
      <c r="H41" s="91"/>
      <c r="I41" s="89"/>
      <c r="J41" s="133"/>
      <c r="K41" s="134"/>
    </row>
    <row r="42" spans="1:13" s="90" customFormat="1" ht="11.4">
      <c r="A42" s="138"/>
      <c r="B42" s="139"/>
      <c r="C42" s="88"/>
      <c r="D42" s="135" t="s">
        <v>203</v>
      </c>
      <c r="E42" s="136"/>
      <c r="F42" s="136"/>
      <c r="G42" s="137"/>
      <c r="H42" s="91"/>
      <c r="I42" s="89"/>
      <c r="J42" s="133"/>
      <c r="K42" s="134"/>
    </row>
    <row r="43" spans="1:13" s="90" customFormat="1" ht="11.4">
      <c r="A43" s="138"/>
      <c r="B43" s="139"/>
      <c r="C43" s="88"/>
      <c r="D43" s="135" t="s">
        <v>204</v>
      </c>
      <c r="E43" s="136"/>
      <c r="F43" s="136"/>
      <c r="G43" s="137"/>
      <c r="H43" s="91"/>
      <c r="I43" s="89"/>
      <c r="J43" s="133"/>
      <c r="K43" s="134"/>
    </row>
    <row r="44" spans="1:13" s="90" customFormat="1" ht="11.4">
      <c r="A44" s="138"/>
      <c r="B44" s="139"/>
      <c r="C44" s="88"/>
      <c r="D44" s="135" t="s">
        <v>205</v>
      </c>
      <c r="E44" s="136"/>
      <c r="F44" s="136"/>
      <c r="G44" s="137"/>
      <c r="H44" s="91"/>
      <c r="I44" s="89"/>
      <c r="J44" s="133"/>
      <c r="K44" s="134"/>
    </row>
    <row r="45" spans="1:13" s="90" customFormat="1" ht="11.4">
      <c r="A45" s="138"/>
      <c r="B45" s="139"/>
      <c r="C45" s="88"/>
      <c r="D45" s="323" t="s">
        <v>206</v>
      </c>
      <c r="E45" s="324"/>
      <c r="F45" s="324"/>
      <c r="G45" s="325"/>
      <c r="H45" s="91"/>
      <c r="I45" s="89"/>
      <c r="J45" s="116"/>
      <c r="K45" s="117"/>
    </row>
    <row r="46" spans="1:13" s="90" customFormat="1" ht="11.4">
      <c r="A46" s="131"/>
      <c r="B46" s="132"/>
      <c r="C46" s="88"/>
      <c r="D46" s="326" t="str">
        <f>M46</f>
        <v>6K9JPG3</v>
      </c>
      <c r="E46" s="327"/>
      <c r="F46" s="327"/>
      <c r="G46" s="328"/>
      <c r="H46" s="91" t="s">
        <v>245</v>
      </c>
      <c r="I46" s="89"/>
      <c r="J46" s="133"/>
      <c r="K46" s="134"/>
      <c r="M46" s="90" t="s">
        <v>228</v>
      </c>
    </row>
    <row r="47" spans="1:13" s="90" customFormat="1" ht="11.4">
      <c r="A47" s="114"/>
      <c r="B47" s="115"/>
      <c r="C47" s="88"/>
      <c r="D47" s="329" t="s">
        <v>270</v>
      </c>
      <c r="E47" s="330"/>
      <c r="F47" s="330"/>
      <c r="G47" s="331"/>
      <c r="H47" s="91" t="s">
        <v>247</v>
      </c>
      <c r="I47" s="89"/>
      <c r="J47" s="92"/>
      <c r="K47" s="93"/>
      <c r="M47" s="90" t="s">
        <v>229</v>
      </c>
    </row>
    <row r="48" spans="1:13" s="90" customFormat="1" ht="11.4">
      <c r="A48" s="114"/>
      <c r="B48" s="115"/>
      <c r="C48" s="88"/>
      <c r="D48" s="329" t="str">
        <f t="shared" ref="D47:D62" si="0">M48</f>
        <v>7NV6QG3</v>
      </c>
      <c r="E48" s="330"/>
      <c r="F48" s="330"/>
      <c r="G48" s="331"/>
      <c r="H48" s="91" t="s">
        <v>248</v>
      </c>
      <c r="I48" s="89"/>
      <c r="J48" s="92"/>
      <c r="K48" s="93"/>
      <c r="M48" s="90" t="s">
        <v>230</v>
      </c>
    </row>
    <row r="49" spans="1:13" s="90" customFormat="1" ht="11.4">
      <c r="A49" s="114"/>
      <c r="B49" s="115"/>
      <c r="C49" s="88"/>
      <c r="D49" s="329" t="str">
        <f t="shared" si="0"/>
        <v>5WW6QG3</v>
      </c>
      <c r="E49" s="330"/>
      <c r="F49" s="330"/>
      <c r="G49" s="331"/>
      <c r="H49" s="91" t="s">
        <v>249</v>
      </c>
      <c r="I49" s="89"/>
      <c r="J49" s="92"/>
      <c r="K49" s="93"/>
      <c r="M49" s="90" t="s">
        <v>231</v>
      </c>
    </row>
    <row r="50" spans="1:13" s="90" customFormat="1" ht="11.4">
      <c r="A50" s="114"/>
      <c r="B50" s="115"/>
      <c r="C50" s="88"/>
      <c r="D50" s="329" t="str">
        <f t="shared" si="0"/>
        <v>6XW6QG3</v>
      </c>
      <c r="E50" s="330"/>
      <c r="F50" s="330"/>
      <c r="G50" s="331"/>
      <c r="H50" s="91" t="s">
        <v>250</v>
      </c>
      <c r="I50" s="89"/>
      <c r="J50" s="92"/>
      <c r="K50" s="93"/>
      <c r="M50" s="90" t="s">
        <v>232</v>
      </c>
    </row>
    <row r="51" spans="1:13" s="90" customFormat="1" ht="11.4">
      <c r="A51" s="114"/>
      <c r="B51" s="115"/>
      <c r="C51" s="88"/>
      <c r="D51" s="329" t="str">
        <f t="shared" si="0"/>
        <v>9MV6QG3</v>
      </c>
      <c r="E51" s="330"/>
      <c r="F51" s="330"/>
      <c r="G51" s="331"/>
      <c r="H51" s="91" t="s">
        <v>251</v>
      </c>
      <c r="I51" s="89"/>
      <c r="J51" s="92"/>
      <c r="K51" s="93"/>
      <c r="M51" s="90" t="s">
        <v>233</v>
      </c>
    </row>
    <row r="52" spans="1:13" s="90" customFormat="1" ht="11.4">
      <c r="A52" s="114"/>
      <c r="B52" s="115"/>
      <c r="C52" s="88"/>
      <c r="D52" s="329" t="str">
        <f t="shared" si="0"/>
        <v>2L9JPG3</v>
      </c>
      <c r="E52" s="330"/>
      <c r="F52" s="330"/>
      <c r="G52" s="331"/>
      <c r="H52" s="91" t="s">
        <v>252</v>
      </c>
      <c r="I52" s="89"/>
      <c r="J52" s="92"/>
      <c r="K52" s="93"/>
      <c r="M52" s="90" t="s">
        <v>234</v>
      </c>
    </row>
    <row r="53" spans="1:13" s="90" customFormat="1" ht="11.4">
      <c r="A53" s="114"/>
      <c r="B53" s="115"/>
      <c r="C53" s="88"/>
      <c r="D53" s="329" t="str">
        <f t="shared" si="0"/>
        <v>7PV6QG3</v>
      </c>
      <c r="E53" s="330"/>
      <c r="F53" s="330"/>
      <c r="G53" s="331"/>
      <c r="H53" s="91" t="s">
        <v>253</v>
      </c>
      <c r="I53" s="89"/>
      <c r="J53" s="92"/>
      <c r="K53" s="93"/>
      <c r="M53" s="90" t="s">
        <v>235</v>
      </c>
    </row>
    <row r="54" spans="1:13" s="90" customFormat="1" ht="11.4">
      <c r="A54" s="114"/>
      <c r="B54" s="115"/>
      <c r="C54" s="88"/>
      <c r="D54" s="329" t="str">
        <f t="shared" si="0"/>
        <v>9L9JPG3</v>
      </c>
      <c r="E54" s="330"/>
      <c r="F54" s="330"/>
      <c r="G54" s="331"/>
      <c r="H54" s="91" t="s">
        <v>254</v>
      </c>
      <c r="I54" s="89"/>
      <c r="J54" s="92"/>
      <c r="K54" s="93"/>
      <c r="M54" s="90" t="s">
        <v>236</v>
      </c>
    </row>
    <row r="55" spans="1:13" s="90" customFormat="1" ht="11.4">
      <c r="A55" s="114"/>
      <c r="B55" s="115"/>
      <c r="C55" s="88"/>
      <c r="D55" s="329" t="str">
        <f t="shared" si="0"/>
        <v>DK9JPG3</v>
      </c>
      <c r="E55" s="330"/>
      <c r="F55" s="330"/>
      <c r="G55" s="331"/>
      <c r="H55" s="91" t="s">
        <v>255</v>
      </c>
      <c r="I55" s="89"/>
      <c r="J55" s="92"/>
      <c r="K55" s="93"/>
      <c r="M55" s="90" t="s">
        <v>237</v>
      </c>
    </row>
    <row r="56" spans="1:13" s="90" customFormat="1" ht="11.4">
      <c r="A56" s="114"/>
      <c r="B56" s="115"/>
      <c r="C56" s="88"/>
      <c r="D56" s="329" t="str">
        <f t="shared" si="0"/>
        <v>3N9JPG3</v>
      </c>
      <c r="E56" s="330"/>
      <c r="F56" s="330"/>
      <c r="G56" s="331"/>
      <c r="H56" s="91" t="s">
        <v>256</v>
      </c>
      <c r="I56" s="89"/>
      <c r="J56" s="92"/>
      <c r="K56" s="93"/>
      <c r="M56" s="90" t="s">
        <v>238</v>
      </c>
    </row>
    <row r="57" spans="1:13" s="90" customFormat="1" ht="11.4">
      <c r="A57" s="114"/>
      <c r="B57" s="115"/>
      <c r="C57" s="88"/>
      <c r="D57" s="329" t="str">
        <f t="shared" si="0"/>
        <v>6M9JPG3</v>
      </c>
      <c r="E57" s="330"/>
      <c r="F57" s="330"/>
      <c r="G57" s="331"/>
      <c r="H57" s="91" t="s">
        <v>257</v>
      </c>
      <c r="I57" s="89"/>
      <c r="J57" s="92"/>
      <c r="K57" s="93"/>
      <c r="M57" s="90" t="s">
        <v>239</v>
      </c>
    </row>
    <row r="58" spans="1:13" s="90" customFormat="1" ht="11.4">
      <c r="A58" s="114"/>
      <c r="B58" s="115"/>
      <c r="C58" s="88"/>
      <c r="D58" s="329" t="str">
        <f t="shared" si="0"/>
        <v>3NV6QG3</v>
      </c>
      <c r="E58" s="330"/>
      <c r="F58" s="330"/>
      <c r="G58" s="331"/>
      <c r="H58" s="91" t="s">
        <v>258</v>
      </c>
      <c r="I58" s="89"/>
      <c r="J58" s="92"/>
      <c r="K58" s="93"/>
      <c r="M58" s="90" t="s">
        <v>240</v>
      </c>
    </row>
    <row r="59" spans="1:13" s="90" customFormat="1" ht="11.4">
      <c r="A59" s="114"/>
      <c r="B59" s="115"/>
      <c r="C59" s="88"/>
      <c r="D59" s="329" t="s">
        <v>271</v>
      </c>
      <c r="E59" s="330"/>
      <c r="F59" s="330"/>
      <c r="G59" s="331"/>
      <c r="H59" s="91" t="s">
        <v>259</v>
      </c>
      <c r="I59" s="89"/>
      <c r="J59" s="92"/>
      <c r="K59" s="93"/>
      <c r="M59" s="90" t="s">
        <v>241</v>
      </c>
    </row>
    <row r="60" spans="1:13" s="90" customFormat="1" ht="11.4">
      <c r="A60" s="114"/>
      <c r="B60" s="115"/>
      <c r="C60" s="88"/>
      <c r="D60" s="329" t="str">
        <f t="shared" si="0"/>
        <v>4NV6QG3</v>
      </c>
      <c r="E60" s="330"/>
      <c r="F60" s="330"/>
      <c r="G60" s="331"/>
      <c r="H60" s="91" t="s">
        <v>260</v>
      </c>
      <c r="I60" s="89"/>
      <c r="J60" s="92"/>
      <c r="K60" s="93"/>
      <c r="M60" s="90" t="s">
        <v>242</v>
      </c>
    </row>
    <row r="61" spans="1:13" s="90" customFormat="1" ht="11.4">
      <c r="A61" s="114"/>
      <c r="B61" s="115"/>
      <c r="C61" s="88"/>
      <c r="D61" s="329" t="str">
        <f t="shared" si="0"/>
        <v>8XW6QG3</v>
      </c>
      <c r="E61" s="330"/>
      <c r="F61" s="330"/>
      <c r="G61" s="331"/>
      <c r="H61" s="91" t="s">
        <v>261</v>
      </c>
      <c r="I61" s="89"/>
      <c r="J61" s="92"/>
      <c r="K61" s="93"/>
      <c r="M61" s="90" t="s">
        <v>243</v>
      </c>
    </row>
    <row r="62" spans="1:13" s="90" customFormat="1" ht="11.4">
      <c r="A62" s="114"/>
      <c r="B62" s="115"/>
      <c r="C62" s="88"/>
      <c r="D62" s="329" t="str">
        <f t="shared" si="0"/>
        <v>GNV6QG3</v>
      </c>
      <c r="E62" s="330"/>
      <c r="F62" s="330"/>
      <c r="G62" s="331"/>
      <c r="H62" s="91" t="s">
        <v>262</v>
      </c>
      <c r="I62" s="89"/>
      <c r="J62" s="92"/>
      <c r="K62" s="93"/>
      <c r="M62" s="90" t="s">
        <v>244</v>
      </c>
    </row>
    <row r="63" spans="1:13" s="90" customFormat="1" ht="10.8">
      <c r="A63" s="150" t="s">
        <v>91</v>
      </c>
      <c r="B63" s="151"/>
      <c r="C63" s="151"/>
      <c r="D63" s="151"/>
      <c r="E63" s="151"/>
      <c r="F63" s="151"/>
      <c r="G63" s="151"/>
      <c r="H63" s="151"/>
      <c r="I63" s="151"/>
      <c r="J63" s="151"/>
      <c r="K63" s="152"/>
    </row>
    <row r="64" spans="1:13" ht="11.55" hidden="1" customHeight="1">
      <c r="A64" s="168"/>
      <c r="B64" s="169"/>
      <c r="C64" s="82"/>
      <c r="D64" s="170"/>
      <c r="E64" s="171"/>
      <c r="F64" s="171"/>
      <c r="G64" s="171"/>
      <c r="H64" s="82"/>
      <c r="I64" s="83"/>
      <c r="J64" s="169"/>
      <c r="K64" s="172"/>
    </row>
    <row r="65" spans="1:16" ht="15" thickBot="1">
      <c r="A65" s="179"/>
      <c r="B65" s="180"/>
      <c r="C65" s="98"/>
      <c r="D65" s="180"/>
      <c r="E65" s="180"/>
      <c r="F65" s="180"/>
      <c r="G65" s="180"/>
      <c r="H65" s="98"/>
      <c r="I65" s="99" t="s">
        <v>74</v>
      </c>
      <c r="J65" s="153">
        <f>SUM(J9:K50)</f>
        <v>990590</v>
      </c>
      <c r="K65" s="154"/>
    </row>
    <row r="66" spans="1:16" ht="15.6" hidden="1" thickTop="1" thickBot="1">
      <c r="A66" s="155"/>
      <c r="B66" s="156"/>
      <c r="C66" s="156"/>
      <c r="D66" s="156"/>
      <c r="E66" s="156"/>
      <c r="F66" s="156"/>
      <c r="G66" s="156"/>
      <c r="H66" s="156"/>
      <c r="I66" s="156"/>
      <c r="J66" s="156"/>
      <c r="K66" s="157"/>
    </row>
    <row r="67" spans="1:16" ht="15.6" hidden="1" thickTop="1" thickBot="1">
      <c r="A67" s="158"/>
      <c r="B67" s="159"/>
      <c r="C67" s="159"/>
      <c r="D67" s="159"/>
      <c r="E67" s="159"/>
      <c r="F67" s="159"/>
      <c r="G67" s="159"/>
      <c r="H67" s="159"/>
      <c r="I67" s="159"/>
      <c r="J67" s="159"/>
      <c r="K67" s="160"/>
    </row>
    <row r="68" spans="1:16" ht="15.6" hidden="1" thickTop="1" thickBot="1">
      <c r="A68" s="158"/>
      <c r="B68" s="159"/>
      <c r="C68" s="159"/>
      <c r="D68" s="159"/>
      <c r="E68" s="159"/>
      <c r="F68" s="159"/>
      <c r="G68" s="159"/>
      <c r="H68" s="159"/>
      <c r="I68" s="159"/>
      <c r="J68" s="159"/>
      <c r="K68" s="160"/>
    </row>
    <row r="69" spans="1:16" ht="15.6" hidden="1" thickTop="1" thickBot="1">
      <c r="A69" s="158"/>
      <c r="B69" s="159"/>
      <c r="C69" s="159"/>
      <c r="D69" s="159"/>
      <c r="E69" s="159"/>
      <c r="F69" s="159"/>
      <c r="G69" s="159"/>
      <c r="H69" s="159"/>
      <c r="I69" s="159"/>
      <c r="J69" s="159"/>
      <c r="K69" s="160"/>
    </row>
    <row r="70" spans="1:16" ht="15.6" hidden="1" thickTop="1" thickBot="1">
      <c r="A70" s="158"/>
      <c r="B70" s="159"/>
      <c r="C70" s="159"/>
      <c r="D70" s="159"/>
      <c r="E70" s="159"/>
      <c r="F70" s="159"/>
      <c r="G70" s="159"/>
      <c r="H70" s="159"/>
      <c r="I70" s="159"/>
      <c r="J70" s="159"/>
      <c r="K70" s="160"/>
    </row>
    <row r="71" spans="1:16" ht="15.6" hidden="1" thickTop="1" thickBot="1">
      <c r="A71" s="158"/>
      <c r="B71" s="159"/>
      <c r="C71" s="159"/>
      <c r="D71" s="159"/>
      <c r="E71" s="159"/>
      <c r="F71" s="159"/>
      <c r="G71" s="159"/>
      <c r="H71" s="159"/>
      <c r="I71" s="159"/>
      <c r="J71" s="159"/>
      <c r="K71" s="160"/>
    </row>
    <row r="72" spans="1:16" ht="15.6" hidden="1" thickTop="1" thickBot="1">
      <c r="A72" s="158"/>
      <c r="B72" s="159"/>
      <c r="C72" s="159"/>
      <c r="D72" s="159"/>
      <c r="E72" s="159"/>
      <c r="F72" s="159"/>
      <c r="G72" s="159"/>
      <c r="H72" s="159"/>
      <c r="I72" s="159"/>
      <c r="J72" s="159"/>
      <c r="K72" s="160"/>
    </row>
    <row r="73" spans="1:16" ht="15.6" hidden="1" thickTop="1" thickBot="1">
      <c r="A73" s="158"/>
      <c r="B73" s="159"/>
      <c r="C73" s="159"/>
      <c r="D73" s="159"/>
      <c r="E73" s="159"/>
      <c r="F73" s="159"/>
      <c r="G73" s="159"/>
      <c r="H73" s="159"/>
      <c r="I73" s="159"/>
      <c r="J73" s="159"/>
      <c r="K73" s="160"/>
    </row>
    <row r="74" spans="1:16" ht="15.6" hidden="1" thickTop="1" thickBot="1">
      <c r="A74" s="158"/>
      <c r="B74" s="159"/>
      <c r="C74" s="159"/>
      <c r="D74" s="159"/>
      <c r="E74" s="159"/>
      <c r="F74" s="159"/>
      <c r="G74" s="159"/>
      <c r="H74" s="159"/>
      <c r="I74" s="159"/>
      <c r="J74" s="159"/>
      <c r="K74" s="160"/>
    </row>
    <row r="75" spans="1:16" ht="15.6" hidden="1" thickTop="1" thickBot="1">
      <c r="A75" s="158"/>
      <c r="B75" s="159"/>
      <c r="C75" s="159"/>
      <c r="D75" s="159"/>
      <c r="E75" s="159"/>
      <c r="F75" s="159"/>
      <c r="G75" s="159"/>
      <c r="H75" s="159"/>
      <c r="I75" s="159"/>
      <c r="J75" s="159"/>
      <c r="K75" s="160"/>
    </row>
    <row r="76" spans="1:16" ht="15.6" hidden="1" thickTop="1" thickBot="1">
      <c r="A76" s="158"/>
      <c r="B76" s="159"/>
      <c r="C76" s="159"/>
      <c r="D76" s="159"/>
      <c r="E76" s="159"/>
      <c r="F76" s="159"/>
      <c r="G76" s="159"/>
      <c r="H76" s="159"/>
      <c r="I76" s="159"/>
      <c r="J76" s="159"/>
      <c r="K76" s="160"/>
    </row>
    <row r="77" spans="1:16" ht="15.6" hidden="1" thickTop="1" thickBot="1">
      <c r="A77" s="158"/>
      <c r="B77" s="159"/>
      <c r="C77" s="159"/>
      <c r="D77" s="159"/>
      <c r="E77" s="159"/>
      <c r="F77" s="159"/>
      <c r="G77" s="159"/>
      <c r="H77" s="159"/>
      <c r="I77" s="159"/>
      <c r="J77" s="159"/>
      <c r="K77" s="160"/>
    </row>
    <row r="78" spans="1:16" ht="15.6" hidden="1" thickTop="1" thickBot="1">
      <c r="A78" s="158"/>
      <c r="B78" s="159"/>
      <c r="C78" s="159"/>
      <c r="D78" s="159"/>
      <c r="E78" s="159"/>
      <c r="F78" s="159"/>
      <c r="G78" s="159"/>
      <c r="H78" s="159"/>
      <c r="I78" s="159"/>
      <c r="J78" s="159"/>
      <c r="K78" s="160"/>
    </row>
    <row r="79" spans="1:16" ht="15.6" hidden="1" thickTop="1" thickBot="1">
      <c r="A79" s="158"/>
      <c r="B79" s="159"/>
      <c r="C79" s="159"/>
      <c r="D79" s="159"/>
      <c r="E79" s="159"/>
      <c r="F79" s="159"/>
      <c r="G79" s="159"/>
      <c r="H79" s="159"/>
      <c r="I79" s="159"/>
      <c r="J79" s="159"/>
      <c r="K79" s="160"/>
      <c r="P79"/>
    </row>
    <row r="80" spans="1:16" ht="15.6" hidden="1" thickTop="1" thickBot="1">
      <c r="A80" s="158"/>
      <c r="B80" s="159"/>
      <c r="C80" s="159"/>
      <c r="D80" s="159"/>
      <c r="E80" s="159"/>
      <c r="F80" s="159"/>
      <c r="G80" s="159"/>
      <c r="H80" s="159"/>
      <c r="I80" s="159"/>
      <c r="J80" s="159"/>
      <c r="K80" s="160"/>
    </row>
    <row r="81" spans="1:11" ht="15.6" hidden="1" thickTop="1" thickBot="1">
      <c r="A81" s="158"/>
      <c r="B81" s="159"/>
      <c r="C81" s="159"/>
      <c r="D81" s="159"/>
      <c r="E81" s="159"/>
      <c r="F81" s="159"/>
      <c r="G81" s="159"/>
      <c r="H81" s="159"/>
      <c r="I81" s="159"/>
      <c r="J81" s="159"/>
      <c r="K81" s="160"/>
    </row>
    <row r="82" spans="1:11" ht="15.6" hidden="1" thickTop="1" thickBot="1">
      <c r="A82" s="158"/>
      <c r="B82" s="159"/>
      <c r="C82" s="159"/>
      <c r="D82" s="159"/>
      <c r="E82" s="159"/>
      <c r="F82" s="159"/>
      <c r="G82" s="159"/>
      <c r="H82" s="159"/>
      <c r="I82" s="159"/>
      <c r="J82" s="159"/>
      <c r="K82" s="160"/>
    </row>
    <row r="83" spans="1:11" ht="15.6" hidden="1" thickTop="1" thickBot="1">
      <c r="A83" s="158"/>
      <c r="B83" s="159"/>
      <c r="C83" s="159"/>
      <c r="D83" s="159"/>
      <c r="E83" s="159"/>
      <c r="F83" s="159"/>
      <c r="G83" s="159"/>
      <c r="H83" s="159"/>
      <c r="I83" s="159"/>
      <c r="J83" s="159"/>
      <c r="K83" s="160"/>
    </row>
    <row r="84" spans="1:11" ht="15.6" hidden="1" thickTop="1" thickBot="1">
      <c r="A84" s="158"/>
      <c r="B84" s="159"/>
      <c r="C84" s="159"/>
      <c r="D84" s="159"/>
      <c r="E84" s="159"/>
      <c r="F84" s="159"/>
      <c r="G84" s="159"/>
      <c r="H84" s="159"/>
      <c r="I84" s="159"/>
      <c r="J84" s="159"/>
      <c r="K84" s="160"/>
    </row>
    <row r="85" spans="1:11" ht="15.6" hidden="1" thickTop="1" thickBot="1">
      <c r="A85" s="158"/>
      <c r="B85" s="159"/>
      <c r="C85" s="159"/>
      <c r="D85" s="159"/>
      <c r="E85" s="159"/>
      <c r="F85" s="159"/>
      <c r="G85" s="159"/>
      <c r="H85" s="159"/>
      <c r="I85" s="159"/>
      <c r="J85" s="159"/>
      <c r="K85" s="160"/>
    </row>
    <row r="86" spans="1:11" ht="15.6" hidden="1" thickTop="1" thickBot="1">
      <c r="A86" s="158"/>
      <c r="B86" s="159"/>
      <c r="C86" s="159"/>
      <c r="D86" s="159"/>
      <c r="E86" s="159"/>
      <c r="F86" s="159"/>
      <c r="G86" s="159"/>
      <c r="H86" s="159"/>
      <c r="I86" s="159"/>
      <c r="J86" s="159"/>
      <c r="K86" s="160"/>
    </row>
    <row r="87" spans="1:11" ht="15.6" hidden="1" thickTop="1" thickBot="1">
      <c r="A87" s="158"/>
      <c r="B87" s="159"/>
      <c r="C87" s="159"/>
      <c r="D87" s="159"/>
      <c r="E87" s="159"/>
      <c r="F87" s="159"/>
      <c r="G87" s="159"/>
      <c r="H87" s="159"/>
      <c r="I87" s="159"/>
      <c r="J87" s="159"/>
      <c r="K87" s="160"/>
    </row>
    <row r="88" spans="1:11" ht="15.6" hidden="1" thickTop="1" thickBot="1">
      <c r="A88" s="158"/>
      <c r="B88" s="159"/>
      <c r="C88" s="159"/>
      <c r="D88" s="159"/>
      <c r="E88" s="159"/>
      <c r="F88" s="159"/>
      <c r="G88" s="159"/>
      <c r="H88" s="159"/>
      <c r="I88" s="159"/>
      <c r="J88" s="159"/>
      <c r="K88" s="160"/>
    </row>
    <row r="89" spans="1:11" ht="15.6" hidden="1" thickTop="1" thickBot="1">
      <c r="A89" s="158"/>
      <c r="B89" s="159"/>
      <c r="C89" s="159"/>
      <c r="D89" s="159"/>
      <c r="E89" s="159"/>
      <c r="F89" s="159"/>
      <c r="G89" s="159"/>
      <c r="H89" s="159"/>
      <c r="I89" s="159"/>
      <c r="J89" s="159"/>
      <c r="K89" s="160"/>
    </row>
    <row r="90" spans="1:11" ht="15.6" hidden="1" thickTop="1" thickBot="1">
      <c r="A90" s="158"/>
      <c r="B90" s="159"/>
      <c r="C90" s="159"/>
      <c r="D90" s="159"/>
      <c r="E90" s="159"/>
      <c r="F90" s="159"/>
      <c r="G90" s="159"/>
      <c r="H90" s="159"/>
      <c r="I90" s="159"/>
      <c r="J90" s="159"/>
      <c r="K90" s="160"/>
    </row>
    <row r="91" spans="1:11" ht="15.6" hidden="1" thickTop="1" thickBot="1">
      <c r="A91" s="158"/>
      <c r="B91" s="159"/>
      <c r="C91" s="159"/>
      <c r="D91" s="159"/>
      <c r="E91" s="159"/>
      <c r="F91" s="159"/>
      <c r="G91" s="159"/>
      <c r="H91" s="159"/>
      <c r="I91" s="159"/>
      <c r="J91" s="159"/>
      <c r="K91" s="160"/>
    </row>
    <row r="92" spans="1:11" ht="15.45" hidden="1" customHeight="1" thickTop="1" thickBot="1">
      <c r="A92" s="161"/>
      <c r="B92" s="162"/>
      <c r="C92" s="162"/>
      <c r="D92" s="162"/>
      <c r="E92" s="162"/>
      <c r="F92" s="162"/>
      <c r="G92" s="162"/>
      <c r="H92" s="162"/>
      <c r="I92" s="162"/>
      <c r="J92" s="162"/>
      <c r="K92" s="163"/>
    </row>
    <row r="93" spans="1:11" ht="5.0999999999999996" hidden="1" customHeight="1" thickTop="1" thickBot="1">
      <c r="A93" s="164"/>
      <c r="B93" s="165"/>
      <c r="C93" s="165"/>
      <c r="D93" s="165"/>
      <c r="E93" s="165"/>
      <c r="F93" s="165"/>
      <c r="G93" s="165"/>
      <c r="H93" s="165"/>
      <c r="I93" s="165"/>
      <c r="J93" s="165"/>
      <c r="K93" s="166"/>
    </row>
    <row r="94" spans="1:11" ht="15" thickTop="1">
      <c r="A94" s="73"/>
      <c r="B94" s="167" t="s">
        <v>73</v>
      </c>
      <c r="C94" s="167"/>
      <c r="D94" s="167"/>
      <c r="E94" s="84"/>
      <c r="F94" s="74"/>
      <c r="G94" s="73"/>
      <c r="H94" s="167" t="s">
        <v>105</v>
      </c>
      <c r="I94" s="167"/>
      <c r="J94" s="167"/>
      <c r="K94" s="74"/>
    </row>
    <row r="95" spans="1:11">
      <c r="A95" s="76"/>
      <c r="B95" s="177"/>
      <c r="C95" s="177"/>
      <c r="D95" s="177"/>
      <c r="E95" s="80"/>
      <c r="F95" s="77"/>
      <c r="G95" s="76"/>
      <c r="H95" s="177"/>
      <c r="I95" s="177"/>
      <c r="J95" s="177"/>
      <c r="K95" s="77"/>
    </row>
    <row r="96" spans="1:11">
      <c r="A96" s="76"/>
      <c r="B96" s="178" t="str">
        <f>_xlfn.XLOOKUP($I$6,Table1[PAR No.],Table1[Received by])</f>
        <v>JAYSON B. ANTIG</v>
      </c>
      <c r="C96" s="178"/>
      <c r="D96" s="178"/>
      <c r="E96" s="178"/>
      <c r="F96" s="77"/>
      <c r="G96" s="76"/>
      <c r="H96" s="178" t="s">
        <v>5</v>
      </c>
      <c r="I96" s="178"/>
      <c r="J96" s="178"/>
      <c r="K96" s="77"/>
    </row>
    <row r="97" spans="1:11">
      <c r="A97" s="76"/>
      <c r="B97" s="175" t="s">
        <v>106</v>
      </c>
      <c r="C97" s="175"/>
      <c r="D97" s="175"/>
      <c r="E97" s="175"/>
      <c r="F97" s="85"/>
      <c r="G97" s="76"/>
      <c r="H97" s="175" t="s">
        <v>106</v>
      </c>
      <c r="I97" s="175"/>
      <c r="J97" s="175"/>
      <c r="K97" s="77"/>
    </row>
    <row r="98" spans="1:11">
      <c r="A98" s="76"/>
      <c r="B98" s="174" t="str">
        <f>_xlfn.XLOOKUP($I$6,Table1[PAR No.],Table1[Position | Designation])</f>
        <v>INFORMATION TECHNOLOGY OFFICER I</v>
      </c>
      <c r="C98" s="174"/>
      <c r="D98" s="174"/>
      <c r="E98" s="174"/>
      <c r="F98" s="77"/>
      <c r="G98" s="76"/>
      <c r="H98" s="174" t="s">
        <v>107</v>
      </c>
      <c r="I98" s="174"/>
      <c r="J98" s="174"/>
      <c r="K98" s="77"/>
    </row>
    <row r="99" spans="1:11">
      <c r="A99" s="76"/>
      <c r="B99" s="175" t="s">
        <v>78</v>
      </c>
      <c r="C99" s="175"/>
      <c r="D99" s="175"/>
      <c r="E99" s="175"/>
      <c r="F99" s="85"/>
      <c r="G99" s="76"/>
      <c r="H99" s="175" t="s">
        <v>78</v>
      </c>
      <c r="I99" s="175"/>
      <c r="J99" s="175"/>
      <c r="K99" s="77"/>
    </row>
    <row r="100" spans="1:11">
      <c r="A100" s="76"/>
      <c r="B100" s="176">
        <v>44779</v>
      </c>
      <c r="C100" s="174"/>
      <c r="D100" s="174"/>
      <c r="E100" s="174"/>
      <c r="F100" s="77"/>
      <c r="G100" s="76"/>
      <c r="H100" s="176">
        <f>B100</f>
        <v>44779</v>
      </c>
      <c r="I100" s="174"/>
      <c r="J100" s="174"/>
      <c r="K100" s="77"/>
    </row>
    <row r="101" spans="1:11" s="97" customFormat="1" ht="29.55" customHeight="1" thickBot="1">
      <c r="A101" s="94"/>
      <c r="B101" s="173" t="s">
        <v>2</v>
      </c>
      <c r="C101" s="173"/>
      <c r="D101" s="173"/>
      <c r="E101" s="173"/>
      <c r="F101" s="95"/>
      <c r="G101" s="94"/>
      <c r="H101" s="173" t="s">
        <v>2</v>
      </c>
      <c r="I101" s="173"/>
      <c r="J101" s="173"/>
      <c r="K101" s="96"/>
    </row>
    <row r="103" spans="1:11">
      <c r="B103" s="86"/>
      <c r="C103" s="87"/>
    </row>
    <row r="114" spans="14:15">
      <c r="N114"/>
    </row>
    <row r="117" spans="14:15">
      <c r="O117"/>
    </row>
    <row r="120" spans="14:15">
      <c r="N120"/>
    </row>
  </sheetData>
  <mergeCells count="149">
    <mergeCell ref="B101:E101"/>
    <mergeCell ref="H101:J101"/>
    <mergeCell ref="A37:B37"/>
    <mergeCell ref="D37:G37"/>
    <mergeCell ref="J37:K37"/>
    <mergeCell ref="A38:B38"/>
    <mergeCell ref="D38:G38"/>
    <mergeCell ref="J38:K38"/>
    <mergeCell ref="A39:B39"/>
    <mergeCell ref="D39:G39"/>
    <mergeCell ref="B98:E98"/>
    <mergeCell ref="H98:J98"/>
    <mergeCell ref="B99:E99"/>
    <mergeCell ref="H99:J99"/>
    <mergeCell ref="B100:E100"/>
    <mergeCell ref="H100:J100"/>
    <mergeCell ref="B95:D95"/>
    <mergeCell ref="H95:J95"/>
    <mergeCell ref="B96:E96"/>
    <mergeCell ref="H96:J96"/>
    <mergeCell ref="B97:E97"/>
    <mergeCell ref="H97:J97"/>
    <mergeCell ref="A65:B65"/>
    <mergeCell ref="D65:G65"/>
    <mergeCell ref="J65:K65"/>
    <mergeCell ref="A66:K92"/>
    <mergeCell ref="A93:K93"/>
    <mergeCell ref="B94:D94"/>
    <mergeCell ref="H94:J94"/>
    <mergeCell ref="A45:B45"/>
    <mergeCell ref="D45:G45"/>
    <mergeCell ref="A64:B64"/>
    <mergeCell ref="D64:G64"/>
    <mergeCell ref="J64:K64"/>
    <mergeCell ref="A63:K63"/>
    <mergeCell ref="J39:K39"/>
    <mergeCell ref="A40:B40"/>
    <mergeCell ref="D40:G40"/>
    <mergeCell ref="A44:B44"/>
    <mergeCell ref="D44:G44"/>
    <mergeCell ref="J44:K44"/>
    <mergeCell ref="A46:B46"/>
    <mergeCell ref="D46:G46"/>
    <mergeCell ref="J46:K46"/>
    <mergeCell ref="A42:B42"/>
    <mergeCell ref="D42:G42"/>
    <mergeCell ref="J42:K42"/>
    <mergeCell ref="A43:B43"/>
    <mergeCell ref="D43:G43"/>
    <mergeCell ref="J43:K43"/>
    <mergeCell ref="A36:B36"/>
    <mergeCell ref="D36:G36"/>
    <mergeCell ref="J36:K36"/>
    <mergeCell ref="A41:B41"/>
    <mergeCell ref="D41:G41"/>
    <mergeCell ref="J41:K41"/>
    <mergeCell ref="J40:K40"/>
    <mergeCell ref="A34:B34"/>
    <mergeCell ref="D34:G34"/>
    <mergeCell ref="J34:K34"/>
    <mergeCell ref="A35:B35"/>
    <mergeCell ref="D35:G35"/>
    <mergeCell ref="J35:K35"/>
    <mergeCell ref="A32:B32"/>
    <mergeCell ref="D32:G32"/>
    <mergeCell ref="J32:K32"/>
    <mergeCell ref="A33:B33"/>
    <mergeCell ref="D33:G33"/>
    <mergeCell ref="J33:K33"/>
    <mergeCell ref="A30:B30"/>
    <mergeCell ref="D30:G30"/>
    <mergeCell ref="J30:K30"/>
    <mergeCell ref="A31:B31"/>
    <mergeCell ref="D31:G31"/>
    <mergeCell ref="J31:K31"/>
    <mergeCell ref="A28:B28"/>
    <mergeCell ref="D28:G28"/>
    <mergeCell ref="J28:K28"/>
    <mergeCell ref="A29:B29"/>
    <mergeCell ref="D29:G29"/>
    <mergeCell ref="J29:K29"/>
    <mergeCell ref="A26:B26"/>
    <mergeCell ref="D26:G26"/>
    <mergeCell ref="J26:K26"/>
    <mergeCell ref="A27:B27"/>
    <mergeCell ref="D27:G27"/>
    <mergeCell ref="J27:K27"/>
    <mergeCell ref="A24:B24"/>
    <mergeCell ref="D24:G24"/>
    <mergeCell ref="J24:K24"/>
    <mergeCell ref="A25:B25"/>
    <mergeCell ref="D25:G25"/>
    <mergeCell ref="J25:K25"/>
    <mergeCell ref="A22:B22"/>
    <mergeCell ref="D22:G22"/>
    <mergeCell ref="J22:K22"/>
    <mergeCell ref="A23:B23"/>
    <mergeCell ref="D23:G23"/>
    <mergeCell ref="J23:K23"/>
    <mergeCell ref="A20:B20"/>
    <mergeCell ref="D20:G20"/>
    <mergeCell ref="J20:K20"/>
    <mergeCell ref="A21:B21"/>
    <mergeCell ref="D21:G21"/>
    <mergeCell ref="J21:K21"/>
    <mergeCell ref="A18:B18"/>
    <mergeCell ref="D18:G18"/>
    <mergeCell ref="J18:K18"/>
    <mergeCell ref="A19:B19"/>
    <mergeCell ref="D19:G19"/>
    <mergeCell ref="J19:K19"/>
    <mergeCell ref="A16:B16"/>
    <mergeCell ref="D16:G16"/>
    <mergeCell ref="J16:K16"/>
    <mergeCell ref="A17:B17"/>
    <mergeCell ref="D17:G17"/>
    <mergeCell ref="J17:K17"/>
    <mergeCell ref="A14:B14"/>
    <mergeCell ref="D14:G14"/>
    <mergeCell ref="J14:K14"/>
    <mergeCell ref="A15:B15"/>
    <mergeCell ref="D15:G15"/>
    <mergeCell ref="J15:K15"/>
    <mergeCell ref="A12:B12"/>
    <mergeCell ref="D12:G12"/>
    <mergeCell ref="J12:K12"/>
    <mergeCell ref="A13:B13"/>
    <mergeCell ref="D13:G13"/>
    <mergeCell ref="J13:K13"/>
    <mergeCell ref="B1:J1"/>
    <mergeCell ref="B2:J2"/>
    <mergeCell ref="B3:J3"/>
    <mergeCell ref="B4:J4"/>
    <mergeCell ref="C5:G5"/>
    <mergeCell ref="H5:J5"/>
    <mergeCell ref="A10:B10"/>
    <mergeCell ref="D10:G10"/>
    <mergeCell ref="J10:K10"/>
    <mergeCell ref="A11:B11"/>
    <mergeCell ref="D11:G11"/>
    <mergeCell ref="J11:K11"/>
    <mergeCell ref="C6:G6"/>
    <mergeCell ref="I6:J6"/>
    <mergeCell ref="A8:B8"/>
    <mergeCell ref="D8:G8"/>
    <mergeCell ref="J8:K8"/>
    <mergeCell ref="A9:B9"/>
    <mergeCell ref="D9:G9"/>
    <mergeCell ref="J9:K9"/>
  </mergeCells>
  <pageMargins left="0.12" right="0.12" top="0.12" bottom="0.12" header="0.3" footer="0.3"/>
  <pageSetup paperSize="9" scale="94"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2A246F-6267-458E-B702-2AAC4A0D67F3}">
          <x14:formula1>
            <xm:f>Sheet1!$A:$A</xm:f>
          </x14:formula1>
          <xm:sqref>I6:J6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56994-83DA-48F3-85FC-0608B7EF44D1}">
  <dimension ref="B3:L32"/>
  <sheetViews>
    <sheetView tabSelected="1" workbookViewId="0">
      <selection activeCell="B18" sqref="B18:L18"/>
    </sheetView>
  </sheetViews>
  <sheetFormatPr defaultRowHeight="14.4"/>
  <cols>
    <col min="2" max="2" width="18" bestFit="1" customWidth="1"/>
    <col min="3" max="3" width="28.33203125" bestFit="1" customWidth="1"/>
    <col min="4" max="4" width="19.109375" bestFit="1" customWidth="1"/>
    <col min="5" max="5" width="21.5546875" bestFit="1" customWidth="1"/>
    <col min="6" max="6" width="12.21875" bestFit="1" customWidth="1"/>
    <col min="7" max="7" width="16.77734375" bestFit="1" customWidth="1"/>
    <col min="8" max="8" width="17" bestFit="1" customWidth="1"/>
    <col min="9" max="9" width="14.77734375" bestFit="1" customWidth="1"/>
    <col min="10" max="10" width="47.88671875" bestFit="1" customWidth="1"/>
    <col min="11" max="11" width="22.21875" bestFit="1" customWidth="1"/>
    <col min="12" max="12" width="13.6640625" bestFit="1" customWidth="1"/>
  </cols>
  <sheetData>
    <row r="3" spans="2:12">
      <c r="B3" t="s">
        <v>216</v>
      </c>
      <c r="C3" t="s">
        <v>217</v>
      </c>
      <c r="D3" t="s">
        <v>218</v>
      </c>
      <c r="E3" t="s">
        <v>219</v>
      </c>
      <c r="F3" t="s">
        <v>220</v>
      </c>
      <c r="G3" t="s">
        <v>221</v>
      </c>
      <c r="H3" t="s">
        <v>222</v>
      </c>
      <c r="I3" t="s">
        <v>223</v>
      </c>
      <c r="J3" t="s">
        <v>224</v>
      </c>
      <c r="K3" t="s">
        <v>225</v>
      </c>
      <c r="L3" t="s">
        <v>226</v>
      </c>
    </row>
    <row r="4" spans="2:12">
      <c r="B4" t="s">
        <v>263</v>
      </c>
      <c r="C4" t="s">
        <v>245</v>
      </c>
      <c r="D4" t="s">
        <v>227</v>
      </c>
      <c r="E4" t="s">
        <v>171</v>
      </c>
      <c r="F4" s="317" t="s">
        <v>228</v>
      </c>
      <c r="G4" s="318">
        <v>58270</v>
      </c>
      <c r="H4" s="319">
        <v>44567</v>
      </c>
      <c r="I4" s="319">
        <v>44779</v>
      </c>
      <c r="J4" s="319" t="s">
        <v>265</v>
      </c>
      <c r="K4" t="s">
        <v>267</v>
      </c>
      <c r="L4" s="319" t="s">
        <v>269</v>
      </c>
    </row>
    <row r="5" spans="2:12">
      <c r="B5" t="s">
        <v>264</v>
      </c>
      <c r="C5" t="s">
        <v>246</v>
      </c>
      <c r="D5" t="s">
        <v>227</v>
      </c>
      <c r="E5" t="s">
        <v>171</v>
      </c>
      <c r="F5" s="317" t="s">
        <v>211</v>
      </c>
      <c r="G5" s="318">
        <v>58270</v>
      </c>
      <c r="H5" s="319">
        <v>44567</v>
      </c>
      <c r="I5" s="319">
        <v>44581</v>
      </c>
      <c r="J5" s="319" t="s">
        <v>266</v>
      </c>
      <c r="K5" t="s">
        <v>268</v>
      </c>
      <c r="L5" s="319" t="s">
        <v>269</v>
      </c>
    </row>
    <row r="6" spans="2:12">
      <c r="B6" t="s">
        <v>263</v>
      </c>
      <c r="C6" t="s">
        <v>247</v>
      </c>
      <c r="D6" t="s">
        <v>227</v>
      </c>
      <c r="E6" t="s">
        <v>171</v>
      </c>
      <c r="F6" s="317" t="s">
        <v>270</v>
      </c>
      <c r="G6" s="318">
        <v>58270</v>
      </c>
      <c r="H6" s="319">
        <v>44567</v>
      </c>
      <c r="I6" s="319">
        <v>44779</v>
      </c>
      <c r="J6" s="319" t="s">
        <v>265</v>
      </c>
      <c r="K6" t="s">
        <v>267</v>
      </c>
      <c r="L6" s="319" t="s">
        <v>269</v>
      </c>
    </row>
    <row r="7" spans="2:12">
      <c r="B7" t="s">
        <v>263</v>
      </c>
      <c r="C7" t="s">
        <v>248</v>
      </c>
      <c r="D7" t="s">
        <v>227</v>
      </c>
      <c r="E7" t="s">
        <v>171</v>
      </c>
      <c r="F7" s="317" t="s">
        <v>230</v>
      </c>
      <c r="G7" s="318">
        <v>58270</v>
      </c>
      <c r="H7" s="319">
        <v>44567</v>
      </c>
      <c r="I7" s="319">
        <v>44779</v>
      </c>
      <c r="J7" s="319" t="s">
        <v>265</v>
      </c>
      <c r="K7" t="s">
        <v>267</v>
      </c>
      <c r="L7" s="319" t="s">
        <v>269</v>
      </c>
    </row>
    <row r="8" spans="2:12">
      <c r="B8" t="s">
        <v>263</v>
      </c>
      <c r="C8" t="s">
        <v>249</v>
      </c>
      <c r="D8" t="s">
        <v>227</v>
      </c>
      <c r="E8" t="s">
        <v>171</v>
      </c>
      <c r="F8" s="317" t="s">
        <v>231</v>
      </c>
      <c r="G8" s="318">
        <v>58270</v>
      </c>
      <c r="H8" s="319">
        <v>44567</v>
      </c>
      <c r="I8" s="319">
        <v>44779</v>
      </c>
      <c r="J8" s="319" t="s">
        <v>265</v>
      </c>
      <c r="K8" t="s">
        <v>267</v>
      </c>
      <c r="L8" s="319" t="s">
        <v>269</v>
      </c>
    </row>
    <row r="9" spans="2:12">
      <c r="B9" t="s">
        <v>263</v>
      </c>
      <c r="C9" t="s">
        <v>250</v>
      </c>
      <c r="D9" t="s">
        <v>227</v>
      </c>
      <c r="E9" t="s">
        <v>171</v>
      </c>
      <c r="F9" s="317" t="s">
        <v>232</v>
      </c>
      <c r="G9" s="318">
        <v>58270</v>
      </c>
      <c r="H9" s="319">
        <v>44567</v>
      </c>
      <c r="I9" s="319">
        <v>44779</v>
      </c>
      <c r="J9" s="319" t="s">
        <v>265</v>
      </c>
      <c r="K9" t="s">
        <v>267</v>
      </c>
      <c r="L9" s="319" t="s">
        <v>269</v>
      </c>
    </row>
    <row r="10" spans="2:12">
      <c r="B10" t="s">
        <v>263</v>
      </c>
      <c r="C10" t="s">
        <v>251</v>
      </c>
      <c r="D10" t="s">
        <v>227</v>
      </c>
      <c r="E10" t="s">
        <v>171</v>
      </c>
      <c r="F10" s="317" t="s">
        <v>233</v>
      </c>
      <c r="G10" s="318">
        <v>58270</v>
      </c>
      <c r="H10" s="319">
        <v>44567</v>
      </c>
      <c r="I10" s="319">
        <v>44779</v>
      </c>
      <c r="J10" s="319" t="s">
        <v>265</v>
      </c>
      <c r="K10" t="s">
        <v>267</v>
      </c>
      <c r="L10" s="319" t="s">
        <v>269</v>
      </c>
    </row>
    <row r="11" spans="2:12">
      <c r="B11" t="s">
        <v>263</v>
      </c>
      <c r="C11" t="s">
        <v>252</v>
      </c>
      <c r="D11" t="s">
        <v>227</v>
      </c>
      <c r="E11" t="s">
        <v>171</v>
      </c>
      <c r="F11" s="317" t="s">
        <v>234</v>
      </c>
      <c r="G11" s="318">
        <v>58270</v>
      </c>
      <c r="H11" s="319">
        <v>44567</v>
      </c>
      <c r="I11" s="319">
        <v>44779</v>
      </c>
      <c r="J11" s="319" t="s">
        <v>265</v>
      </c>
      <c r="K11" t="s">
        <v>267</v>
      </c>
      <c r="L11" s="319" t="s">
        <v>269</v>
      </c>
    </row>
    <row r="12" spans="2:12">
      <c r="B12" t="s">
        <v>263</v>
      </c>
      <c r="C12" t="s">
        <v>253</v>
      </c>
      <c r="D12" t="s">
        <v>227</v>
      </c>
      <c r="E12" t="s">
        <v>171</v>
      </c>
      <c r="F12" s="317" t="s">
        <v>235</v>
      </c>
      <c r="G12" s="318">
        <v>58270</v>
      </c>
      <c r="H12" s="319">
        <v>44567</v>
      </c>
      <c r="I12" s="319">
        <v>44779</v>
      </c>
      <c r="J12" s="319" t="s">
        <v>265</v>
      </c>
      <c r="K12" t="s">
        <v>267</v>
      </c>
      <c r="L12" s="319" t="s">
        <v>269</v>
      </c>
    </row>
    <row r="13" spans="2:12">
      <c r="B13" t="s">
        <v>263</v>
      </c>
      <c r="C13" t="s">
        <v>254</v>
      </c>
      <c r="D13" t="s">
        <v>227</v>
      </c>
      <c r="E13" t="s">
        <v>171</v>
      </c>
      <c r="F13" s="317" t="s">
        <v>236</v>
      </c>
      <c r="G13" s="318">
        <v>58270</v>
      </c>
      <c r="H13" s="319">
        <v>44567</v>
      </c>
      <c r="I13" s="319">
        <v>44779</v>
      </c>
      <c r="J13" s="319" t="s">
        <v>265</v>
      </c>
      <c r="K13" t="s">
        <v>267</v>
      </c>
      <c r="L13" s="319" t="s">
        <v>269</v>
      </c>
    </row>
    <row r="14" spans="2:12">
      <c r="B14" t="s">
        <v>263</v>
      </c>
      <c r="C14" t="s">
        <v>255</v>
      </c>
      <c r="D14" t="s">
        <v>227</v>
      </c>
      <c r="E14" t="s">
        <v>171</v>
      </c>
      <c r="F14" s="317" t="s">
        <v>237</v>
      </c>
      <c r="G14" s="318">
        <v>58270</v>
      </c>
      <c r="H14" s="319">
        <v>44567</v>
      </c>
      <c r="I14" s="319">
        <v>44779</v>
      </c>
      <c r="J14" s="319" t="s">
        <v>265</v>
      </c>
      <c r="K14" t="s">
        <v>267</v>
      </c>
      <c r="L14" s="319" t="s">
        <v>269</v>
      </c>
    </row>
    <row r="15" spans="2:12">
      <c r="B15" t="s">
        <v>263</v>
      </c>
      <c r="C15" t="s">
        <v>256</v>
      </c>
      <c r="D15" t="s">
        <v>227</v>
      </c>
      <c r="E15" t="s">
        <v>171</v>
      </c>
      <c r="F15" s="317" t="s">
        <v>238</v>
      </c>
      <c r="G15" s="318">
        <v>58270</v>
      </c>
      <c r="H15" s="319">
        <v>44567</v>
      </c>
      <c r="I15" s="319">
        <v>44779</v>
      </c>
      <c r="J15" s="319" t="s">
        <v>265</v>
      </c>
      <c r="K15" t="s">
        <v>267</v>
      </c>
      <c r="L15" s="319" t="s">
        <v>269</v>
      </c>
    </row>
    <row r="16" spans="2:12">
      <c r="B16" t="s">
        <v>263</v>
      </c>
      <c r="C16" t="s">
        <v>257</v>
      </c>
      <c r="D16" t="s">
        <v>227</v>
      </c>
      <c r="E16" t="s">
        <v>171</v>
      </c>
      <c r="F16" s="317" t="s">
        <v>239</v>
      </c>
      <c r="G16" s="318">
        <v>58270</v>
      </c>
      <c r="H16" s="319">
        <v>44567</v>
      </c>
      <c r="I16" s="319">
        <v>44779</v>
      </c>
      <c r="J16" s="319" t="s">
        <v>265</v>
      </c>
      <c r="K16" t="s">
        <v>267</v>
      </c>
      <c r="L16" s="319" t="s">
        <v>269</v>
      </c>
    </row>
    <row r="17" spans="2:12">
      <c r="B17" t="s">
        <v>263</v>
      </c>
      <c r="C17" t="s">
        <v>258</v>
      </c>
      <c r="D17" t="s">
        <v>227</v>
      </c>
      <c r="E17" t="s">
        <v>171</v>
      </c>
      <c r="F17" s="317" t="s">
        <v>240</v>
      </c>
      <c r="G17" s="318">
        <v>58270</v>
      </c>
      <c r="H17" s="319">
        <v>44567</v>
      </c>
      <c r="I17" s="319">
        <v>44779</v>
      </c>
      <c r="J17" s="319" t="s">
        <v>265</v>
      </c>
      <c r="K17" t="s">
        <v>267</v>
      </c>
      <c r="L17" s="319" t="s">
        <v>269</v>
      </c>
    </row>
    <row r="18" spans="2:12">
      <c r="B18" t="s">
        <v>263</v>
      </c>
      <c r="C18" s="321" t="s">
        <v>259</v>
      </c>
      <c r="D18" t="s">
        <v>227</v>
      </c>
      <c r="E18" t="s">
        <v>171</v>
      </c>
      <c r="F18" s="317" t="s">
        <v>271</v>
      </c>
      <c r="G18" s="318">
        <v>58270</v>
      </c>
      <c r="H18" s="319">
        <v>44567</v>
      </c>
      <c r="I18" s="319">
        <v>44779</v>
      </c>
      <c r="J18" s="319" t="s">
        <v>265</v>
      </c>
      <c r="K18" s="319" t="s">
        <v>267</v>
      </c>
      <c r="L18" s="319" t="s">
        <v>269</v>
      </c>
    </row>
    <row r="19" spans="2:12">
      <c r="B19" t="s">
        <v>263</v>
      </c>
      <c r="C19" s="321" t="s">
        <v>260</v>
      </c>
      <c r="D19" t="s">
        <v>227</v>
      </c>
      <c r="E19" t="s">
        <v>171</v>
      </c>
      <c r="F19" s="317" t="s">
        <v>242</v>
      </c>
      <c r="G19" s="318">
        <v>58270</v>
      </c>
      <c r="H19" s="319">
        <v>44567</v>
      </c>
      <c r="I19" s="319">
        <v>44779</v>
      </c>
      <c r="J19" s="319" t="s">
        <v>265</v>
      </c>
      <c r="K19" s="319" t="s">
        <v>267</v>
      </c>
      <c r="L19" s="319" t="s">
        <v>269</v>
      </c>
    </row>
    <row r="20" spans="2:12">
      <c r="B20" t="s">
        <v>263</v>
      </c>
      <c r="C20" s="321" t="s">
        <v>261</v>
      </c>
      <c r="D20" t="s">
        <v>227</v>
      </c>
      <c r="E20" t="s">
        <v>171</v>
      </c>
      <c r="F20" s="317" t="s">
        <v>243</v>
      </c>
      <c r="G20" s="318">
        <v>58270</v>
      </c>
      <c r="H20" s="319">
        <v>44567</v>
      </c>
      <c r="I20" s="319">
        <v>44779</v>
      </c>
      <c r="J20" s="319" t="s">
        <v>265</v>
      </c>
      <c r="K20" s="319" t="s">
        <v>267</v>
      </c>
      <c r="L20" s="319" t="s">
        <v>269</v>
      </c>
    </row>
    <row r="21" spans="2:12">
      <c r="B21" t="s">
        <v>263</v>
      </c>
      <c r="C21" t="s">
        <v>262</v>
      </c>
      <c r="D21" t="s">
        <v>227</v>
      </c>
      <c r="E21" t="s">
        <v>171</v>
      </c>
      <c r="F21" s="317" t="s">
        <v>244</v>
      </c>
      <c r="G21" s="318">
        <v>58270</v>
      </c>
      <c r="H21" s="319">
        <v>44567</v>
      </c>
      <c r="I21" s="319">
        <v>44779</v>
      </c>
      <c r="J21" s="319" t="s">
        <v>265</v>
      </c>
      <c r="K21" s="319" t="s">
        <v>267</v>
      </c>
      <c r="L21" s="319" t="s">
        <v>269</v>
      </c>
    </row>
    <row r="22" spans="2:12">
      <c r="B22" s="321"/>
      <c r="C22" s="321"/>
      <c r="D22" s="321"/>
      <c r="E22" s="321"/>
      <c r="F22" s="317"/>
      <c r="G22" s="320"/>
      <c r="H22" s="319"/>
      <c r="I22" s="319"/>
      <c r="J22" s="319"/>
      <c r="K22" s="319"/>
      <c r="L22" s="319"/>
    </row>
    <row r="23" spans="2:12">
      <c r="B23" s="321"/>
      <c r="C23" s="321"/>
      <c r="D23" s="321"/>
      <c r="E23" s="321"/>
      <c r="F23" s="317"/>
      <c r="G23" s="320"/>
      <c r="H23" s="319"/>
      <c r="I23" s="319"/>
      <c r="J23" s="319"/>
      <c r="K23" s="319"/>
      <c r="L23" s="319"/>
    </row>
    <row r="24" spans="2:12">
      <c r="B24" s="321"/>
      <c r="C24" s="321"/>
      <c r="D24" s="321"/>
      <c r="E24" s="321"/>
      <c r="F24" s="317"/>
      <c r="G24" s="320"/>
      <c r="H24" s="319"/>
      <c r="I24" s="319"/>
      <c r="J24" s="319"/>
      <c r="K24" s="319"/>
      <c r="L24" s="319"/>
    </row>
    <row r="25" spans="2:12">
      <c r="B25" s="321"/>
      <c r="C25" s="321"/>
      <c r="D25" s="321"/>
      <c r="E25" s="321"/>
      <c r="F25" s="317"/>
      <c r="G25" s="320"/>
      <c r="H25" s="319"/>
      <c r="I25" s="319"/>
      <c r="J25" s="319"/>
      <c r="K25" s="319"/>
      <c r="L25" s="319"/>
    </row>
    <row r="26" spans="2:12">
      <c r="B26" s="321"/>
      <c r="C26" s="321"/>
      <c r="D26" s="321"/>
      <c r="E26" s="321"/>
      <c r="F26" s="317"/>
      <c r="G26" s="320"/>
      <c r="H26" s="319"/>
      <c r="I26" s="319"/>
      <c r="J26" s="319"/>
      <c r="K26" s="319"/>
      <c r="L26" s="319"/>
    </row>
    <row r="27" spans="2:12">
      <c r="B27" s="321"/>
      <c r="C27" s="321"/>
      <c r="D27" s="321"/>
      <c r="E27" s="321"/>
      <c r="F27" s="317"/>
      <c r="G27" s="320"/>
      <c r="H27" s="319"/>
      <c r="I27" s="319"/>
      <c r="J27" s="319"/>
      <c r="K27" s="319"/>
      <c r="L27" s="319"/>
    </row>
    <row r="28" spans="2:12">
      <c r="B28" s="321"/>
      <c r="C28" s="321"/>
      <c r="D28" s="321"/>
      <c r="E28" s="321"/>
      <c r="F28" s="317"/>
      <c r="G28" s="320"/>
      <c r="H28" s="319"/>
      <c r="I28" s="319"/>
      <c r="J28" s="319"/>
      <c r="K28" s="319"/>
      <c r="L28" s="319"/>
    </row>
    <row r="29" spans="2:12">
      <c r="B29" s="321"/>
      <c r="C29" s="321"/>
      <c r="D29" s="321"/>
      <c r="E29" s="321"/>
      <c r="F29" s="317"/>
      <c r="G29" s="320"/>
      <c r="H29" s="319"/>
      <c r="I29" s="319"/>
      <c r="J29" s="319"/>
      <c r="K29" s="319"/>
      <c r="L29" s="319"/>
    </row>
    <row r="30" spans="2:12">
      <c r="B30" s="321"/>
      <c r="C30" s="321"/>
      <c r="D30" s="321"/>
      <c r="E30" s="321"/>
      <c r="F30" s="317"/>
      <c r="G30" s="320"/>
      <c r="H30" s="319"/>
      <c r="I30" s="319"/>
      <c r="J30" s="319"/>
      <c r="K30" s="319"/>
      <c r="L30" s="319"/>
    </row>
    <row r="31" spans="2:12">
      <c r="B31" s="321"/>
      <c r="C31" s="321"/>
      <c r="D31" s="321"/>
      <c r="E31" s="321"/>
      <c r="F31" s="317"/>
      <c r="G31" s="320"/>
      <c r="H31" s="319"/>
      <c r="I31" s="319"/>
      <c r="J31" s="319"/>
      <c r="K31" s="319"/>
      <c r="L31" s="319"/>
    </row>
    <row r="32" spans="2:12">
      <c r="B32" s="321"/>
      <c r="C32" s="321"/>
      <c r="D32" s="321"/>
      <c r="E32" s="321"/>
      <c r="F32" s="317"/>
      <c r="G32" s="320"/>
      <c r="H32" s="319"/>
      <c r="I32" s="319"/>
      <c r="J32" s="319"/>
      <c r="K32" s="319"/>
      <c r="L32" s="319"/>
    </row>
  </sheetData>
  <phoneticPr fontId="26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79E2A-6C16-4AF0-9D80-5B80EFCEA23A}">
  <dimension ref="A1:N63"/>
  <sheetViews>
    <sheetView view="pageBreakPreview" zoomScale="115" zoomScaleNormal="100" zoomScaleSheetLayoutView="115" workbookViewId="0">
      <selection activeCell="P15" sqref="P15:Q15"/>
    </sheetView>
  </sheetViews>
  <sheetFormatPr defaultColWidth="9.21875" defaultRowHeight="14.4"/>
  <cols>
    <col min="1" max="1" width="0.77734375" style="8" customWidth="1"/>
    <col min="2" max="2" width="17.21875" style="8" customWidth="1"/>
    <col min="3" max="3" width="7.77734375" style="8" customWidth="1"/>
    <col min="4" max="4" width="4.44140625" style="8" customWidth="1"/>
    <col min="5" max="5" width="11" style="8" customWidth="1"/>
    <col min="6" max="6" width="15.77734375" style="8" customWidth="1"/>
    <col min="7" max="8" width="9.21875" style="8"/>
    <col min="9" max="10" width="15.77734375" style="8" customWidth="1"/>
    <col min="11" max="11" width="0.77734375" style="8" customWidth="1"/>
    <col min="12" max="16384" width="9.21875" style="8"/>
  </cols>
  <sheetData>
    <row r="1" spans="1:14" ht="5.0999999999999996" customHeight="1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4">
      <c r="A2" s="4"/>
      <c r="B2" s="188" t="s">
        <v>7</v>
      </c>
      <c r="C2" s="188"/>
      <c r="D2" s="188"/>
      <c r="E2" s="188"/>
      <c r="F2" s="188"/>
      <c r="G2" s="188"/>
      <c r="H2" s="188"/>
      <c r="I2" s="188"/>
      <c r="J2" s="188"/>
      <c r="K2" s="5"/>
    </row>
    <row r="3" spans="1:14">
      <c r="A3" s="4"/>
      <c r="B3" s="188" t="s">
        <v>0</v>
      </c>
      <c r="C3" s="188"/>
      <c r="D3" s="188"/>
      <c r="E3" s="188"/>
      <c r="F3" s="188"/>
      <c r="G3" s="188"/>
      <c r="H3" s="188"/>
      <c r="I3" s="188"/>
      <c r="J3" s="188"/>
      <c r="K3" s="5"/>
    </row>
    <row r="4" spans="1:14">
      <c r="A4" s="4"/>
      <c r="B4" s="188" t="s">
        <v>8</v>
      </c>
      <c r="C4" s="188"/>
      <c r="D4" s="188"/>
      <c r="E4" s="188"/>
      <c r="F4" s="188"/>
      <c r="G4" s="188"/>
      <c r="H4" s="188"/>
      <c r="I4" s="188"/>
      <c r="J4" s="188"/>
      <c r="K4" s="5"/>
    </row>
    <row r="5" spans="1:14" ht="15.6">
      <c r="A5" s="4"/>
      <c r="B5" s="208" t="s">
        <v>9</v>
      </c>
      <c r="C5" s="208"/>
      <c r="D5" s="208"/>
      <c r="E5" s="208"/>
      <c r="F5" s="208"/>
      <c r="G5" s="208"/>
      <c r="H5" s="208"/>
      <c r="I5" s="208"/>
      <c r="J5" s="208"/>
      <c r="K5" s="5"/>
    </row>
    <row r="6" spans="1:14">
      <c r="A6" s="4"/>
      <c r="B6" s="188" t="s">
        <v>10</v>
      </c>
      <c r="C6" s="188"/>
      <c r="D6" s="188"/>
      <c r="E6" s="188"/>
      <c r="F6" s="188"/>
      <c r="G6" s="188"/>
      <c r="H6" s="188"/>
      <c r="I6" s="188"/>
      <c r="J6" s="188"/>
      <c r="K6" s="5"/>
    </row>
    <row r="7" spans="1:14">
      <c r="A7" s="4"/>
      <c r="I7" s="209">
        <v>44648</v>
      </c>
      <c r="J7" s="209"/>
      <c r="K7" s="5"/>
    </row>
    <row r="8" spans="1:14">
      <c r="A8" s="4"/>
      <c r="I8" s="188" t="s">
        <v>2</v>
      </c>
      <c r="J8" s="188"/>
      <c r="K8" s="5"/>
    </row>
    <row r="9" spans="1:14">
      <c r="A9" s="4"/>
      <c r="B9" s="41" t="s">
        <v>11</v>
      </c>
      <c r="C9" s="218" t="s">
        <v>72</v>
      </c>
      <c r="D9" s="218"/>
      <c r="E9" s="218"/>
      <c r="F9" s="218"/>
      <c r="G9" s="218"/>
      <c r="H9" s="218"/>
      <c r="K9" s="5"/>
    </row>
    <row r="10" spans="1:14" ht="5.0999999999999996" customHeight="1">
      <c r="A10" s="4"/>
      <c r="K10" s="5"/>
    </row>
    <row r="11" spans="1:14">
      <c r="A11" s="4"/>
      <c r="B11" s="42" t="s">
        <v>12</v>
      </c>
      <c r="C11" s="42"/>
      <c r="D11" s="42"/>
      <c r="E11" s="42"/>
      <c r="F11" s="42"/>
      <c r="K11" s="5"/>
    </row>
    <row r="12" spans="1:14" ht="5.0999999999999996" customHeight="1">
      <c r="A12" s="4"/>
      <c r="B12" s="42"/>
      <c r="C12" s="42"/>
      <c r="D12" s="42"/>
      <c r="E12" s="42"/>
      <c r="F12" s="42"/>
      <c r="K12" s="5"/>
    </row>
    <row r="13" spans="1:14">
      <c r="A13" s="4"/>
      <c r="B13" s="42"/>
      <c r="C13" s="42" t="s">
        <v>13</v>
      </c>
      <c r="D13" s="42"/>
      <c r="E13" s="43"/>
      <c r="F13" s="43"/>
      <c r="G13" s="219"/>
      <c r="H13" s="219"/>
      <c r="I13" s="219"/>
      <c r="J13" s="219"/>
      <c r="K13" s="5"/>
    </row>
    <row r="14" spans="1:14" ht="16.5" customHeight="1">
      <c r="A14" s="4"/>
      <c r="B14" s="220" t="s">
        <v>14</v>
      </c>
      <c r="C14" s="220"/>
      <c r="D14" s="221"/>
      <c r="E14" s="221"/>
      <c r="F14" s="221"/>
      <c r="G14" s="221"/>
      <c r="H14" s="221"/>
      <c r="I14" s="221"/>
      <c r="J14" s="221"/>
      <c r="K14" s="6"/>
      <c r="L14" s="7"/>
      <c r="M14" s="7"/>
      <c r="N14" s="7"/>
    </row>
    <row r="15" spans="1:14">
      <c r="A15" s="4"/>
      <c r="B15" s="42" t="s">
        <v>15</v>
      </c>
      <c r="C15" s="42"/>
      <c r="D15" s="42"/>
      <c r="E15" s="42"/>
      <c r="F15" s="219"/>
      <c r="G15" s="219"/>
      <c r="H15" s="219"/>
      <c r="I15" s="219"/>
      <c r="J15" s="219"/>
      <c r="K15" s="5"/>
    </row>
    <row r="16" spans="1:14">
      <c r="A16" s="4"/>
      <c r="B16" s="42" t="s">
        <v>16</v>
      </c>
      <c r="C16" s="42"/>
      <c r="D16" s="42"/>
      <c r="E16" s="210"/>
      <c r="F16" s="210"/>
      <c r="G16" s="210"/>
      <c r="H16" s="210"/>
      <c r="I16" s="210"/>
      <c r="K16" s="5"/>
    </row>
    <row r="17" spans="1:11" ht="5.0999999999999996" customHeight="1" thickBot="1">
      <c r="A17" s="4"/>
      <c r="K17" s="5"/>
    </row>
    <row r="18" spans="1:11" ht="15" thickBot="1">
      <c r="A18" s="211" t="s">
        <v>4</v>
      </c>
      <c r="B18" s="212"/>
      <c r="C18" s="213" t="s">
        <v>3</v>
      </c>
      <c r="D18" s="213"/>
      <c r="E18" s="213" t="s">
        <v>17</v>
      </c>
      <c r="F18" s="213"/>
      <c r="G18" s="213"/>
      <c r="H18" s="213"/>
      <c r="I18" s="44" t="s">
        <v>18</v>
      </c>
      <c r="J18" s="213" t="s">
        <v>19</v>
      </c>
      <c r="K18" s="214"/>
    </row>
    <row r="19" spans="1:11" ht="15" thickTop="1">
      <c r="A19" s="181" t="e">
        <f>#REF!</f>
        <v>#REF!</v>
      </c>
      <c r="B19" s="182"/>
      <c r="C19" s="183" t="e">
        <f>#REF!</f>
        <v>#REF!</v>
      </c>
      <c r="D19" s="183"/>
      <c r="E19" s="215" t="e">
        <f>#REF!</f>
        <v>#REF!</v>
      </c>
      <c r="F19" s="216"/>
      <c r="G19" s="216"/>
      <c r="H19" s="217"/>
      <c r="I19" s="45" t="e">
        <f>#REF!</f>
        <v>#REF!</v>
      </c>
      <c r="J19" s="184" t="e">
        <f>I19*A19</f>
        <v>#REF!</v>
      </c>
      <c r="K19" s="185"/>
    </row>
    <row r="20" spans="1:11">
      <c r="A20" s="181" t="e">
        <f>#REF!</f>
        <v>#REF!</v>
      </c>
      <c r="B20" s="182"/>
      <c r="C20" s="183" t="e">
        <f>#REF!</f>
        <v>#REF!</v>
      </c>
      <c r="D20" s="183"/>
      <c r="E20" s="202" t="e">
        <f>#REF!</f>
        <v>#REF!</v>
      </c>
      <c r="F20" s="203"/>
      <c r="G20" s="203"/>
      <c r="H20" s="204"/>
      <c r="I20" s="45" t="e">
        <f>#REF!</f>
        <v>#REF!</v>
      </c>
      <c r="J20" s="184" t="e">
        <f t="shared" ref="J20:J34" si="0">I20*A20</f>
        <v>#REF!</v>
      </c>
      <c r="K20" s="185"/>
    </row>
    <row r="21" spans="1:11">
      <c r="A21" s="181"/>
      <c r="B21" s="182"/>
      <c r="C21" s="183"/>
      <c r="D21" s="183"/>
      <c r="E21" s="202"/>
      <c r="F21" s="203"/>
      <c r="G21" s="203"/>
      <c r="H21" s="204"/>
      <c r="I21" s="45"/>
      <c r="J21" s="184">
        <f t="shared" si="0"/>
        <v>0</v>
      </c>
      <c r="K21" s="185"/>
    </row>
    <row r="22" spans="1:11">
      <c r="A22" s="181"/>
      <c r="B22" s="182"/>
      <c r="C22" s="183"/>
      <c r="D22" s="183"/>
      <c r="E22" s="202"/>
      <c r="F22" s="203"/>
      <c r="G22" s="203"/>
      <c r="H22" s="204"/>
      <c r="I22" s="45"/>
      <c r="J22" s="184">
        <f t="shared" si="0"/>
        <v>0</v>
      </c>
      <c r="K22" s="185"/>
    </row>
    <row r="23" spans="1:11">
      <c r="A23" s="181"/>
      <c r="B23" s="182"/>
      <c r="C23" s="183"/>
      <c r="D23" s="183"/>
      <c r="E23" s="205"/>
      <c r="F23" s="206"/>
      <c r="G23" s="206"/>
      <c r="H23" s="207"/>
      <c r="I23" s="45"/>
      <c r="J23" s="184">
        <f t="shared" si="0"/>
        <v>0</v>
      </c>
      <c r="K23" s="185"/>
    </row>
    <row r="24" spans="1:11">
      <c r="A24" s="181"/>
      <c r="B24" s="182"/>
      <c r="C24" s="183"/>
      <c r="D24" s="183"/>
      <c r="E24" s="205"/>
      <c r="F24" s="206"/>
      <c r="G24" s="206"/>
      <c r="H24" s="207"/>
      <c r="I24" s="45"/>
      <c r="J24" s="184">
        <f t="shared" si="0"/>
        <v>0</v>
      </c>
      <c r="K24" s="185"/>
    </row>
    <row r="25" spans="1:11">
      <c r="A25" s="181"/>
      <c r="B25" s="182"/>
      <c r="C25" s="183"/>
      <c r="D25" s="183"/>
      <c r="E25" s="199"/>
      <c r="F25" s="200"/>
      <c r="G25" s="200"/>
      <c r="H25" s="201"/>
      <c r="I25" s="46"/>
      <c r="J25" s="184">
        <f t="shared" si="0"/>
        <v>0</v>
      </c>
      <c r="K25" s="185"/>
    </row>
    <row r="26" spans="1:11">
      <c r="A26" s="181"/>
      <c r="B26" s="182"/>
      <c r="C26" s="183"/>
      <c r="D26" s="183"/>
      <c r="E26" s="199"/>
      <c r="F26" s="200"/>
      <c r="G26" s="200"/>
      <c r="H26" s="201"/>
      <c r="I26" s="46"/>
      <c r="J26" s="184">
        <f t="shared" si="0"/>
        <v>0</v>
      </c>
      <c r="K26" s="185"/>
    </row>
    <row r="27" spans="1:11">
      <c r="A27" s="181"/>
      <c r="B27" s="182"/>
      <c r="C27" s="183"/>
      <c r="D27" s="183"/>
      <c r="E27" s="199"/>
      <c r="F27" s="200"/>
      <c r="G27" s="200"/>
      <c r="H27" s="201"/>
      <c r="I27" s="46"/>
      <c r="J27" s="184">
        <f t="shared" si="0"/>
        <v>0</v>
      </c>
      <c r="K27" s="185"/>
    </row>
    <row r="28" spans="1:11">
      <c r="A28" s="181"/>
      <c r="B28" s="182"/>
      <c r="C28" s="183"/>
      <c r="D28" s="183"/>
      <c r="E28" s="196"/>
      <c r="F28" s="197"/>
      <c r="G28" s="197"/>
      <c r="H28" s="198"/>
      <c r="I28" s="46"/>
      <c r="J28" s="184">
        <f t="shared" si="0"/>
        <v>0</v>
      </c>
      <c r="K28" s="185"/>
    </row>
    <row r="29" spans="1:11" ht="15.75" customHeight="1">
      <c r="A29" s="181"/>
      <c r="B29" s="182"/>
      <c r="C29" s="183"/>
      <c r="D29" s="183"/>
      <c r="E29" s="196"/>
      <c r="F29" s="197"/>
      <c r="G29" s="197"/>
      <c r="H29" s="198"/>
      <c r="I29" s="46"/>
      <c r="J29" s="184">
        <f t="shared" si="0"/>
        <v>0</v>
      </c>
      <c r="K29" s="185"/>
    </row>
    <row r="30" spans="1:11">
      <c r="A30" s="181"/>
      <c r="B30" s="182"/>
      <c r="C30" s="183"/>
      <c r="D30" s="183"/>
      <c r="E30" s="195"/>
      <c r="F30" s="195"/>
      <c r="G30" s="195"/>
      <c r="H30" s="195"/>
      <c r="I30" s="46"/>
      <c r="J30" s="184">
        <f t="shared" si="0"/>
        <v>0</v>
      </c>
      <c r="K30" s="185"/>
    </row>
    <row r="31" spans="1:11">
      <c r="A31" s="181"/>
      <c r="B31" s="182"/>
      <c r="C31" s="183"/>
      <c r="D31" s="183"/>
      <c r="E31" s="195"/>
      <c r="F31" s="195"/>
      <c r="G31" s="195"/>
      <c r="H31" s="195"/>
      <c r="I31" s="46"/>
      <c r="J31" s="184">
        <f t="shared" si="0"/>
        <v>0</v>
      </c>
      <c r="K31" s="185"/>
    </row>
    <row r="32" spans="1:11">
      <c r="A32" s="181"/>
      <c r="B32" s="182"/>
      <c r="C32" s="183"/>
      <c r="D32" s="183"/>
      <c r="E32" s="195"/>
      <c r="F32" s="195"/>
      <c r="G32" s="195"/>
      <c r="H32" s="195"/>
      <c r="I32" s="46"/>
      <c r="J32" s="184">
        <f t="shared" si="0"/>
        <v>0</v>
      </c>
      <c r="K32" s="185"/>
    </row>
    <row r="33" spans="1:11">
      <c r="A33" s="181"/>
      <c r="B33" s="182"/>
      <c r="C33" s="183"/>
      <c r="D33" s="183"/>
      <c r="E33" s="195"/>
      <c r="F33" s="195"/>
      <c r="G33" s="195"/>
      <c r="H33" s="195"/>
      <c r="I33" s="46"/>
      <c r="J33" s="184">
        <f t="shared" si="0"/>
        <v>0</v>
      </c>
      <c r="K33" s="185"/>
    </row>
    <row r="34" spans="1:11">
      <c r="A34" s="181"/>
      <c r="B34" s="182"/>
      <c r="C34" s="183"/>
      <c r="D34" s="183"/>
      <c r="E34" s="195"/>
      <c r="F34" s="195"/>
      <c r="G34" s="195"/>
      <c r="H34" s="195"/>
      <c r="I34" s="46"/>
      <c r="J34" s="184">
        <f t="shared" si="0"/>
        <v>0</v>
      </c>
      <c r="K34" s="185"/>
    </row>
    <row r="35" spans="1:11">
      <c r="A35" s="181"/>
      <c r="B35" s="182"/>
      <c r="C35" s="183"/>
      <c r="D35" s="183"/>
      <c r="E35" s="183"/>
      <c r="F35" s="183"/>
      <c r="G35" s="183"/>
      <c r="H35" s="183"/>
      <c r="I35" s="46"/>
      <c r="J35" s="184"/>
      <c r="K35" s="185"/>
    </row>
    <row r="36" spans="1:11">
      <c r="A36" s="181"/>
      <c r="B36" s="182"/>
      <c r="C36" s="183"/>
      <c r="D36" s="183"/>
      <c r="E36" s="183"/>
      <c r="F36" s="183"/>
      <c r="G36" s="183"/>
      <c r="H36" s="183"/>
      <c r="I36" s="46"/>
      <c r="J36" s="184"/>
      <c r="K36" s="185"/>
    </row>
    <row r="37" spans="1:11">
      <c r="A37" s="181"/>
      <c r="B37" s="182"/>
      <c r="C37" s="183"/>
      <c r="D37" s="183"/>
      <c r="E37" s="183"/>
      <c r="F37" s="183"/>
      <c r="G37" s="183"/>
      <c r="H37" s="183"/>
      <c r="I37" s="46"/>
      <c r="J37" s="184"/>
      <c r="K37" s="185"/>
    </row>
    <row r="38" spans="1:11">
      <c r="A38" s="181"/>
      <c r="B38" s="182"/>
      <c r="C38" s="183"/>
      <c r="D38" s="183"/>
      <c r="E38" s="183"/>
      <c r="F38" s="183"/>
      <c r="G38" s="183"/>
      <c r="H38" s="183"/>
      <c r="I38" s="46"/>
      <c r="J38" s="184"/>
      <c r="K38" s="185"/>
    </row>
    <row r="39" spans="1:11">
      <c r="A39" s="181"/>
      <c r="B39" s="182"/>
      <c r="C39" s="183"/>
      <c r="D39" s="183"/>
      <c r="E39" s="183"/>
      <c r="F39" s="183"/>
      <c r="G39" s="183"/>
      <c r="H39" s="183"/>
      <c r="I39" s="46"/>
      <c r="J39" s="184"/>
      <c r="K39" s="185"/>
    </row>
    <row r="40" spans="1:11">
      <c r="A40" s="181"/>
      <c r="B40" s="182"/>
      <c r="C40" s="183"/>
      <c r="D40" s="183"/>
      <c r="E40" s="183"/>
      <c r="F40" s="183"/>
      <c r="G40" s="183"/>
      <c r="H40" s="183"/>
      <c r="I40" s="46"/>
      <c r="J40" s="184"/>
      <c r="K40" s="185"/>
    </row>
    <row r="41" spans="1:11">
      <c r="A41" s="181"/>
      <c r="B41" s="182"/>
      <c r="C41" s="183"/>
      <c r="D41" s="183"/>
      <c r="E41" s="183"/>
      <c r="F41" s="183"/>
      <c r="G41" s="183"/>
      <c r="H41" s="183"/>
      <c r="I41" s="46"/>
      <c r="J41" s="184"/>
      <c r="K41" s="185"/>
    </row>
    <row r="42" spans="1:11">
      <c r="A42" s="181"/>
      <c r="B42" s="182"/>
      <c r="C42" s="183"/>
      <c r="D42" s="183"/>
      <c r="E42" s="183"/>
      <c r="F42" s="183"/>
      <c r="G42" s="183"/>
      <c r="H42" s="183"/>
      <c r="I42" s="46"/>
      <c r="J42" s="184"/>
      <c r="K42" s="185"/>
    </row>
    <row r="43" spans="1:11">
      <c r="A43" s="181"/>
      <c r="B43" s="182"/>
      <c r="C43" s="183"/>
      <c r="D43" s="183"/>
      <c r="E43" s="183"/>
      <c r="F43" s="183"/>
      <c r="G43" s="183"/>
      <c r="H43" s="183"/>
      <c r="I43" s="46"/>
      <c r="J43" s="184"/>
      <c r="K43" s="185"/>
    </row>
    <row r="44" spans="1:11">
      <c r="A44" s="181"/>
      <c r="B44" s="182"/>
      <c r="C44" s="183"/>
      <c r="D44" s="183"/>
      <c r="E44" s="183"/>
      <c r="F44" s="183"/>
      <c r="G44" s="183"/>
      <c r="H44" s="183"/>
      <c r="I44" s="46"/>
      <c r="J44" s="184"/>
      <c r="K44" s="185"/>
    </row>
    <row r="45" spans="1:11">
      <c r="A45" s="181"/>
      <c r="B45" s="182"/>
      <c r="C45" s="183"/>
      <c r="D45" s="183"/>
      <c r="E45" s="183"/>
      <c r="F45" s="183"/>
      <c r="G45" s="183"/>
      <c r="H45" s="183"/>
      <c r="I45" s="46"/>
      <c r="J45" s="184"/>
      <c r="K45" s="185"/>
    </row>
    <row r="46" spans="1:11">
      <c r="A46" s="181"/>
      <c r="B46" s="182"/>
      <c r="C46" s="183"/>
      <c r="D46" s="183"/>
      <c r="E46" s="183"/>
      <c r="F46" s="183"/>
      <c r="G46" s="183"/>
      <c r="H46" s="183"/>
      <c r="I46" s="46"/>
      <c r="J46" s="184"/>
      <c r="K46" s="185"/>
    </row>
    <row r="47" spans="1:11">
      <c r="A47" s="181"/>
      <c r="B47" s="182"/>
      <c r="C47" s="183"/>
      <c r="D47" s="183"/>
      <c r="E47" s="183"/>
      <c r="F47" s="183"/>
      <c r="G47" s="183"/>
      <c r="H47" s="183"/>
      <c r="I47" s="46"/>
      <c r="J47" s="184"/>
      <c r="K47" s="185"/>
    </row>
    <row r="48" spans="1:11">
      <c r="A48" s="181"/>
      <c r="B48" s="182"/>
      <c r="C48" s="183"/>
      <c r="D48" s="183"/>
      <c r="E48" s="183"/>
      <c r="F48" s="183"/>
      <c r="G48" s="183"/>
      <c r="H48" s="183"/>
      <c r="I48" s="46"/>
      <c r="J48" s="184"/>
      <c r="K48" s="185"/>
    </row>
    <row r="49" spans="1:11">
      <c r="A49" s="181"/>
      <c r="B49" s="182"/>
      <c r="C49" s="183"/>
      <c r="D49" s="183"/>
      <c r="E49" s="183"/>
      <c r="F49" s="183"/>
      <c r="G49" s="183"/>
      <c r="H49" s="183"/>
      <c r="I49" s="46"/>
      <c r="J49" s="184"/>
      <c r="K49" s="185"/>
    </row>
    <row r="50" spans="1:11">
      <c r="A50" s="181"/>
      <c r="B50" s="182"/>
      <c r="C50" s="183"/>
      <c r="D50" s="183"/>
      <c r="E50" s="183"/>
      <c r="F50" s="183"/>
      <c r="G50" s="183"/>
      <c r="H50" s="183"/>
      <c r="I50" s="46"/>
      <c r="J50" s="184"/>
      <c r="K50" s="185"/>
    </row>
    <row r="51" spans="1:11">
      <c r="A51" s="181"/>
      <c r="B51" s="182"/>
      <c r="C51" s="183"/>
      <c r="D51" s="183"/>
      <c r="E51" s="183"/>
      <c r="F51" s="183"/>
      <c r="G51" s="183"/>
      <c r="H51" s="183"/>
      <c r="I51" s="46"/>
      <c r="J51" s="184"/>
      <c r="K51" s="185"/>
    </row>
    <row r="52" spans="1:11">
      <c r="A52" s="181"/>
      <c r="B52" s="182"/>
      <c r="C52" s="183"/>
      <c r="D52" s="183"/>
      <c r="E52" s="183"/>
      <c r="F52" s="183"/>
      <c r="G52" s="183"/>
      <c r="H52" s="183"/>
      <c r="I52" s="46"/>
      <c r="J52" s="184"/>
      <c r="K52" s="185"/>
    </row>
    <row r="53" spans="1:11">
      <c r="A53" s="181"/>
      <c r="B53" s="182"/>
      <c r="C53" s="183"/>
      <c r="D53" s="183"/>
      <c r="E53" s="183"/>
      <c r="F53" s="183"/>
      <c r="G53" s="183"/>
      <c r="H53" s="183"/>
      <c r="I53" s="46"/>
      <c r="J53" s="184"/>
      <c r="K53" s="185"/>
    </row>
    <row r="54" spans="1:11">
      <c r="A54" s="181"/>
      <c r="B54" s="182"/>
      <c r="C54" s="183"/>
      <c r="D54" s="183"/>
      <c r="E54" s="183"/>
      <c r="F54" s="183"/>
      <c r="G54" s="183"/>
      <c r="H54" s="183"/>
      <c r="I54" s="46"/>
      <c r="J54" s="184"/>
      <c r="K54" s="185"/>
    </row>
    <row r="55" spans="1:11">
      <c r="A55" s="181"/>
      <c r="B55" s="182"/>
      <c r="C55" s="183"/>
      <c r="D55" s="183"/>
      <c r="E55" s="183"/>
      <c r="F55" s="183"/>
      <c r="G55" s="183"/>
      <c r="H55" s="183"/>
      <c r="I55" s="46"/>
      <c r="J55" s="184"/>
      <c r="K55" s="185"/>
    </row>
    <row r="56" spans="1:11">
      <c r="A56" s="181"/>
      <c r="B56" s="182"/>
      <c r="C56" s="183"/>
      <c r="D56" s="183"/>
      <c r="E56" s="183"/>
      <c r="F56" s="183"/>
      <c r="G56" s="183"/>
      <c r="H56" s="183"/>
      <c r="I56" s="46"/>
      <c r="J56" s="184"/>
      <c r="K56" s="185"/>
    </row>
    <row r="57" spans="1:11" ht="15" thickBot="1">
      <c r="A57" s="190" t="s">
        <v>20</v>
      </c>
      <c r="B57" s="191"/>
      <c r="C57" s="191"/>
      <c r="D57" s="191"/>
      <c r="E57" s="191"/>
      <c r="F57" s="191"/>
      <c r="G57" s="191"/>
      <c r="H57" s="191"/>
      <c r="I57" s="192"/>
      <c r="J57" s="193" t="e">
        <f>SUM(J19:K56)</f>
        <v>#REF!</v>
      </c>
      <c r="K57" s="194"/>
    </row>
    <row r="58" spans="1:11">
      <c r="A58" s="4"/>
      <c r="K58" s="5"/>
    </row>
    <row r="59" spans="1:11">
      <c r="A59" s="4"/>
      <c r="K59" s="5"/>
    </row>
    <row r="60" spans="1:11">
      <c r="A60" s="4"/>
      <c r="B60" s="186" t="s">
        <v>71</v>
      </c>
      <c r="C60" s="186"/>
      <c r="D60" s="186"/>
      <c r="E60" s="186"/>
      <c r="H60" s="187" t="s">
        <v>5</v>
      </c>
      <c r="I60" s="187"/>
      <c r="J60" s="187"/>
      <c r="K60" s="5"/>
    </row>
    <row r="61" spans="1:11">
      <c r="A61" s="4"/>
      <c r="B61" s="188" t="s">
        <v>21</v>
      </c>
      <c r="C61" s="188"/>
      <c r="D61" s="188"/>
      <c r="E61" s="188"/>
      <c r="H61" s="188" t="s">
        <v>22</v>
      </c>
      <c r="I61" s="188"/>
      <c r="J61" s="188"/>
      <c r="K61" s="5"/>
    </row>
    <row r="62" spans="1:11">
      <c r="A62" s="4"/>
      <c r="B62" s="189"/>
      <c r="C62" s="189"/>
      <c r="D62" s="189"/>
      <c r="E62" s="189"/>
      <c r="H62" s="188" t="s">
        <v>23</v>
      </c>
      <c r="I62" s="188"/>
      <c r="J62" s="188"/>
      <c r="K62" s="5"/>
    </row>
    <row r="63" spans="1:11" ht="5.0999999999999996" customHeight="1" thickBot="1">
      <c r="A63" s="9"/>
      <c r="B63" s="10"/>
      <c r="C63" s="10"/>
      <c r="D63" s="10"/>
      <c r="E63" s="10"/>
      <c r="F63" s="10"/>
      <c r="G63" s="10"/>
      <c r="H63" s="10"/>
      <c r="I63" s="10"/>
      <c r="J63" s="10"/>
      <c r="K63" s="11"/>
    </row>
  </sheetData>
  <mergeCells count="177">
    <mergeCell ref="A41:B41"/>
    <mergeCell ref="C41:D41"/>
    <mergeCell ref="E41:H41"/>
    <mergeCell ref="J41:K41"/>
    <mergeCell ref="I8:J8"/>
    <mergeCell ref="C9:H9"/>
    <mergeCell ref="G13:J13"/>
    <mergeCell ref="B14:C14"/>
    <mergeCell ref="D14:J14"/>
    <mergeCell ref="F15:J15"/>
    <mergeCell ref="A21:B21"/>
    <mergeCell ref="C21:D21"/>
    <mergeCell ref="E21:H21"/>
    <mergeCell ref="J21:K21"/>
    <mergeCell ref="A24:B24"/>
    <mergeCell ref="C24:D24"/>
    <mergeCell ref="E24:H24"/>
    <mergeCell ref="J24:K24"/>
    <mergeCell ref="A25:B25"/>
    <mergeCell ref="C25:D25"/>
    <mergeCell ref="E25:H25"/>
    <mergeCell ref="J25:K25"/>
    <mergeCell ref="A22:B22"/>
    <mergeCell ref="C22:D22"/>
    <mergeCell ref="B2:J2"/>
    <mergeCell ref="B3:J3"/>
    <mergeCell ref="B4:J4"/>
    <mergeCell ref="B5:J5"/>
    <mergeCell ref="B6:J6"/>
    <mergeCell ref="I7:J7"/>
    <mergeCell ref="A20:B20"/>
    <mergeCell ref="C20:D20"/>
    <mergeCell ref="E20:H20"/>
    <mergeCell ref="J20:K20"/>
    <mergeCell ref="E16:I16"/>
    <mergeCell ref="A18:B18"/>
    <mergeCell ref="C18:D18"/>
    <mergeCell ref="E18:H18"/>
    <mergeCell ref="J18:K18"/>
    <mergeCell ref="A19:B19"/>
    <mergeCell ref="C19:D19"/>
    <mergeCell ref="E19:H19"/>
    <mergeCell ref="J19:K19"/>
    <mergeCell ref="E22:H22"/>
    <mergeCell ref="J22:K22"/>
    <mergeCell ref="A23:B23"/>
    <mergeCell ref="C23:D23"/>
    <mergeCell ref="E23:H23"/>
    <mergeCell ref="J23:K23"/>
    <mergeCell ref="A28:B28"/>
    <mergeCell ref="C28:D28"/>
    <mergeCell ref="E28:H28"/>
    <mergeCell ref="J28:K28"/>
    <mergeCell ref="A29:B29"/>
    <mergeCell ref="C29:D29"/>
    <mergeCell ref="E29:H29"/>
    <mergeCell ref="J29:K29"/>
    <mergeCell ref="A26:B26"/>
    <mergeCell ref="C26:D26"/>
    <mergeCell ref="E26:H26"/>
    <mergeCell ref="J26:K26"/>
    <mergeCell ref="A27:B27"/>
    <mergeCell ref="C27:D27"/>
    <mergeCell ref="E27:H27"/>
    <mergeCell ref="J27:K27"/>
    <mergeCell ref="A32:B32"/>
    <mergeCell ref="C32:D32"/>
    <mergeCell ref="E32:H32"/>
    <mergeCell ref="J32:K32"/>
    <mergeCell ref="A33:B33"/>
    <mergeCell ref="C33:D33"/>
    <mergeCell ref="E33:H33"/>
    <mergeCell ref="J33:K33"/>
    <mergeCell ref="A30:B30"/>
    <mergeCell ref="C30:D30"/>
    <mergeCell ref="E30:H30"/>
    <mergeCell ref="J30:K30"/>
    <mergeCell ref="A31:B31"/>
    <mergeCell ref="C31:D31"/>
    <mergeCell ref="E31:H31"/>
    <mergeCell ref="J31:K31"/>
    <mergeCell ref="A36:B36"/>
    <mergeCell ref="C36:D36"/>
    <mergeCell ref="E36:H36"/>
    <mergeCell ref="J36:K36"/>
    <mergeCell ref="A37:B37"/>
    <mergeCell ref="C37:D37"/>
    <mergeCell ref="E37:H37"/>
    <mergeCell ref="J37:K37"/>
    <mergeCell ref="A34:B34"/>
    <mergeCell ref="C34:D34"/>
    <mergeCell ref="E34:H34"/>
    <mergeCell ref="J34:K34"/>
    <mergeCell ref="A35:B35"/>
    <mergeCell ref="C35:D35"/>
    <mergeCell ref="E35:H35"/>
    <mergeCell ref="J35:K35"/>
    <mergeCell ref="A38:B38"/>
    <mergeCell ref="C38:D38"/>
    <mergeCell ref="E38:H38"/>
    <mergeCell ref="J38:K38"/>
    <mergeCell ref="A39:B39"/>
    <mergeCell ref="C39:D39"/>
    <mergeCell ref="E39:H39"/>
    <mergeCell ref="J39:K39"/>
    <mergeCell ref="A53:B53"/>
    <mergeCell ref="C53:D53"/>
    <mergeCell ref="E53:H53"/>
    <mergeCell ref="J53:K53"/>
    <mergeCell ref="A43:B43"/>
    <mergeCell ref="C43:D43"/>
    <mergeCell ref="E43:H43"/>
    <mergeCell ref="J43:K43"/>
    <mergeCell ref="A44:B44"/>
    <mergeCell ref="C44:D44"/>
    <mergeCell ref="E44:H44"/>
    <mergeCell ref="J44:K44"/>
    <mergeCell ref="A40:B40"/>
    <mergeCell ref="C40:D40"/>
    <mergeCell ref="E40:H40"/>
    <mergeCell ref="J40:K40"/>
    <mergeCell ref="A54:B54"/>
    <mergeCell ref="C54:D54"/>
    <mergeCell ref="E54:H54"/>
    <mergeCell ref="J54:K54"/>
    <mergeCell ref="B60:E60"/>
    <mergeCell ref="H60:J60"/>
    <mergeCell ref="B61:E61"/>
    <mergeCell ref="H61:J61"/>
    <mergeCell ref="B62:E62"/>
    <mergeCell ref="H62:J62"/>
    <mergeCell ref="A57:I57"/>
    <mergeCell ref="J57:K57"/>
    <mergeCell ref="A56:B56"/>
    <mergeCell ref="C56:D56"/>
    <mergeCell ref="E56:H56"/>
    <mergeCell ref="J56:K56"/>
    <mergeCell ref="A55:B55"/>
    <mergeCell ref="C55:D55"/>
    <mergeCell ref="E55:H55"/>
    <mergeCell ref="J55:K55"/>
    <mergeCell ref="A42:B42"/>
    <mergeCell ref="C42:D42"/>
    <mergeCell ref="E42:H42"/>
    <mergeCell ref="J42:K42"/>
    <mergeCell ref="A47:B47"/>
    <mergeCell ref="C47:D47"/>
    <mergeCell ref="E47:H47"/>
    <mergeCell ref="J47:K47"/>
    <mergeCell ref="A48:B48"/>
    <mergeCell ref="C48:D48"/>
    <mergeCell ref="E48:H48"/>
    <mergeCell ref="J48:K48"/>
    <mergeCell ref="A45:B45"/>
    <mergeCell ref="C45:D45"/>
    <mergeCell ref="E45:H45"/>
    <mergeCell ref="J45:K45"/>
    <mergeCell ref="A46:B46"/>
    <mergeCell ref="C46:D46"/>
    <mergeCell ref="E46:H46"/>
    <mergeCell ref="J46:K46"/>
    <mergeCell ref="A51:B51"/>
    <mergeCell ref="C51:D51"/>
    <mergeCell ref="E51:H51"/>
    <mergeCell ref="J51:K51"/>
    <mergeCell ref="A52:B52"/>
    <mergeCell ref="C52:D52"/>
    <mergeCell ref="E52:H52"/>
    <mergeCell ref="J52:K52"/>
    <mergeCell ref="A49:B49"/>
    <mergeCell ref="C49:D49"/>
    <mergeCell ref="E49:H49"/>
    <mergeCell ref="J49:K49"/>
    <mergeCell ref="A50:B50"/>
    <mergeCell ref="C50:D50"/>
    <mergeCell ref="E50:H50"/>
    <mergeCell ref="J50:K50"/>
  </mergeCells>
  <pageMargins left="0.12" right="0.12" top="0.12" bottom="0.12" header="0.3" footer="0.2"/>
  <pageSetup paperSize="9" scale="95"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F40A1-5B7D-43D3-93B4-FC20D41AB17A}">
  <dimension ref="A1:N63"/>
  <sheetViews>
    <sheetView view="pageBreakPreview" zoomScale="115" zoomScaleNormal="100" zoomScaleSheetLayoutView="115" workbookViewId="0">
      <selection activeCell="J6" sqref="J6:M6"/>
    </sheetView>
  </sheetViews>
  <sheetFormatPr defaultColWidth="9.21875" defaultRowHeight="14.4"/>
  <cols>
    <col min="1" max="1" width="0.77734375" style="8" customWidth="1"/>
    <col min="2" max="2" width="17.21875" style="8" customWidth="1"/>
    <col min="3" max="3" width="7.77734375" style="8" customWidth="1"/>
    <col min="4" max="4" width="4.44140625" style="8" customWidth="1"/>
    <col min="5" max="5" width="11" style="8" customWidth="1"/>
    <col min="6" max="6" width="15.77734375" style="8" customWidth="1"/>
    <col min="7" max="8" width="9.21875" style="8"/>
    <col min="9" max="10" width="15.77734375" style="8" customWidth="1"/>
    <col min="11" max="11" width="0.77734375" style="8" customWidth="1"/>
    <col min="12" max="16384" width="9.21875" style="8"/>
  </cols>
  <sheetData>
    <row r="1" spans="1:14" ht="5.0999999999999996" customHeight="1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4">
      <c r="A2" s="4"/>
      <c r="B2" s="188" t="s">
        <v>7</v>
      </c>
      <c r="C2" s="188"/>
      <c r="D2" s="188"/>
      <c r="E2" s="188"/>
      <c r="F2" s="188"/>
      <c r="G2" s="188"/>
      <c r="H2" s="188"/>
      <c r="I2" s="188"/>
      <c r="J2" s="188"/>
      <c r="K2" s="5"/>
    </row>
    <row r="3" spans="1:14">
      <c r="A3" s="4"/>
      <c r="B3" s="188" t="s">
        <v>0</v>
      </c>
      <c r="C3" s="188"/>
      <c r="D3" s="188"/>
      <c r="E3" s="188"/>
      <c r="F3" s="188"/>
      <c r="G3" s="188"/>
      <c r="H3" s="188"/>
      <c r="I3" s="188"/>
      <c r="J3" s="188"/>
      <c r="K3" s="5"/>
    </row>
    <row r="4" spans="1:14">
      <c r="A4" s="4"/>
      <c r="B4" s="188" t="s">
        <v>8</v>
      </c>
      <c r="C4" s="188"/>
      <c r="D4" s="188"/>
      <c r="E4" s="188"/>
      <c r="F4" s="188"/>
      <c r="G4" s="188"/>
      <c r="H4" s="188"/>
      <c r="I4" s="188"/>
      <c r="J4" s="188"/>
      <c r="K4" s="5"/>
    </row>
    <row r="5" spans="1:14" ht="15.6">
      <c r="A5" s="4"/>
      <c r="B5" s="208" t="s">
        <v>9</v>
      </c>
      <c r="C5" s="208"/>
      <c r="D5" s="208"/>
      <c r="E5" s="208"/>
      <c r="F5" s="208"/>
      <c r="G5" s="208"/>
      <c r="H5" s="208"/>
      <c r="I5" s="208"/>
      <c r="J5" s="208"/>
      <c r="K5" s="5"/>
    </row>
    <row r="6" spans="1:14">
      <c r="A6" s="4"/>
      <c r="B6" s="188" t="s">
        <v>10</v>
      </c>
      <c r="C6" s="188"/>
      <c r="D6" s="188"/>
      <c r="E6" s="188"/>
      <c r="F6" s="188"/>
      <c r="G6" s="188"/>
      <c r="H6" s="188"/>
      <c r="I6" s="188"/>
      <c r="J6" s="188"/>
      <c r="K6" s="5"/>
    </row>
    <row r="7" spans="1:14">
      <c r="A7" s="4"/>
      <c r="I7" s="209">
        <f>'Q1'!I7</f>
        <v>44648</v>
      </c>
      <c r="J7" s="209"/>
      <c r="K7" s="5"/>
    </row>
    <row r="8" spans="1:14">
      <c r="A8" s="4"/>
      <c r="I8" s="188" t="s">
        <v>2</v>
      </c>
      <c r="J8" s="188"/>
      <c r="K8" s="5"/>
    </row>
    <row r="9" spans="1:14">
      <c r="A9" s="4"/>
      <c r="B9" s="41" t="s">
        <v>11</v>
      </c>
      <c r="C9" s="218" t="s">
        <v>62</v>
      </c>
      <c r="D9" s="218"/>
      <c r="E9" s="218"/>
      <c r="F9" s="218"/>
      <c r="G9" s="218"/>
      <c r="H9" s="218"/>
      <c r="K9" s="5"/>
    </row>
    <row r="10" spans="1:14" ht="5.0999999999999996" customHeight="1">
      <c r="A10" s="4"/>
      <c r="K10" s="5"/>
    </row>
    <row r="11" spans="1:14">
      <c r="A11" s="4"/>
      <c r="B11" s="42" t="s">
        <v>12</v>
      </c>
      <c r="C11" s="42"/>
      <c r="D11" s="42"/>
      <c r="E11" s="42"/>
      <c r="F11" s="42"/>
      <c r="K11" s="5"/>
    </row>
    <row r="12" spans="1:14" ht="5.0999999999999996" customHeight="1">
      <c r="A12" s="4"/>
      <c r="B12" s="42"/>
      <c r="C12" s="42"/>
      <c r="D12" s="42"/>
      <c r="E12" s="42"/>
      <c r="F12" s="42"/>
      <c r="K12" s="5"/>
    </row>
    <row r="13" spans="1:14">
      <c r="A13" s="4"/>
      <c r="B13" s="42"/>
      <c r="C13" s="42" t="s">
        <v>13</v>
      </c>
      <c r="D13" s="42"/>
      <c r="E13" s="43"/>
      <c r="F13" s="43"/>
      <c r="G13" s="219">
        <f>'Q1'!G13</f>
        <v>0</v>
      </c>
      <c r="H13" s="219"/>
      <c r="I13" s="219"/>
      <c r="J13" s="219"/>
      <c r="K13" s="5"/>
    </row>
    <row r="14" spans="1:14" ht="16.5" customHeight="1">
      <c r="A14" s="4"/>
      <c r="B14" s="220" t="s">
        <v>14</v>
      </c>
      <c r="C14" s="220"/>
      <c r="D14" s="221">
        <f>'Q1'!D14</f>
        <v>0</v>
      </c>
      <c r="E14" s="221"/>
      <c r="F14" s="221"/>
      <c r="G14" s="221"/>
      <c r="H14" s="221"/>
      <c r="I14" s="221"/>
      <c r="J14" s="221"/>
      <c r="K14" s="6"/>
      <c r="L14" s="7"/>
      <c r="M14" s="7"/>
      <c r="N14" s="7"/>
    </row>
    <row r="15" spans="1:14">
      <c r="A15" s="4"/>
      <c r="B15" s="42" t="s">
        <v>15</v>
      </c>
      <c r="C15" s="42"/>
      <c r="D15" s="42"/>
      <c r="E15" s="42"/>
      <c r="F15" s="219" t="s">
        <v>1</v>
      </c>
      <c r="G15" s="219"/>
      <c r="H15" s="219"/>
      <c r="I15" s="219"/>
      <c r="J15" s="219"/>
      <c r="K15" s="5"/>
    </row>
    <row r="16" spans="1:14">
      <c r="A16" s="4"/>
      <c r="B16" s="42" t="s">
        <v>16</v>
      </c>
      <c r="C16" s="42"/>
      <c r="D16" s="42"/>
      <c r="E16" s="210"/>
      <c r="F16" s="210"/>
      <c r="G16" s="210"/>
      <c r="H16" s="210"/>
      <c r="I16" s="210"/>
      <c r="K16" s="5"/>
    </row>
    <row r="17" spans="1:11" ht="5.0999999999999996" customHeight="1" thickBot="1">
      <c r="A17" s="4"/>
      <c r="K17" s="5"/>
    </row>
    <row r="18" spans="1:11" ht="15" thickBot="1">
      <c r="A18" s="211" t="s">
        <v>4</v>
      </c>
      <c r="B18" s="212"/>
      <c r="C18" s="213" t="s">
        <v>3</v>
      </c>
      <c r="D18" s="213"/>
      <c r="E18" s="213" t="s">
        <v>17</v>
      </c>
      <c r="F18" s="213"/>
      <c r="G18" s="213"/>
      <c r="H18" s="213"/>
      <c r="I18" s="44" t="s">
        <v>18</v>
      </c>
      <c r="J18" s="213" t="s">
        <v>19</v>
      </c>
      <c r="K18" s="214"/>
    </row>
    <row r="19" spans="1:11" ht="15.75" customHeight="1" thickTop="1">
      <c r="A19" s="181" t="e">
        <f>#REF!</f>
        <v>#REF!</v>
      </c>
      <c r="B19" s="182"/>
      <c r="C19" s="183"/>
      <c r="D19" s="183"/>
      <c r="E19" s="215"/>
      <c r="F19" s="216"/>
      <c r="G19" s="216"/>
      <c r="H19" s="217"/>
      <c r="I19" s="45"/>
      <c r="J19" s="184" t="e">
        <f>I19*A19</f>
        <v>#REF!</v>
      </c>
      <c r="K19" s="185"/>
    </row>
    <row r="20" spans="1:11" ht="15" customHeight="1">
      <c r="A20" s="181"/>
      <c r="B20" s="182"/>
      <c r="C20" s="183"/>
      <c r="D20" s="183"/>
      <c r="E20" s="202"/>
      <c r="F20" s="203"/>
      <c r="G20" s="203"/>
      <c r="H20" s="204"/>
      <c r="I20" s="45"/>
      <c r="J20" s="184">
        <f t="shared" ref="J20:J27" si="0">I20*A20</f>
        <v>0</v>
      </c>
      <c r="K20" s="185"/>
    </row>
    <row r="21" spans="1:11">
      <c r="A21" s="181"/>
      <c r="B21" s="182"/>
      <c r="C21" s="183"/>
      <c r="D21" s="183"/>
      <c r="E21" s="202"/>
      <c r="F21" s="203"/>
      <c r="G21" s="203"/>
      <c r="H21" s="204"/>
      <c r="I21" s="45"/>
      <c r="J21" s="184">
        <f t="shared" si="0"/>
        <v>0</v>
      </c>
      <c r="K21" s="185"/>
    </row>
    <row r="22" spans="1:11">
      <c r="A22" s="181"/>
      <c r="B22" s="182"/>
      <c r="C22" s="183"/>
      <c r="D22" s="183"/>
      <c r="E22" s="202"/>
      <c r="F22" s="203"/>
      <c r="G22" s="203"/>
      <c r="H22" s="204"/>
      <c r="I22" s="45"/>
      <c r="J22" s="184">
        <f t="shared" si="0"/>
        <v>0</v>
      </c>
      <c r="K22" s="185"/>
    </row>
    <row r="23" spans="1:11">
      <c r="A23" s="181"/>
      <c r="B23" s="182"/>
      <c r="C23" s="183"/>
      <c r="D23" s="183"/>
      <c r="E23" s="205"/>
      <c r="F23" s="206"/>
      <c r="G23" s="206"/>
      <c r="H23" s="207"/>
      <c r="I23" s="45"/>
      <c r="J23" s="184">
        <f t="shared" si="0"/>
        <v>0</v>
      </c>
      <c r="K23" s="185"/>
    </row>
    <row r="24" spans="1:11">
      <c r="A24" s="181"/>
      <c r="B24" s="182"/>
      <c r="C24" s="183"/>
      <c r="D24" s="183"/>
      <c r="E24" s="205"/>
      <c r="F24" s="206"/>
      <c r="G24" s="206"/>
      <c r="H24" s="207"/>
      <c r="I24" s="45"/>
      <c r="J24" s="184">
        <f t="shared" si="0"/>
        <v>0</v>
      </c>
      <c r="K24" s="185"/>
    </row>
    <row r="25" spans="1:11" ht="15" customHeight="1">
      <c r="A25" s="181"/>
      <c r="B25" s="182"/>
      <c r="C25" s="183"/>
      <c r="D25" s="183"/>
      <c r="E25" s="199"/>
      <c r="F25" s="200"/>
      <c r="G25" s="200"/>
      <c r="H25" s="201"/>
      <c r="I25" s="46"/>
      <c r="J25" s="184">
        <f t="shared" si="0"/>
        <v>0</v>
      </c>
      <c r="K25" s="185"/>
    </row>
    <row r="26" spans="1:11">
      <c r="A26" s="181"/>
      <c r="B26" s="182"/>
      <c r="C26" s="183"/>
      <c r="D26" s="183"/>
      <c r="E26" s="199"/>
      <c r="F26" s="200"/>
      <c r="G26" s="200"/>
      <c r="H26" s="201"/>
      <c r="I26" s="46"/>
      <c r="J26" s="184">
        <f t="shared" si="0"/>
        <v>0</v>
      </c>
      <c r="K26" s="185"/>
    </row>
    <row r="27" spans="1:11">
      <c r="A27" s="181"/>
      <c r="B27" s="182"/>
      <c r="C27" s="183"/>
      <c r="D27" s="183"/>
      <c r="E27" s="199"/>
      <c r="F27" s="200"/>
      <c r="G27" s="200"/>
      <c r="H27" s="201"/>
      <c r="I27" s="46"/>
      <c r="J27" s="184">
        <f t="shared" si="0"/>
        <v>0</v>
      </c>
      <c r="K27" s="185"/>
    </row>
    <row r="28" spans="1:11">
      <c r="A28" s="181"/>
      <c r="B28" s="182"/>
      <c r="C28" s="183"/>
      <c r="D28" s="183"/>
      <c r="E28" s="196"/>
      <c r="F28" s="197"/>
      <c r="G28" s="197"/>
      <c r="H28" s="198"/>
      <c r="I28" s="46"/>
      <c r="J28" s="184"/>
      <c r="K28" s="185"/>
    </row>
    <row r="29" spans="1:11">
      <c r="A29" s="181"/>
      <c r="B29" s="182"/>
      <c r="C29" s="183"/>
      <c r="D29" s="183"/>
      <c r="E29" s="196"/>
      <c r="F29" s="197"/>
      <c r="G29" s="197"/>
      <c r="H29" s="198"/>
      <c r="I29" s="46"/>
      <c r="J29" s="184"/>
      <c r="K29" s="185"/>
    </row>
    <row r="30" spans="1:11">
      <c r="A30" s="181"/>
      <c r="B30" s="182"/>
      <c r="C30" s="183"/>
      <c r="D30" s="183"/>
      <c r="E30" s="183"/>
      <c r="F30" s="183"/>
      <c r="G30" s="183"/>
      <c r="H30" s="183"/>
      <c r="I30" s="45"/>
      <c r="J30" s="184"/>
      <c r="K30" s="185"/>
    </row>
    <row r="31" spans="1:11">
      <c r="A31" s="181"/>
      <c r="B31" s="182"/>
      <c r="C31" s="183"/>
      <c r="D31" s="183"/>
      <c r="E31" s="183"/>
      <c r="F31" s="183"/>
      <c r="G31" s="183"/>
      <c r="H31" s="183"/>
      <c r="I31" s="45"/>
      <c r="J31" s="184">
        <f t="shared" ref="J31:J34" si="1">I31*A31</f>
        <v>0</v>
      </c>
      <c r="K31" s="185"/>
    </row>
    <row r="32" spans="1:11">
      <c r="A32" s="181"/>
      <c r="B32" s="182"/>
      <c r="C32" s="183"/>
      <c r="D32" s="183"/>
      <c r="E32" s="183"/>
      <c r="F32" s="183"/>
      <c r="G32" s="183"/>
      <c r="H32" s="183"/>
      <c r="I32" s="45"/>
      <c r="J32" s="184">
        <f t="shared" si="1"/>
        <v>0</v>
      </c>
      <c r="K32" s="185"/>
    </row>
    <row r="33" spans="1:11">
      <c r="A33" s="181"/>
      <c r="B33" s="182"/>
      <c r="C33" s="183"/>
      <c r="D33" s="183"/>
      <c r="E33" s="183"/>
      <c r="F33" s="183"/>
      <c r="G33" s="183"/>
      <c r="H33" s="183"/>
      <c r="I33" s="45"/>
      <c r="J33" s="184">
        <f t="shared" si="1"/>
        <v>0</v>
      </c>
      <c r="K33" s="185"/>
    </row>
    <row r="34" spans="1:11">
      <c r="A34" s="181"/>
      <c r="B34" s="182"/>
      <c r="C34" s="183"/>
      <c r="D34" s="183"/>
      <c r="E34" s="183"/>
      <c r="F34" s="183"/>
      <c r="G34" s="183"/>
      <c r="H34" s="183"/>
      <c r="I34" s="45"/>
      <c r="J34" s="184">
        <f t="shared" si="1"/>
        <v>0</v>
      </c>
      <c r="K34" s="185"/>
    </row>
    <row r="35" spans="1:11">
      <c r="A35" s="181"/>
      <c r="B35" s="182"/>
      <c r="C35" s="183"/>
      <c r="D35" s="183"/>
      <c r="E35" s="183"/>
      <c r="F35" s="183"/>
      <c r="G35" s="183"/>
      <c r="H35" s="183"/>
      <c r="I35" s="45"/>
      <c r="J35" s="184"/>
      <c r="K35" s="185"/>
    </row>
    <row r="36" spans="1:11">
      <c r="A36" s="181"/>
      <c r="B36" s="182"/>
      <c r="C36" s="183"/>
      <c r="D36" s="183"/>
      <c r="E36" s="183"/>
      <c r="F36" s="183"/>
      <c r="G36" s="183"/>
      <c r="H36" s="183"/>
      <c r="I36" s="45"/>
      <c r="J36" s="184"/>
      <c r="K36" s="185"/>
    </row>
    <row r="37" spans="1:11">
      <c r="A37" s="181"/>
      <c r="B37" s="182"/>
      <c r="C37" s="183"/>
      <c r="D37" s="183"/>
      <c r="E37" s="183"/>
      <c r="F37" s="183"/>
      <c r="G37" s="183"/>
      <c r="H37" s="183"/>
      <c r="I37" s="45"/>
      <c r="J37" s="184"/>
      <c r="K37" s="185"/>
    </row>
    <row r="38" spans="1:11">
      <c r="A38" s="181"/>
      <c r="B38" s="182"/>
      <c r="C38" s="183"/>
      <c r="D38" s="183"/>
      <c r="E38" s="183"/>
      <c r="F38" s="183"/>
      <c r="G38" s="183"/>
      <c r="H38" s="183"/>
      <c r="I38" s="45"/>
      <c r="J38" s="184"/>
      <c r="K38" s="185"/>
    </row>
    <row r="39" spans="1:11">
      <c r="A39" s="181"/>
      <c r="B39" s="182"/>
      <c r="C39" s="183"/>
      <c r="D39" s="183"/>
      <c r="E39" s="183"/>
      <c r="F39" s="183"/>
      <c r="G39" s="183"/>
      <c r="H39" s="183"/>
      <c r="I39" s="45"/>
      <c r="J39" s="184"/>
      <c r="K39" s="185"/>
    </row>
    <row r="40" spans="1:11">
      <c r="A40" s="181"/>
      <c r="B40" s="182"/>
      <c r="C40" s="183"/>
      <c r="D40" s="183"/>
      <c r="E40" s="183"/>
      <c r="F40" s="183"/>
      <c r="G40" s="183"/>
      <c r="H40" s="183"/>
      <c r="I40" s="45"/>
      <c r="J40" s="184"/>
      <c r="K40" s="185"/>
    </row>
    <row r="41" spans="1:11">
      <c r="A41" s="181"/>
      <c r="B41" s="182"/>
      <c r="C41" s="183"/>
      <c r="D41" s="183"/>
      <c r="E41" s="183"/>
      <c r="F41" s="183"/>
      <c r="G41" s="183"/>
      <c r="H41" s="183"/>
      <c r="I41" s="45"/>
      <c r="J41" s="184"/>
      <c r="K41" s="185"/>
    </row>
    <row r="42" spans="1:11">
      <c r="A42" s="181"/>
      <c r="B42" s="182"/>
      <c r="C42" s="183"/>
      <c r="D42" s="183"/>
      <c r="E42" s="183"/>
      <c r="F42" s="183"/>
      <c r="G42" s="183"/>
      <c r="H42" s="183"/>
      <c r="I42" s="45"/>
      <c r="J42" s="184"/>
      <c r="K42" s="185"/>
    </row>
    <row r="43" spans="1:11">
      <c r="A43" s="181"/>
      <c r="B43" s="182"/>
      <c r="C43" s="183"/>
      <c r="D43" s="183"/>
      <c r="E43" s="183"/>
      <c r="F43" s="183"/>
      <c r="G43" s="183"/>
      <c r="H43" s="183"/>
      <c r="I43" s="45"/>
      <c r="J43" s="184"/>
      <c r="K43" s="185"/>
    </row>
    <row r="44" spans="1:11">
      <c r="A44" s="181"/>
      <c r="B44" s="182"/>
      <c r="C44" s="183"/>
      <c r="D44" s="183"/>
      <c r="E44" s="183"/>
      <c r="F44" s="183"/>
      <c r="G44" s="183"/>
      <c r="H44" s="183"/>
      <c r="I44" s="45"/>
      <c r="J44" s="184"/>
      <c r="K44" s="185"/>
    </row>
    <row r="45" spans="1:11">
      <c r="A45" s="181"/>
      <c r="B45" s="182"/>
      <c r="C45" s="183"/>
      <c r="D45" s="183"/>
      <c r="E45" s="183"/>
      <c r="F45" s="183"/>
      <c r="G45" s="183"/>
      <c r="H45" s="183"/>
      <c r="I45" s="45"/>
      <c r="J45" s="184"/>
      <c r="K45" s="185"/>
    </row>
    <row r="46" spans="1:11">
      <c r="A46" s="181"/>
      <c r="B46" s="182"/>
      <c r="C46" s="183"/>
      <c r="D46" s="183"/>
      <c r="E46" s="183"/>
      <c r="F46" s="183"/>
      <c r="G46" s="183"/>
      <c r="H46" s="183"/>
      <c r="I46" s="45"/>
      <c r="J46" s="184"/>
      <c r="K46" s="185"/>
    </row>
    <row r="47" spans="1:11">
      <c r="A47" s="181"/>
      <c r="B47" s="182"/>
      <c r="C47" s="183"/>
      <c r="D47" s="183"/>
      <c r="E47" s="183"/>
      <c r="F47" s="183"/>
      <c r="G47" s="183"/>
      <c r="H47" s="183"/>
      <c r="I47" s="45"/>
      <c r="J47" s="184"/>
      <c r="K47" s="185"/>
    </row>
    <row r="48" spans="1:11">
      <c r="A48" s="181"/>
      <c r="B48" s="182"/>
      <c r="C48" s="183"/>
      <c r="D48" s="183"/>
      <c r="E48" s="183"/>
      <c r="F48" s="183"/>
      <c r="G48" s="183"/>
      <c r="H48" s="183"/>
      <c r="I48" s="45"/>
      <c r="J48" s="184"/>
      <c r="K48" s="185"/>
    </row>
    <row r="49" spans="1:11">
      <c r="A49" s="181"/>
      <c r="B49" s="182"/>
      <c r="C49" s="183"/>
      <c r="D49" s="183"/>
      <c r="E49" s="183"/>
      <c r="F49" s="183"/>
      <c r="G49" s="183"/>
      <c r="H49" s="183"/>
      <c r="I49" s="45"/>
      <c r="J49" s="184"/>
      <c r="K49" s="185"/>
    </row>
    <row r="50" spans="1:11">
      <c r="A50" s="181"/>
      <c r="B50" s="182"/>
      <c r="C50" s="183"/>
      <c r="D50" s="183"/>
      <c r="E50" s="183"/>
      <c r="F50" s="183"/>
      <c r="G50" s="183"/>
      <c r="H50" s="183"/>
      <c r="I50" s="45"/>
      <c r="J50" s="184"/>
      <c r="K50" s="185"/>
    </row>
    <row r="51" spans="1:11">
      <c r="A51" s="181"/>
      <c r="B51" s="182"/>
      <c r="C51" s="183"/>
      <c r="D51" s="183"/>
      <c r="E51" s="183"/>
      <c r="F51" s="183"/>
      <c r="G51" s="183"/>
      <c r="H51" s="183"/>
      <c r="I51" s="45"/>
      <c r="J51" s="184"/>
      <c r="K51" s="185"/>
    </row>
    <row r="52" spans="1:11">
      <c r="A52" s="181"/>
      <c r="B52" s="182"/>
      <c r="C52" s="183"/>
      <c r="D52" s="183"/>
      <c r="E52" s="183"/>
      <c r="F52" s="183"/>
      <c r="G52" s="183"/>
      <c r="H52" s="183"/>
      <c r="I52" s="45"/>
      <c r="J52" s="184"/>
      <c r="K52" s="185"/>
    </row>
    <row r="53" spans="1:11">
      <c r="A53" s="181"/>
      <c r="B53" s="182"/>
      <c r="C53" s="183"/>
      <c r="D53" s="183"/>
      <c r="E53" s="183"/>
      <c r="F53" s="183"/>
      <c r="G53" s="183"/>
      <c r="H53" s="183"/>
      <c r="I53" s="45"/>
      <c r="J53" s="184"/>
      <c r="K53" s="185"/>
    </row>
    <row r="54" spans="1:11">
      <c r="A54" s="181"/>
      <c r="B54" s="182"/>
      <c r="C54" s="183"/>
      <c r="D54" s="183"/>
      <c r="E54" s="183"/>
      <c r="F54" s="183"/>
      <c r="G54" s="183"/>
      <c r="H54" s="183"/>
      <c r="I54" s="45"/>
      <c r="J54" s="184"/>
      <c r="K54" s="185"/>
    </row>
    <row r="55" spans="1:11">
      <c r="A55" s="181"/>
      <c r="B55" s="182"/>
      <c r="C55" s="183"/>
      <c r="D55" s="183"/>
      <c r="E55" s="183"/>
      <c r="F55" s="183"/>
      <c r="G55" s="183"/>
      <c r="H55" s="183"/>
      <c r="I55" s="45"/>
      <c r="J55" s="184"/>
      <c r="K55" s="185"/>
    </row>
    <row r="56" spans="1:11">
      <c r="A56" s="181"/>
      <c r="B56" s="182"/>
      <c r="C56" s="183"/>
      <c r="D56" s="183"/>
      <c r="E56" s="183"/>
      <c r="F56" s="183"/>
      <c r="G56" s="183"/>
      <c r="H56" s="183"/>
      <c r="I56" s="46"/>
      <c r="J56" s="222"/>
      <c r="K56" s="223"/>
    </row>
    <row r="57" spans="1:11" ht="15" thickBot="1">
      <c r="A57" s="190" t="s">
        <v>20</v>
      </c>
      <c r="B57" s="191"/>
      <c r="C57" s="191"/>
      <c r="D57" s="191"/>
      <c r="E57" s="191"/>
      <c r="F57" s="191"/>
      <c r="G57" s="191"/>
      <c r="H57" s="191"/>
      <c r="I57" s="192"/>
      <c r="J57" s="193" t="e">
        <f>SUM(J19:K55)</f>
        <v>#REF!</v>
      </c>
      <c r="K57" s="194"/>
    </row>
    <row r="58" spans="1:11">
      <c r="A58" s="4"/>
      <c r="K58" s="5"/>
    </row>
    <row r="59" spans="1:11">
      <c r="A59" s="4"/>
      <c r="K59" s="5"/>
    </row>
    <row r="60" spans="1:11">
      <c r="A60" s="4"/>
      <c r="B60" s="186" t="s">
        <v>63</v>
      </c>
      <c r="C60" s="186"/>
      <c r="D60" s="186"/>
      <c r="E60" s="186"/>
      <c r="H60" s="187" t="s">
        <v>5</v>
      </c>
      <c r="I60" s="187"/>
      <c r="J60" s="187"/>
      <c r="K60" s="5"/>
    </row>
    <row r="61" spans="1:11">
      <c r="A61" s="4"/>
      <c r="B61" s="188" t="s">
        <v>21</v>
      </c>
      <c r="C61" s="188"/>
      <c r="D61" s="188"/>
      <c r="E61" s="188"/>
      <c r="H61" s="188" t="s">
        <v>22</v>
      </c>
      <c r="I61" s="188"/>
      <c r="J61" s="188"/>
      <c r="K61" s="5"/>
    </row>
    <row r="62" spans="1:11">
      <c r="A62" s="4"/>
      <c r="B62" s="189"/>
      <c r="C62" s="189"/>
      <c r="D62" s="189"/>
      <c r="E62" s="189"/>
      <c r="H62" s="188" t="s">
        <v>23</v>
      </c>
      <c r="I62" s="188"/>
      <c r="J62" s="188"/>
      <c r="K62" s="5"/>
    </row>
    <row r="63" spans="1:11" ht="5.0999999999999996" customHeight="1" thickBot="1">
      <c r="A63" s="9"/>
      <c r="B63" s="10"/>
      <c r="C63" s="10"/>
      <c r="D63" s="10"/>
      <c r="E63" s="10"/>
      <c r="F63" s="10"/>
      <c r="G63" s="10"/>
      <c r="H63" s="10"/>
      <c r="I63" s="10"/>
      <c r="J63" s="10"/>
      <c r="K63" s="11"/>
    </row>
  </sheetData>
  <mergeCells count="177">
    <mergeCell ref="I8:J8"/>
    <mergeCell ref="C9:H9"/>
    <mergeCell ref="G13:J13"/>
    <mergeCell ref="B14:C14"/>
    <mergeCell ref="D14:J14"/>
    <mergeCell ref="F15:J15"/>
    <mergeCell ref="B2:J2"/>
    <mergeCell ref="B3:J3"/>
    <mergeCell ref="B4:J4"/>
    <mergeCell ref="B5:J5"/>
    <mergeCell ref="B6:J6"/>
    <mergeCell ref="I7:J7"/>
    <mergeCell ref="E16:I16"/>
    <mergeCell ref="A18:B18"/>
    <mergeCell ref="C18:D18"/>
    <mergeCell ref="E18:H18"/>
    <mergeCell ref="J18:K18"/>
    <mergeCell ref="A19:B19"/>
    <mergeCell ref="C19:D19"/>
    <mergeCell ref="E19:H19"/>
    <mergeCell ref="J19:K19"/>
    <mergeCell ref="A22:B22"/>
    <mergeCell ref="C22:D22"/>
    <mergeCell ref="E22:H22"/>
    <mergeCell ref="J22:K22"/>
    <mergeCell ref="A23:B23"/>
    <mergeCell ref="C23:D23"/>
    <mergeCell ref="E23:H23"/>
    <mergeCell ref="J23:K23"/>
    <mergeCell ref="A20:B20"/>
    <mergeCell ref="C20:D20"/>
    <mergeCell ref="E20:H20"/>
    <mergeCell ref="J20:K20"/>
    <mergeCell ref="A21:B21"/>
    <mergeCell ref="C21:D21"/>
    <mergeCell ref="E21:H21"/>
    <mergeCell ref="J21:K21"/>
    <mergeCell ref="A26:B26"/>
    <mergeCell ref="C26:D26"/>
    <mergeCell ref="E26:H26"/>
    <mergeCell ref="J26:K26"/>
    <mergeCell ref="A27:B27"/>
    <mergeCell ref="C27:D27"/>
    <mergeCell ref="E27:H27"/>
    <mergeCell ref="J27:K27"/>
    <mergeCell ref="A24:B24"/>
    <mergeCell ref="C24:D24"/>
    <mergeCell ref="E24:H24"/>
    <mergeCell ref="J24:K24"/>
    <mergeCell ref="A25:B25"/>
    <mergeCell ref="C25:D25"/>
    <mergeCell ref="E25:H25"/>
    <mergeCell ref="J25:K25"/>
    <mergeCell ref="A30:B30"/>
    <mergeCell ref="C30:D30"/>
    <mergeCell ref="E30:H30"/>
    <mergeCell ref="J30:K30"/>
    <mergeCell ref="A31:B31"/>
    <mergeCell ref="C31:D31"/>
    <mergeCell ref="E31:H31"/>
    <mergeCell ref="J31:K31"/>
    <mergeCell ref="A28:B28"/>
    <mergeCell ref="C28:D28"/>
    <mergeCell ref="E28:H28"/>
    <mergeCell ref="J28:K28"/>
    <mergeCell ref="A29:B29"/>
    <mergeCell ref="C29:D29"/>
    <mergeCell ref="E29:H29"/>
    <mergeCell ref="J29:K29"/>
    <mergeCell ref="A34:B34"/>
    <mergeCell ref="C34:D34"/>
    <mergeCell ref="E34:H34"/>
    <mergeCell ref="J34:K34"/>
    <mergeCell ref="A35:B35"/>
    <mergeCell ref="C35:D35"/>
    <mergeCell ref="E35:H35"/>
    <mergeCell ref="J35:K35"/>
    <mergeCell ref="A32:B32"/>
    <mergeCell ref="C32:D32"/>
    <mergeCell ref="E32:H32"/>
    <mergeCell ref="J32:K32"/>
    <mergeCell ref="A33:B33"/>
    <mergeCell ref="C33:D33"/>
    <mergeCell ref="E33:H33"/>
    <mergeCell ref="J33:K33"/>
    <mergeCell ref="A38:B38"/>
    <mergeCell ref="C38:D38"/>
    <mergeCell ref="E38:H38"/>
    <mergeCell ref="J38:K38"/>
    <mergeCell ref="A39:B39"/>
    <mergeCell ref="C39:D39"/>
    <mergeCell ref="E39:H39"/>
    <mergeCell ref="J39:K39"/>
    <mergeCell ref="A36:B36"/>
    <mergeCell ref="C36:D36"/>
    <mergeCell ref="E36:H36"/>
    <mergeCell ref="J36:K36"/>
    <mergeCell ref="A37:B37"/>
    <mergeCell ref="C37:D37"/>
    <mergeCell ref="E37:H37"/>
    <mergeCell ref="J37:K37"/>
    <mergeCell ref="A42:B42"/>
    <mergeCell ref="C42:D42"/>
    <mergeCell ref="E42:H42"/>
    <mergeCell ref="J42:K42"/>
    <mergeCell ref="A43:B43"/>
    <mergeCell ref="C43:D43"/>
    <mergeCell ref="E43:H43"/>
    <mergeCell ref="J43:K43"/>
    <mergeCell ref="A40:B40"/>
    <mergeCell ref="C40:D40"/>
    <mergeCell ref="E40:H40"/>
    <mergeCell ref="J40:K40"/>
    <mergeCell ref="A41:B41"/>
    <mergeCell ref="C41:D41"/>
    <mergeCell ref="E41:H41"/>
    <mergeCell ref="J41:K41"/>
    <mergeCell ref="A46:B46"/>
    <mergeCell ref="C46:D46"/>
    <mergeCell ref="E46:H46"/>
    <mergeCell ref="J46:K46"/>
    <mergeCell ref="A47:B47"/>
    <mergeCell ref="C47:D47"/>
    <mergeCell ref="E47:H47"/>
    <mergeCell ref="J47:K47"/>
    <mergeCell ref="A44:B44"/>
    <mergeCell ref="C44:D44"/>
    <mergeCell ref="E44:H44"/>
    <mergeCell ref="J44:K44"/>
    <mergeCell ref="A45:B45"/>
    <mergeCell ref="C45:D45"/>
    <mergeCell ref="E45:H45"/>
    <mergeCell ref="J45:K45"/>
    <mergeCell ref="A48:B48"/>
    <mergeCell ref="C48:D48"/>
    <mergeCell ref="E48:H48"/>
    <mergeCell ref="J48:K48"/>
    <mergeCell ref="A49:B49"/>
    <mergeCell ref="C49:D49"/>
    <mergeCell ref="E49:H49"/>
    <mergeCell ref="J49:K49"/>
    <mergeCell ref="A52:B52"/>
    <mergeCell ref="C52:D52"/>
    <mergeCell ref="E52:H52"/>
    <mergeCell ref="J52:K52"/>
    <mergeCell ref="A53:B53"/>
    <mergeCell ref="C53:D53"/>
    <mergeCell ref="E53:H53"/>
    <mergeCell ref="J53:K53"/>
    <mergeCell ref="A50:B50"/>
    <mergeCell ref="C50:D50"/>
    <mergeCell ref="E50:H50"/>
    <mergeCell ref="J50:K50"/>
    <mergeCell ref="A51:B51"/>
    <mergeCell ref="C51:D51"/>
    <mergeCell ref="E51:H51"/>
    <mergeCell ref="J51:K51"/>
    <mergeCell ref="A55:B55"/>
    <mergeCell ref="C55:D55"/>
    <mergeCell ref="E55:H55"/>
    <mergeCell ref="J55:K55"/>
    <mergeCell ref="A54:B54"/>
    <mergeCell ref="C54:D54"/>
    <mergeCell ref="E54:H54"/>
    <mergeCell ref="J54:K54"/>
    <mergeCell ref="B60:E60"/>
    <mergeCell ref="H60:J60"/>
    <mergeCell ref="B61:E61"/>
    <mergeCell ref="H61:J61"/>
    <mergeCell ref="B62:E62"/>
    <mergeCell ref="H62:J62"/>
    <mergeCell ref="A56:B56"/>
    <mergeCell ref="C56:D56"/>
    <mergeCell ref="E56:H56"/>
    <mergeCell ref="J56:K56"/>
    <mergeCell ref="A57:I57"/>
    <mergeCell ref="J57:K57"/>
  </mergeCells>
  <pageMargins left="0.12" right="0.12" top="0.12" bottom="0.12" header="0.3" footer="0.2"/>
  <pageSetup paperSize="9" scale="95"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65C6A-E766-4B09-86A7-545A1F4BC1D7}">
  <dimension ref="A1:N63"/>
  <sheetViews>
    <sheetView view="pageBreakPreview" topLeftCell="A4" zoomScale="115" zoomScaleNormal="100" zoomScaleSheetLayoutView="115" workbookViewId="0">
      <selection activeCell="J6" sqref="J6:M6"/>
    </sheetView>
  </sheetViews>
  <sheetFormatPr defaultColWidth="9.21875" defaultRowHeight="14.4"/>
  <cols>
    <col min="1" max="1" width="0.77734375" style="8" customWidth="1"/>
    <col min="2" max="2" width="17.21875" style="8" customWidth="1"/>
    <col min="3" max="3" width="7.77734375" style="8" customWidth="1"/>
    <col min="4" max="4" width="4.44140625" style="8" customWidth="1"/>
    <col min="5" max="5" width="11" style="8" customWidth="1"/>
    <col min="6" max="6" width="15.77734375" style="8" customWidth="1"/>
    <col min="7" max="8" width="9.21875" style="8"/>
    <col min="9" max="10" width="15.77734375" style="8" customWidth="1"/>
    <col min="11" max="11" width="0.77734375" style="8" customWidth="1"/>
    <col min="12" max="16384" width="9.21875" style="8"/>
  </cols>
  <sheetData>
    <row r="1" spans="1:14" ht="5.0999999999999996" customHeight="1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4">
      <c r="A2" s="4"/>
      <c r="B2" s="188" t="s">
        <v>7</v>
      </c>
      <c r="C2" s="188"/>
      <c r="D2" s="188"/>
      <c r="E2" s="188"/>
      <c r="F2" s="188"/>
      <c r="G2" s="188"/>
      <c r="H2" s="188"/>
      <c r="I2" s="188"/>
      <c r="J2" s="188"/>
      <c r="K2" s="5"/>
    </row>
    <row r="3" spans="1:14">
      <c r="A3" s="4"/>
      <c r="B3" s="188" t="s">
        <v>0</v>
      </c>
      <c r="C3" s="188"/>
      <c r="D3" s="188"/>
      <c r="E3" s="188"/>
      <c r="F3" s="188"/>
      <c r="G3" s="188"/>
      <c r="H3" s="188"/>
      <c r="I3" s="188"/>
      <c r="J3" s="188"/>
      <c r="K3" s="5"/>
    </row>
    <row r="4" spans="1:14">
      <c r="A4" s="4"/>
      <c r="B4" s="188" t="s">
        <v>8</v>
      </c>
      <c r="C4" s="188"/>
      <c r="D4" s="188"/>
      <c r="E4" s="188"/>
      <c r="F4" s="188"/>
      <c r="G4" s="188"/>
      <c r="H4" s="188"/>
      <c r="I4" s="188"/>
      <c r="J4" s="188"/>
      <c r="K4" s="5"/>
    </row>
    <row r="5" spans="1:14" ht="15.6">
      <c r="A5" s="4"/>
      <c r="B5" s="208" t="s">
        <v>9</v>
      </c>
      <c r="C5" s="208"/>
      <c r="D5" s="208"/>
      <c r="E5" s="208"/>
      <c r="F5" s="208"/>
      <c r="G5" s="208"/>
      <c r="H5" s="208"/>
      <c r="I5" s="208"/>
      <c r="J5" s="208"/>
      <c r="K5" s="5"/>
    </row>
    <row r="6" spans="1:14">
      <c r="A6" s="4"/>
      <c r="B6" s="188" t="s">
        <v>10</v>
      </c>
      <c r="C6" s="188"/>
      <c r="D6" s="188"/>
      <c r="E6" s="188"/>
      <c r="F6" s="188"/>
      <c r="G6" s="188"/>
      <c r="H6" s="188"/>
      <c r="I6" s="188"/>
      <c r="J6" s="188"/>
      <c r="K6" s="5"/>
    </row>
    <row r="7" spans="1:14">
      <c r="A7" s="4"/>
      <c r="I7" s="209">
        <f>'Q1'!I7</f>
        <v>44648</v>
      </c>
      <c r="J7" s="209"/>
      <c r="K7" s="5"/>
    </row>
    <row r="8" spans="1:14">
      <c r="A8" s="4"/>
      <c r="I8" s="188" t="s">
        <v>2</v>
      </c>
      <c r="J8" s="188"/>
      <c r="K8" s="5"/>
    </row>
    <row r="9" spans="1:14">
      <c r="A9" s="4"/>
      <c r="B9" s="41" t="s">
        <v>11</v>
      </c>
      <c r="C9" s="218" t="s">
        <v>64</v>
      </c>
      <c r="D9" s="218"/>
      <c r="E9" s="218"/>
      <c r="F9" s="218"/>
      <c r="G9" s="218"/>
      <c r="H9" s="218"/>
      <c r="K9" s="5"/>
    </row>
    <row r="10" spans="1:14" ht="5.0999999999999996" customHeight="1">
      <c r="A10" s="4"/>
      <c r="K10" s="5"/>
    </row>
    <row r="11" spans="1:14">
      <c r="A11" s="4"/>
      <c r="B11" s="42" t="s">
        <v>12</v>
      </c>
      <c r="C11" s="42"/>
      <c r="D11" s="42"/>
      <c r="E11" s="42"/>
      <c r="F11" s="42"/>
      <c r="K11" s="5"/>
    </row>
    <row r="12" spans="1:14" ht="5.0999999999999996" customHeight="1">
      <c r="A12" s="4"/>
      <c r="B12" s="42"/>
      <c r="C12" s="42"/>
      <c r="D12" s="42"/>
      <c r="E12" s="42"/>
      <c r="F12" s="42"/>
      <c r="K12" s="5"/>
    </row>
    <row r="13" spans="1:14">
      <c r="A13" s="4"/>
      <c r="B13" s="42"/>
      <c r="C13" s="42" t="s">
        <v>13</v>
      </c>
      <c r="D13" s="42"/>
      <c r="E13" s="43"/>
      <c r="F13" s="43"/>
      <c r="G13" s="219">
        <f>'Q1'!G13</f>
        <v>0</v>
      </c>
      <c r="H13" s="219"/>
      <c r="I13" s="219"/>
      <c r="J13" s="219"/>
      <c r="K13" s="5"/>
    </row>
    <row r="14" spans="1:14" ht="16.5" customHeight="1">
      <c r="A14" s="4"/>
      <c r="B14" s="220" t="s">
        <v>14</v>
      </c>
      <c r="C14" s="220"/>
      <c r="D14" s="221">
        <f>'Q1'!D14</f>
        <v>0</v>
      </c>
      <c r="E14" s="221"/>
      <c r="F14" s="221"/>
      <c r="G14" s="221"/>
      <c r="H14" s="221"/>
      <c r="I14" s="221"/>
      <c r="J14" s="221"/>
      <c r="K14" s="6"/>
      <c r="L14" s="7"/>
      <c r="M14" s="7"/>
      <c r="N14" s="7"/>
    </row>
    <row r="15" spans="1:14">
      <c r="A15" s="4"/>
      <c r="B15" s="42" t="s">
        <v>15</v>
      </c>
      <c r="C15" s="42"/>
      <c r="D15" s="42"/>
      <c r="E15" s="42"/>
      <c r="F15" s="219" t="s">
        <v>1</v>
      </c>
      <c r="G15" s="219"/>
      <c r="H15" s="219"/>
      <c r="I15" s="219"/>
      <c r="J15" s="219"/>
      <c r="K15" s="5"/>
    </row>
    <row r="16" spans="1:14">
      <c r="A16" s="4"/>
      <c r="B16" s="42" t="s">
        <v>16</v>
      </c>
      <c r="C16" s="42"/>
      <c r="D16" s="42"/>
      <c r="E16" s="210"/>
      <c r="F16" s="210"/>
      <c r="G16" s="210"/>
      <c r="H16" s="210"/>
      <c r="I16" s="210"/>
      <c r="K16" s="5"/>
    </row>
    <row r="17" spans="1:11" ht="5.0999999999999996" customHeight="1" thickBot="1">
      <c r="A17" s="4"/>
      <c r="K17" s="5"/>
    </row>
    <row r="18" spans="1:11" ht="15" thickBot="1">
      <c r="A18" s="211" t="s">
        <v>4</v>
      </c>
      <c r="B18" s="212"/>
      <c r="C18" s="213" t="s">
        <v>3</v>
      </c>
      <c r="D18" s="213"/>
      <c r="E18" s="213" t="s">
        <v>17</v>
      </c>
      <c r="F18" s="213"/>
      <c r="G18" s="213"/>
      <c r="H18" s="213"/>
      <c r="I18" s="44" t="s">
        <v>18</v>
      </c>
      <c r="J18" s="213" t="s">
        <v>19</v>
      </c>
      <c r="K18" s="214"/>
    </row>
    <row r="19" spans="1:11" ht="15.75" customHeight="1" thickTop="1">
      <c r="A19" s="181" t="e">
        <f>#REF!</f>
        <v>#REF!</v>
      </c>
      <c r="B19" s="182"/>
      <c r="C19" s="183"/>
      <c r="D19" s="183"/>
      <c r="E19" s="215"/>
      <c r="F19" s="216"/>
      <c r="G19" s="216"/>
      <c r="H19" s="217"/>
      <c r="I19" s="45"/>
      <c r="J19" s="184" t="e">
        <f>I19*A19</f>
        <v>#REF!</v>
      </c>
      <c r="K19" s="185"/>
    </row>
    <row r="20" spans="1:11">
      <c r="A20" s="181"/>
      <c r="B20" s="182"/>
      <c r="C20" s="183"/>
      <c r="D20" s="183"/>
      <c r="E20" s="202"/>
      <c r="F20" s="203"/>
      <c r="G20" s="203"/>
      <c r="H20" s="204"/>
      <c r="I20" s="45"/>
      <c r="J20" s="184">
        <f t="shared" ref="J20:J29" si="0">I20*A20</f>
        <v>0</v>
      </c>
      <c r="K20" s="185"/>
    </row>
    <row r="21" spans="1:11">
      <c r="A21" s="181"/>
      <c r="B21" s="182"/>
      <c r="C21" s="183"/>
      <c r="D21" s="183"/>
      <c r="E21" s="202"/>
      <c r="F21" s="203"/>
      <c r="G21" s="203"/>
      <c r="H21" s="204"/>
      <c r="I21" s="45"/>
      <c r="J21" s="184">
        <f t="shared" si="0"/>
        <v>0</v>
      </c>
      <c r="K21" s="185"/>
    </row>
    <row r="22" spans="1:11">
      <c r="A22" s="181"/>
      <c r="B22" s="182"/>
      <c r="C22" s="183"/>
      <c r="D22" s="183"/>
      <c r="E22" s="202"/>
      <c r="F22" s="203"/>
      <c r="G22" s="203"/>
      <c r="H22" s="204"/>
      <c r="I22" s="45"/>
      <c r="J22" s="184">
        <f t="shared" si="0"/>
        <v>0</v>
      </c>
      <c r="K22" s="185"/>
    </row>
    <row r="23" spans="1:11">
      <c r="A23" s="181"/>
      <c r="B23" s="182"/>
      <c r="C23" s="183"/>
      <c r="D23" s="183"/>
      <c r="E23" s="205"/>
      <c r="F23" s="206"/>
      <c r="G23" s="206"/>
      <c r="H23" s="207"/>
      <c r="I23" s="45"/>
      <c r="J23" s="184">
        <f t="shared" si="0"/>
        <v>0</v>
      </c>
      <c r="K23" s="185"/>
    </row>
    <row r="24" spans="1:11" ht="15" customHeight="1">
      <c r="A24" s="181"/>
      <c r="B24" s="182"/>
      <c r="C24" s="183"/>
      <c r="D24" s="183"/>
      <c r="E24" s="205"/>
      <c r="F24" s="206"/>
      <c r="G24" s="206"/>
      <c r="H24" s="207"/>
      <c r="I24" s="45"/>
      <c r="J24" s="184">
        <f t="shared" si="0"/>
        <v>0</v>
      </c>
      <c r="K24" s="185"/>
    </row>
    <row r="25" spans="1:11" ht="15" customHeight="1">
      <c r="A25" s="181"/>
      <c r="B25" s="182"/>
      <c r="C25" s="183"/>
      <c r="D25" s="183"/>
      <c r="E25" s="199"/>
      <c r="F25" s="200"/>
      <c r="G25" s="200"/>
      <c r="H25" s="201"/>
      <c r="I25" s="46"/>
      <c r="J25" s="184">
        <f t="shared" si="0"/>
        <v>0</v>
      </c>
      <c r="K25" s="185"/>
    </row>
    <row r="26" spans="1:11" ht="15" customHeight="1">
      <c r="A26" s="181"/>
      <c r="B26" s="182"/>
      <c r="C26" s="183"/>
      <c r="D26" s="183"/>
      <c r="E26" s="199"/>
      <c r="F26" s="200"/>
      <c r="G26" s="200"/>
      <c r="H26" s="201"/>
      <c r="I26" s="46"/>
      <c r="J26" s="184">
        <f t="shared" si="0"/>
        <v>0</v>
      </c>
      <c r="K26" s="185"/>
    </row>
    <row r="27" spans="1:11" ht="15" customHeight="1">
      <c r="A27" s="181"/>
      <c r="B27" s="182"/>
      <c r="C27" s="183"/>
      <c r="D27" s="183"/>
      <c r="E27" s="199"/>
      <c r="F27" s="200"/>
      <c r="G27" s="200"/>
      <c r="H27" s="201"/>
      <c r="I27" s="46"/>
      <c r="J27" s="184">
        <f t="shared" si="0"/>
        <v>0</v>
      </c>
      <c r="K27" s="185"/>
    </row>
    <row r="28" spans="1:11">
      <c r="A28" s="181"/>
      <c r="B28" s="182"/>
      <c r="C28" s="183"/>
      <c r="D28" s="183"/>
      <c r="E28" s="196"/>
      <c r="F28" s="197"/>
      <c r="G28" s="197"/>
      <c r="H28" s="198"/>
      <c r="I28" s="46"/>
      <c r="J28" s="184">
        <f t="shared" si="0"/>
        <v>0</v>
      </c>
      <c r="K28" s="185"/>
    </row>
    <row r="29" spans="1:11">
      <c r="A29" s="181"/>
      <c r="B29" s="182"/>
      <c r="C29" s="183"/>
      <c r="D29" s="183"/>
      <c r="E29" s="196"/>
      <c r="F29" s="197"/>
      <c r="G29" s="197"/>
      <c r="H29" s="198"/>
      <c r="I29" s="46"/>
      <c r="J29" s="184">
        <f t="shared" si="0"/>
        <v>0</v>
      </c>
      <c r="K29" s="185"/>
    </row>
    <row r="30" spans="1:11">
      <c r="A30" s="181"/>
      <c r="B30" s="182"/>
      <c r="C30" s="183"/>
      <c r="D30" s="183"/>
      <c r="E30" s="183"/>
      <c r="F30" s="183"/>
      <c r="G30" s="183"/>
      <c r="H30" s="183"/>
      <c r="I30" s="45"/>
      <c r="J30" s="184">
        <f t="shared" ref="J30:J34" si="1">I30*A30</f>
        <v>0</v>
      </c>
      <c r="K30" s="185"/>
    </row>
    <row r="31" spans="1:11">
      <c r="A31" s="181"/>
      <c r="B31" s="182"/>
      <c r="C31" s="183"/>
      <c r="D31" s="183"/>
      <c r="E31" s="183"/>
      <c r="F31" s="183"/>
      <c r="G31" s="183"/>
      <c r="H31" s="183"/>
      <c r="I31" s="45"/>
      <c r="J31" s="184">
        <f t="shared" si="1"/>
        <v>0</v>
      </c>
      <c r="K31" s="185"/>
    </row>
    <row r="32" spans="1:11">
      <c r="A32" s="181"/>
      <c r="B32" s="182"/>
      <c r="C32" s="183"/>
      <c r="D32" s="183"/>
      <c r="E32" s="183"/>
      <c r="F32" s="183"/>
      <c r="G32" s="183"/>
      <c r="H32" s="183"/>
      <c r="I32" s="45"/>
      <c r="J32" s="184">
        <f t="shared" si="1"/>
        <v>0</v>
      </c>
      <c r="K32" s="185"/>
    </row>
    <row r="33" spans="1:11">
      <c r="A33" s="181"/>
      <c r="B33" s="182"/>
      <c r="C33" s="183"/>
      <c r="D33" s="183"/>
      <c r="E33" s="183"/>
      <c r="F33" s="183"/>
      <c r="G33" s="183"/>
      <c r="H33" s="183"/>
      <c r="I33" s="45"/>
      <c r="J33" s="184">
        <f t="shared" si="1"/>
        <v>0</v>
      </c>
      <c r="K33" s="185"/>
    </row>
    <row r="34" spans="1:11">
      <c r="A34" s="181"/>
      <c r="B34" s="182"/>
      <c r="C34" s="183"/>
      <c r="D34" s="183"/>
      <c r="E34" s="183"/>
      <c r="F34" s="183"/>
      <c r="G34" s="183"/>
      <c r="H34" s="183"/>
      <c r="I34" s="45"/>
      <c r="J34" s="184">
        <f t="shared" si="1"/>
        <v>0</v>
      </c>
      <c r="K34" s="185"/>
    </row>
    <row r="35" spans="1:11">
      <c r="A35" s="181"/>
      <c r="B35" s="182"/>
      <c r="C35" s="183"/>
      <c r="D35" s="183"/>
      <c r="E35" s="183"/>
      <c r="F35" s="183"/>
      <c r="G35" s="183"/>
      <c r="H35" s="183"/>
      <c r="I35" s="45"/>
      <c r="J35" s="184"/>
      <c r="K35" s="185"/>
    </row>
    <row r="36" spans="1:11">
      <c r="A36" s="181"/>
      <c r="B36" s="182"/>
      <c r="C36" s="183"/>
      <c r="D36" s="183"/>
      <c r="E36" s="183"/>
      <c r="F36" s="183"/>
      <c r="G36" s="183"/>
      <c r="H36" s="183"/>
      <c r="I36" s="45"/>
      <c r="J36" s="184"/>
      <c r="K36" s="185"/>
    </row>
    <row r="37" spans="1:11">
      <c r="A37" s="181"/>
      <c r="B37" s="182"/>
      <c r="C37" s="183"/>
      <c r="D37" s="183"/>
      <c r="E37" s="183"/>
      <c r="F37" s="183"/>
      <c r="G37" s="183"/>
      <c r="H37" s="183"/>
      <c r="I37" s="45"/>
      <c r="J37" s="184"/>
      <c r="K37" s="185"/>
    </row>
    <row r="38" spans="1:11">
      <c r="A38" s="181"/>
      <c r="B38" s="182"/>
      <c r="C38" s="183"/>
      <c r="D38" s="183"/>
      <c r="E38" s="183"/>
      <c r="F38" s="183"/>
      <c r="G38" s="183"/>
      <c r="H38" s="183"/>
      <c r="I38" s="45"/>
      <c r="J38" s="184"/>
      <c r="K38" s="185"/>
    </row>
    <row r="39" spans="1:11">
      <c r="A39" s="181"/>
      <c r="B39" s="182"/>
      <c r="C39" s="183"/>
      <c r="D39" s="183"/>
      <c r="E39" s="183"/>
      <c r="F39" s="183"/>
      <c r="G39" s="183"/>
      <c r="H39" s="183"/>
      <c r="I39" s="45"/>
      <c r="J39" s="184"/>
      <c r="K39" s="185"/>
    </row>
    <row r="40" spans="1:11">
      <c r="A40" s="181"/>
      <c r="B40" s="182"/>
      <c r="C40" s="183"/>
      <c r="D40" s="183"/>
      <c r="E40" s="183"/>
      <c r="F40" s="183"/>
      <c r="G40" s="183"/>
      <c r="H40" s="183"/>
      <c r="I40" s="45"/>
      <c r="J40" s="184"/>
      <c r="K40" s="185"/>
    </row>
    <row r="41" spans="1:11">
      <c r="A41" s="181"/>
      <c r="B41" s="182"/>
      <c r="C41" s="183"/>
      <c r="D41" s="183"/>
      <c r="E41" s="183"/>
      <c r="F41" s="183"/>
      <c r="G41" s="183"/>
      <c r="H41" s="183"/>
      <c r="I41" s="45"/>
      <c r="J41" s="184"/>
      <c r="K41" s="185"/>
    </row>
    <row r="42" spans="1:11">
      <c r="A42" s="181"/>
      <c r="B42" s="182"/>
      <c r="C42" s="183"/>
      <c r="D42" s="183"/>
      <c r="E42" s="183"/>
      <c r="F42" s="183"/>
      <c r="G42" s="183"/>
      <c r="H42" s="183"/>
      <c r="I42" s="45"/>
      <c r="J42" s="184"/>
      <c r="K42" s="185"/>
    </row>
    <row r="43" spans="1:11">
      <c r="A43" s="181"/>
      <c r="B43" s="182"/>
      <c r="C43" s="183"/>
      <c r="D43" s="183"/>
      <c r="E43" s="183"/>
      <c r="F43" s="183"/>
      <c r="G43" s="183"/>
      <c r="H43" s="183"/>
      <c r="I43" s="45"/>
      <c r="J43" s="184"/>
      <c r="K43" s="185"/>
    </row>
    <row r="44" spans="1:11">
      <c r="A44" s="181"/>
      <c r="B44" s="182"/>
      <c r="C44" s="183"/>
      <c r="D44" s="183"/>
      <c r="E44" s="183"/>
      <c r="F44" s="183"/>
      <c r="G44" s="183"/>
      <c r="H44" s="183"/>
      <c r="I44" s="45"/>
      <c r="J44" s="184"/>
      <c r="K44" s="185"/>
    </row>
    <row r="45" spans="1:11">
      <c r="A45" s="181"/>
      <c r="B45" s="182"/>
      <c r="C45" s="183"/>
      <c r="D45" s="183"/>
      <c r="E45" s="183"/>
      <c r="F45" s="183"/>
      <c r="G45" s="183"/>
      <c r="H45" s="183"/>
      <c r="I45" s="45"/>
      <c r="J45" s="184"/>
      <c r="K45" s="185"/>
    </row>
    <row r="46" spans="1:11">
      <c r="A46" s="181"/>
      <c r="B46" s="182"/>
      <c r="C46" s="183"/>
      <c r="D46" s="183"/>
      <c r="E46" s="183"/>
      <c r="F46" s="183"/>
      <c r="G46" s="183"/>
      <c r="H46" s="183"/>
      <c r="I46" s="45"/>
      <c r="J46" s="184"/>
      <c r="K46" s="185"/>
    </row>
    <row r="47" spans="1:11">
      <c r="A47" s="181"/>
      <c r="B47" s="182"/>
      <c r="C47" s="183"/>
      <c r="D47" s="183"/>
      <c r="E47" s="183"/>
      <c r="F47" s="183"/>
      <c r="G47" s="183"/>
      <c r="H47" s="183"/>
      <c r="I47" s="45"/>
      <c r="J47" s="184"/>
      <c r="K47" s="185"/>
    </row>
    <row r="48" spans="1:11">
      <c r="A48" s="181"/>
      <c r="B48" s="182"/>
      <c r="C48" s="183"/>
      <c r="D48" s="183"/>
      <c r="E48" s="183"/>
      <c r="F48" s="183"/>
      <c r="G48" s="183"/>
      <c r="H48" s="183"/>
      <c r="I48" s="45"/>
      <c r="J48" s="184"/>
      <c r="K48" s="185"/>
    </row>
    <row r="49" spans="1:11">
      <c r="A49" s="181"/>
      <c r="B49" s="182"/>
      <c r="C49" s="183"/>
      <c r="D49" s="183"/>
      <c r="E49" s="183"/>
      <c r="F49" s="183"/>
      <c r="G49" s="183"/>
      <c r="H49" s="183"/>
      <c r="I49" s="45"/>
      <c r="J49" s="184"/>
      <c r="K49" s="185"/>
    </row>
    <row r="50" spans="1:11">
      <c r="A50" s="181"/>
      <c r="B50" s="182"/>
      <c r="C50" s="183"/>
      <c r="D50" s="183"/>
      <c r="E50" s="183"/>
      <c r="F50" s="183"/>
      <c r="G50" s="183"/>
      <c r="H50" s="183"/>
      <c r="I50" s="45"/>
      <c r="J50" s="184"/>
      <c r="K50" s="185"/>
    </row>
    <row r="51" spans="1:11">
      <c r="A51" s="181"/>
      <c r="B51" s="182"/>
      <c r="C51" s="183"/>
      <c r="D51" s="183"/>
      <c r="E51" s="183"/>
      <c r="F51" s="183"/>
      <c r="G51" s="183"/>
      <c r="H51" s="183"/>
      <c r="I51" s="45"/>
      <c r="J51" s="184"/>
      <c r="K51" s="185"/>
    </row>
    <row r="52" spans="1:11">
      <c r="A52" s="181"/>
      <c r="B52" s="182"/>
      <c r="C52" s="183"/>
      <c r="D52" s="183"/>
      <c r="E52" s="183"/>
      <c r="F52" s="183"/>
      <c r="G52" s="183"/>
      <c r="H52" s="183"/>
      <c r="I52" s="45"/>
      <c r="J52" s="184"/>
      <c r="K52" s="185"/>
    </row>
    <row r="53" spans="1:11">
      <c r="A53" s="181"/>
      <c r="B53" s="182"/>
      <c r="C53" s="183"/>
      <c r="D53" s="183"/>
      <c r="E53" s="183"/>
      <c r="F53" s="183"/>
      <c r="G53" s="183"/>
      <c r="H53" s="183"/>
      <c r="I53" s="45"/>
      <c r="J53" s="184"/>
      <c r="K53" s="185"/>
    </row>
    <row r="54" spans="1:11">
      <c r="A54" s="181"/>
      <c r="B54" s="182"/>
      <c r="C54" s="183"/>
      <c r="D54" s="183"/>
      <c r="E54" s="183"/>
      <c r="F54" s="183"/>
      <c r="G54" s="183"/>
      <c r="H54" s="183"/>
      <c r="I54" s="45"/>
      <c r="J54" s="184"/>
      <c r="K54" s="185"/>
    </row>
    <row r="55" spans="1:11">
      <c r="A55" s="181"/>
      <c r="B55" s="182"/>
      <c r="C55" s="183"/>
      <c r="D55" s="183"/>
      <c r="E55" s="183"/>
      <c r="F55" s="183"/>
      <c r="G55" s="183"/>
      <c r="H55" s="183"/>
      <c r="I55" s="45"/>
      <c r="J55" s="184"/>
      <c r="K55" s="185"/>
    </row>
    <row r="56" spans="1:11">
      <c r="A56" s="181"/>
      <c r="B56" s="182"/>
      <c r="C56" s="183"/>
      <c r="D56" s="183"/>
      <c r="E56" s="183"/>
      <c r="F56" s="183"/>
      <c r="G56" s="183"/>
      <c r="H56" s="183"/>
      <c r="I56" s="46"/>
      <c r="J56" s="222"/>
      <c r="K56" s="223"/>
    </row>
    <row r="57" spans="1:11" ht="15" thickBot="1">
      <c r="A57" s="190" t="s">
        <v>20</v>
      </c>
      <c r="B57" s="191"/>
      <c r="C57" s="191"/>
      <c r="D57" s="191"/>
      <c r="E57" s="191"/>
      <c r="F57" s="191"/>
      <c r="G57" s="191"/>
      <c r="H57" s="191"/>
      <c r="I57" s="192"/>
      <c r="J57" s="193" t="e">
        <f>SUM(J19:K55)</f>
        <v>#REF!</v>
      </c>
      <c r="K57" s="194"/>
    </row>
    <row r="58" spans="1:11">
      <c r="A58" s="4"/>
      <c r="K58" s="5"/>
    </row>
    <row r="59" spans="1:11">
      <c r="A59" s="4"/>
      <c r="K59" s="5"/>
    </row>
    <row r="60" spans="1:11">
      <c r="A60" s="4"/>
      <c r="B60" s="186" t="s">
        <v>65</v>
      </c>
      <c r="C60" s="186"/>
      <c r="D60" s="186"/>
      <c r="E60" s="186"/>
      <c r="H60" s="187" t="s">
        <v>5</v>
      </c>
      <c r="I60" s="187"/>
      <c r="J60" s="187"/>
      <c r="K60" s="5"/>
    </row>
    <row r="61" spans="1:11">
      <c r="A61" s="4"/>
      <c r="B61" s="188" t="s">
        <v>21</v>
      </c>
      <c r="C61" s="188"/>
      <c r="D61" s="188"/>
      <c r="E61" s="188"/>
      <c r="H61" s="188" t="s">
        <v>22</v>
      </c>
      <c r="I61" s="188"/>
      <c r="J61" s="188"/>
      <c r="K61" s="5"/>
    </row>
    <row r="62" spans="1:11">
      <c r="A62" s="4"/>
      <c r="B62" s="189"/>
      <c r="C62" s="189"/>
      <c r="D62" s="189"/>
      <c r="E62" s="189"/>
      <c r="H62" s="188" t="s">
        <v>23</v>
      </c>
      <c r="I62" s="188"/>
      <c r="J62" s="188"/>
      <c r="K62" s="5"/>
    </row>
    <row r="63" spans="1:11" ht="5.0999999999999996" customHeight="1" thickBot="1">
      <c r="A63" s="9"/>
      <c r="B63" s="10"/>
      <c r="C63" s="10"/>
      <c r="D63" s="10"/>
      <c r="E63" s="10"/>
      <c r="F63" s="10"/>
      <c r="G63" s="10"/>
      <c r="H63" s="10"/>
      <c r="I63" s="10"/>
      <c r="J63" s="10"/>
      <c r="K63" s="11"/>
    </row>
  </sheetData>
  <mergeCells count="177">
    <mergeCell ref="B60:E60"/>
    <mergeCell ref="H60:J60"/>
    <mergeCell ref="B61:E61"/>
    <mergeCell ref="H61:J61"/>
    <mergeCell ref="B62:E62"/>
    <mergeCell ref="H62:J62"/>
    <mergeCell ref="A56:B56"/>
    <mergeCell ref="C56:D56"/>
    <mergeCell ref="E56:H56"/>
    <mergeCell ref="J56:K56"/>
    <mergeCell ref="A57:I57"/>
    <mergeCell ref="J57:K57"/>
    <mergeCell ref="A54:B54"/>
    <mergeCell ref="C54:D54"/>
    <mergeCell ref="E54:H54"/>
    <mergeCell ref="J54:K54"/>
    <mergeCell ref="A55:B55"/>
    <mergeCell ref="C55:D55"/>
    <mergeCell ref="E55:H55"/>
    <mergeCell ref="J55:K55"/>
    <mergeCell ref="A52:B52"/>
    <mergeCell ref="C52:D52"/>
    <mergeCell ref="E52:H52"/>
    <mergeCell ref="J52:K52"/>
    <mergeCell ref="A53:B53"/>
    <mergeCell ref="C53:D53"/>
    <mergeCell ref="E53:H53"/>
    <mergeCell ref="J53:K53"/>
    <mergeCell ref="A50:B50"/>
    <mergeCell ref="C50:D50"/>
    <mergeCell ref="E50:H50"/>
    <mergeCell ref="J50:K50"/>
    <mergeCell ref="A51:B51"/>
    <mergeCell ref="C51:D51"/>
    <mergeCell ref="E51:H51"/>
    <mergeCell ref="J51:K51"/>
    <mergeCell ref="A48:B48"/>
    <mergeCell ref="C48:D48"/>
    <mergeCell ref="E48:H48"/>
    <mergeCell ref="J48:K48"/>
    <mergeCell ref="A49:B49"/>
    <mergeCell ref="C49:D49"/>
    <mergeCell ref="E49:H49"/>
    <mergeCell ref="J49:K49"/>
    <mergeCell ref="A46:B46"/>
    <mergeCell ref="C46:D46"/>
    <mergeCell ref="E46:H46"/>
    <mergeCell ref="J46:K46"/>
    <mergeCell ref="A47:B47"/>
    <mergeCell ref="C47:D47"/>
    <mergeCell ref="E47:H47"/>
    <mergeCell ref="J47:K47"/>
    <mergeCell ref="A44:B44"/>
    <mergeCell ref="C44:D44"/>
    <mergeCell ref="E44:H44"/>
    <mergeCell ref="J44:K44"/>
    <mergeCell ref="A45:B45"/>
    <mergeCell ref="C45:D45"/>
    <mergeCell ref="E45:H45"/>
    <mergeCell ref="J45:K45"/>
    <mergeCell ref="A42:B42"/>
    <mergeCell ref="C42:D42"/>
    <mergeCell ref="E42:H42"/>
    <mergeCell ref="J42:K42"/>
    <mergeCell ref="A43:B43"/>
    <mergeCell ref="C43:D43"/>
    <mergeCell ref="E43:H43"/>
    <mergeCell ref="J43:K43"/>
    <mergeCell ref="A40:B40"/>
    <mergeCell ref="C40:D40"/>
    <mergeCell ref="E40:H40"/>
    <mergeCell ref="J40:K40"/>
    <mergeCell ref="A41:B41"/>
    <mergeCell ref="C41:D41"/>
    <mergeCell ref="E41:H41"/>
    <mergeCell ref="J41:K41"/>
    <mergeCell ref="A38:B38"/>
    <mergeCell ref="C38:D38"/>
    <mergeCell ref="E38:H38"/>
    <mergeCell ref="J38:K38"/>
    <mergeCell ref="A39:B39"/>
    <mergeCell ref="C39:D39"/>
    <mergeCell ref="E39:H39"/>
    <mergeCell ref="J39:K39"/>
    <mergeCell ref="A36:B36"/>
    <mergeCell ref="C36:D36"/>
    <mergeCell ref="E36:H36"/>
    <mergeCell ref="J36:K36"/>
    <mergeCell ref="A37:B37"/>
    <mergeCell ref="C37:D37"/>
    <mergeCell ref="E37:H37"/>
    <mergeCell ref="J37:K37"/>
    <mergeCell ref="A34:B34"/>
    <mergeCell ref="C34:D34"/>
    <mergeCell ref="E34:H34"/>
    <mergeCell ref="J34:K34"/>
    <mergeCell ref="A35:B35"/>
    <mergeCell ref="C35:D35"/>
    <mergeCell ref="E35:H35"/>
    <mergeCell ref="J35:K35"/>
    <mergeCell ref="A32:B32"/>
    <mergeCell ref="C32:D32"/>
    <mergeCell ref="E32:H32"/>
    <mergeCell ref="J32:K32"/>
    <mergeCell ref="A33:B33"/>
    <mergeCell ref="C33:D33"/>
    <mergeCell ref="E33:H33"/>
    <mergeCell ref="J33:K33"/>
    <mergeCell ref="A30:B30"/>
    <mergeCell ref="C30:D30"/>
    <mergeCell ref="E30:H30"/>
    <mergeCell ref="J30:K30"/>
    <mergeCell ref="A31:B31"/>
    <mergeCell ref="C31:D31"/>
    <mergeCell ref="E31:H31"/>
    <mergeCell ref="J31:K31"/>
    <mergeCell ref="A28:B28"/>
    <mergeCell ref="C28:D28"/>
    <mergeCell ref="E28:H28"/>
    <mergeCell ref="J28:K28"/>
    <mergeCell ref="A29:B29"/>
    <mergeCell ref="C29:D29"/>
    <mergeCell ref="E29:H29"/>
    <mergeCell ref="J29:K29"/>
    <mergeCell ref="A26:B26"/>
    <mergeCell ref="C26:D26"/>
    <mergeCell ref="J26:K26"/>
    <mergeCell ref="A27:B27"/>
    <mergeCell ref="C27:D27"/>
    <mergeCell ref="J27:K27"/>
    <mergeCell ref="A24:B24"/>
    <mergeCell ref="C24:D24"/>
    <mergeCell ref="E24:H24"/>
    <mergeCell ref="J24:K24"/>
    <mergeCell ref="A25:B25"/>
    <mergeCell ref="C25:D25"/>
    <mergeCell ref="J25:K25"/>
    <mergeCell ref="E25:H25"/>
    <mergeCell ref="E26:H26"/>
    <mergeCell ref="E27:H27"/>
    <mergeCell ref="A22:B22"/>
    <mergeCell ref="C22:D22"/>
    <mergeCell ref="J22:K22"/>
    <mergeCell ref="A23:B23"/>
    <mergeCell ref="C23:D23"/>
    <mergeCell ref="E23:H23"/>
    <mergeCell ref="J23:K23"/>
    <mergeCell ref="A20:B20"/>
    <mergeCell ref="C20:D20"/>
    <mergeCell ref="J20:K20"/>
    <mergeCell ref="A21:B21"/>
    <mergeCell ref="C21:D21"/>
    <mergeCell ref="J21:K21"/>
    <mergeCell ref="E20:H20"/>
    <mergeCell ref="E21:H21"/>
    <mergeCell ref="E22:H22"/>
    <mergeCell ref="E16:I16"/>
    <mergeCell ref="A18:B18"/>
    <mergeCell ref="C18:D18"/>
    <mergeCell ref="E18:H18"/>
    <mergeCell ref="J18:K18"/>
    <mergeCell ref="A19:B19"/>
    <mergeCell ref="C19:D19"/>
    <mergeCell ref="E19:H19"/>
    <mergeCell ref="J19:K19"/>
    <mergeCell ref="I8:J8"/>
    <mergeCell ref="C9:H9"/>
    <mergeCell ref="G13:J13"/>
    <mergeCell ref="B14:C14"/>
    <mergeCell ref="D14:J14"/>
    <mergeCell ref="F15:J15"/>
    <mergeCell ref="B2:J2"/>
    <mergeCell ref="B3:J3"/>
    <mergeCell ref="B4:J4"/>
    <mergeCell ref="B5:J5"/>
    <mergeCell ref="B6:J6"/>
    <mergeCell ref="I7:J7"/>
  </mergeCells>
  <pageMargins left="0.12" right="0.12" top="0.12" bottom="0.12" header="0.3" footer="0.2"/>
  <pageSetup paperSize="9" scale="95"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322F0-5C3B-428C-9CDB-0D3FD5FBC1DD}">
  <dimension ref="A1:N64"/>
  <sheetViews>
    <sheetView view="pageBreakPreview" zoomScale="115" zoomScaleNormal="100" zoomScaleSheetLayoutView="115" workbookViewId="0">
      <selection activeCell="P15" sqref="P15:Q15"/>
    </sheetView>
  </sheetViews>
  <sheetFormatPr defaultColWidth="9.21875" defaultRowHeight="15.6"/>
  <cols>
    <col min="1" max="1" width="0.77734375" style="12" customWidth="1"/>
    <col min="2" max="2" width="5.21875" style="8" customWidth="1"/>
    <col min="3" max="3" width="3" style="12" customWidth="1"/>
    <col min="4" max="4" width="2" style="12" customWidth="1"/>
    <col min="5" max="6" width="4.77734375" style="12" customWidth="1"/>
    <col min="7" max="7" width="8.21875" style="12" customWidth="1"/>
    <col min="8" max="8" width="36.5546875" style="12" customWidth="1"/>
    <col min="9" max="9" width="7" style="12" customWidth="1"/>
    <col min="10" max="10" width="2.77734375" style="12" customWidth="1"/>
    <col min="11" max="11" width="10.44140625" style="12" customWidth="1"/>
    <col min="12" max="12" width="7.44140625" style="12" customWidth="1"/>
    <col min="13" max="13" width="15.77734375" style="12" customWidth="1"/>
    <col min="14" max="14" width="0.77734375" style="12" customWidth="1"/>
    <col min="15" max="16384" width="9.21875" style="12"/>
  </cols>
  <sheetData>
    <row r="1" spans="1:14" ht="5.0999999999999996" customHeight="1">
      <c r="A1" s="13"/>
      <c r="B1" s="14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6"/>
    </row>
    <row r="2" spans="1:14" ht="22.8">
      <c r="A2" s="17"/>
      <c r="B2" s="292" t="s">
        <v>24</v>
      </c>
      <c r="C2" s="292"/>
      <c r="D2" s="292"/>
      <c r="E2" s="292"/>
      <c r="F2" s="292"/>
      <c r="G2" s="292"/>
      <c r="H2" s="292"/>
      <c r="I2" s="292"/>
      <c r="J2" s="292"/>
      <c r="K2" s="292"/>
      <c r="L2" s="292"/>
      <c r="M2" s="292"/>
      <c r="N2" s="18"/>
    </row>
    <row r="3" spans="1:14">
      <c r="A3" s="17"/>
      <c r="B3" s="293" t="s">
        <v>25</v>
      </c>
      <c r="C3" s="293"/>
      <c r="D3" s="293"/>
      <c r="E3" s="293"/>
      <c r="F3" s="293"/>
      <c r="G3" s="293"/>
      <c r="H3" s="293"/>
      <c r="I3" s="293"/>
      <c r="J3" s="293"/>
      <c r="K3" s="293"/>
      <c r="L3" s="293"/>
      <c r="M3" s="293"/>
      <c r="N3" s="18"/>
    </row>
    <row r="4" spans="1:14">
      <c r="A4" s="17"/>
      <c r="B4" s="251" t="s">
        <v>26</v>
      </c>
      <c r="C4" s="251"/>
      <c r="D4" s="251"/>
      <c r="E4" s="251"/>
      <c r="F4" s="251"/>
      <c r="G4" s="251"/>
      <c r="H4" s="251"/>
      <c r="I4" s="251"/>
      <c r="J4" s="251"/>
      <c r="K4" s="251"/>
      <c r="L4" s="251"/>
      <c r="M4" s="251"/>
      <c r="N4" s="18"/>
    </row>
    <row r="5" spans="1:14" ht="5.0999999999999996" customHeight="1" thickBot="1">
      <c r="A5" s="17"/>
      <c r="B5" s="127"/>
      <c r="C5" s="127"/>
      <c r="D5" s="127"/>
      <c r="E5" s="127"/>
      <c r="F5" s="127"/>
      <c r="G5" s="127"/>
      <c r="H5" s="127"/>
      <c r="I5" s="127"/>
      <c r="J5" s="127"/>
      <c r="K5" s="127"/>
      <c r="L5" s="127"/>
      <c r="M5" s="127"/>
      <c r="N5" s="18"/>
    </row>
    <row r="6" spans="1:14">
      <c r="A6" s="13"/>
      <c r="B6" s="19" t="s">
        <v>27</v>
      </c>
      <c r="C6" s="19"/>
      <c r="D6" s="294" t="s">
        <v>66</v>
      </c>
      <c r="E6" s="294"/>
      <c r="F6" s="294"/>
      <c r="G6" s="294"/>
      <c r="H6" s="294"/>
      <c r="I6" s="20" t="s">
        <v>28</v>
      </c>
      <c r="J6" s="295" t="e">
        <f>#REF!</f>
        <v>#REF!</v>
      </c>
      <c r="K6" s="295"/>
      <c r="L6" s="295"/>
      <c r="M6" s="295"/>
      <c r="N6" s="16"/>
    </row>
    <row r="7" spans="1:14">
      <c r="A7" s="17"/>
      <c r="B7" s="21" t="s">
        <v>29</v>
      </c>
      <c r="C7" s="21"/>
      <c r="D7" s="305" t="s">
        <v>67</v>
      </c>
      <c r="E7" s="305"/>
      <c r="F7" s="305"/>
      <c r="G7" s="305"/>
      <c r="H7" s="305"/>
      <c r="I7" s="22" t="s">
        <v>30</v>
      </c>
      <c r="J7" s="306">
        <f>'Q1'!I7</f>
        <v>44648</v>
      </c>
      <c r="K7" s="306"/>
      <c r="L7" s="306"/>
      <c r="M7" s="306"/>
      <c r="N7" s="18"/>
    </row>
    <row r="8" spans="1:14">
      <c r="A8" s="17"/>
      <c r="B8" s="21" t="s">
        <v>31</v>
      </c>
      <c r="C8" s="305" t="s">
        <v>68</v>
      </c>
      <c r="D8" s="305"/>
      <c r="E8" s="305"/>
      <c r="F8" s="305"/>
      <c r="G8" s="305"/>
      <c r="H8" s="305"/>
      <c r="I8" s="22" t="s">
        <v>32</v>
      </c>
      <c r="J8" s="22"/>
      <c r="K8" s="22"/>
      <c r="L8" s="307"/>
      <c r="M8" s="307"/>
      <c r="N8" s="18"/>
    </row>
    <row r="9" spans="1:14" ht="5.0999999999999996" customHeight="1" thickBot="1">
      <c r="A9" s="23"/>
      <c r="B9" s="24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6"/>
    </row>
    <row r="10" spans="1:14">
      <c r="A10" s="13"/>
      <c r="B10" s="308" t="s">
        <v>33</v>
      </c>
      <c r="C10" s="308"/>
      <c r="D10" s="308"/>
      <c r="E10" s="308"/>
      <c r="F10" s="309" t="s">
        <v>34</v>
      </c>
      <c r="G10" s="309"/>
      <c r="H10" s="309"/>
      <c r="I10" s="309"/>
      <c r="J10" s="309"/>
      <c r="K10" s="309"/>
      <c r="L10" s="309"/>
      <c r="M10" s="309"/>
      <c r="N10" s="16"/>
    </row>
    <row r="11" spans="1:14">
      <c r="A11" s="17"/>
      <c r="B11" s="283"/>
      <c r="C11" s="283"/>
      <c r="D11" s="283"/>
      <c r="E11" s="283"/>
      <c r="F11" s="283"/>
      <c r="G11" s="283"/>
      <c r="H11" s="283"/>
      <c r="I11" s="283"/>
      <c r="J11" s="283"/>
      <c r="K11" s="283"/>
      <c r="L11" s="283"/>
      <c r="M11" s="283"/>
      <c r="N11" s="18"/>
    </row>
    <row r="12" spans="1:14" ht="5.0999999999999996" customHeight="1" thickBot="1">
      <c r="A12" s="23"/>
      <c r="B12" s="303"/>
      <c r="C12" s="303"/>
      <c r="D12" s="303"/>
      <c r="E12" s="303"/>
      <c r="F12" s="303"/>
      <c r="G12" s="303"/>
      <c r="H12" s="303"/>
      <c r="I12" s="303"/>
      <c r="J12" s="303"/>
      <c r="K12" s="303"/>
      <c r="L12" s="303"/>
      <c r="M12" s="303"/>
      <c r="N12" s="26"/>
    </row>
    <row r="13" spans="1:14" ht="5.0999999999999996" customHeight="1">
      <c r="A13" s="13"/>
      <c r="B13" s="19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16"/>
    </row>
    <row r="14" spans="1:14">
      <c r="A14" s="17"/>
      <c r="B14" s="280" t="s">
        <v>35</v>
      </c>
      <c r="C14" s="280"/>
      <c r="D14" s="280"/>
      <c r="E14" s="280"/>
      <c r="F14" s="304" t="s">
        <v>1</v>
      </c>
      <c r="G14" s="304"/>
      <c r="H14" s="304"/>
      <c r="I14" s="282" t="s">
        <v>36</v>
      </c>
      <c r="J14" s="282"/>
      <c r="K14" s="282"/>
      <c r="L14" s="283"/>
      <c r="M14" s="283"/>
      <c r="N14" s="18"/>
    </row>
    <row r="15" spans="1:14">
      <c r="A15" s="17"/>
      <c r="B15" s="280" t="s">
        <v>37</v>
      </c>
      <c r="C15" s="280"/>
      <c r="D15" s="280"/>
      <c r="E15" s="280"/>
      <c r="F15" s="281"/>
      <c r="G15" s="281"/>
      <c r="H15" s="281"/>
      <c r="I15" s="282" t="s">
        <v>38</v>
      </c>
      <c r="J15" s="282"/>
      <c r="K15" s="282"/>
      <c r="L15" s="283"/>
      <c r="M15" s="283"/>
      <c r="N15" s="18"/>
    </row>
    <row r="16" spans="1:14" ht="5.0999999999999996" customHeight="1" thickBot="1">
      <c r="A16" s="23"/>
      <c r="B16" s="27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6"/>
    </row>
    <row r="17" spans="1:14" ht="30" customHeight="1" thickBot="1">
      <c r="A17" s="284" t="s">
        <v>39</v>
      </c>
      <c r="B17" s="285"/>
      <c r="C17" s="285"/>
      <c r="D17" s="286"/>
      <c r="E17" s="287" t="s">
        <v>40</v>
      </c>
      <c r="F17" s="287"/>
      <c r="G17" s="288" t="s">
        <v>41</v>
      </c>
      <c r="H17" s="286"/>
      <c r="I17" s="289" t="s">
        <v>42</v>
      </c>
      <c r="J17" s="289"/>
      <c r="K17" s="289" t="s">
        <v>43</v>
      </c>
      <c r="L17" s="289"/>
      <c r="M17" s="290" t="s">
        <v>44</v>
      </c>
      <c r="N17" s="291"/>
    </row>
    <row r="18" spans="1:14" ht="16.2" thickTop="1">
      <c r="A18" s="271"/>
      <c r="B18" s="272"/>
      <c r="C18" s="272"/>
      <c r="D18" s="273"/>
      <c r="E18" s="227" t="e">
        <f>'Q1'!C19</f>
        <v>#REF!</v>
      </c>
      <c r="F18" s="227"/>
      <c r="G18" s="274" t="e">
        <f>'Q1'!E19</f>
        <v>#REF!</v>
      </c>
      <c r="H18" s="275"/>
      <c r="I18" s="276" t="e">
        <f>'Q1'!A19</f>
        <v>#REF!</v>
      </c>
      <c r="J18" s="277"/>
      <c r="K18" s="230" t="e">
        <f>'Q1'!I19</f>
        <v>#REF!</v>
      </c>
      <c r="L18" s="230"/>
      <c r="M18" s="278" t="e">
        <f>I18*K18</f>
        <v>#REF!</v>
      </c>
      <c r="N18" s="279"/>
    </row>
    <row r="19" spans="1:14" ht="17.25" customHeight="1">
      <c r="A19" s="224"/>
      <c r="B19" s="225"/>
      <c r="C19" s="225"/>
      <c r="D19" s="226"/>
      <c r="E19" s="228" t="e">
        <f>'Q1'!C20</f>
        <v>#REF!</v>
      </c>
      <c r="F19" s="226"/>
      <c r="G19" s="243" t="e">
        <f>'Q1'!E20</f>
        <v>#REF!</v>
      </c>
      <c r="H19" s="244"/>
      <c r="I19" s="235" t="e">
        <f>'Q1'!A20</f>
        <v>#REF!</v>
      </c>
      <c r="J19" s="236"/>
      <c r="K19" s="231" t="e">
        <f>'Q1'!I20</f>
        <v>#REF!</v>
      </c>
      <c r="L19" s="245"/>
      <c r="M19" s="231" t="e">
        <f>I19*K19</f>
        <v>#REF!</v>
      </c>
      <c r="N19" s="232"/>
    </row>
    <row r="20" spans="1:14" ht="17.25" customHeight="1">
      <c r="A20" s="224"/>
      <c r="B20" s="225"/>
      <c r="C20" s="225"/>
      <c r="D20" s="226"/>
      <c r="E20" s="227"/>
      <c r="F20" s="227"/>
      <c r="G20" s="243"/>
      <c r="H20" s="244"/>
      <c r="I20" s="235"/>
      <c r="J20" s="236"/>
      <c r="K20" s="230">
        <f>'Q1'!I21</f>
        <v>0</v>
      </c>
      <c r="L20" s="230"/>
      <c r="M20" s="231">
        <f t="shared" ref="M20:M33" si="0">I20*K20</f>
        <v>0</v>
      </c>
      <c r="N20" s="232"/>
    </row>
    <row r="21" spans="1:14" ht="17.25" customHeight="1">
      <c r="A21" s="224"/>
      <c r="B21" s="225"/>
      <c r="C21" s="225"/>
      <c r="D21" s="226"/>
      <c r="E21" s="227"/>
      <c r="F21" s="227"/>
      <c r="G21" s="243"/>
      <c r="H21" s="244"/>
      <c r="I21" s="235"/>
      <c r="J21" s="236"/>
      <c r="K21" s="230">
        <f>'Q1'!I22</f>
        <v>0</v>
      </c>
      <c r="L21" s="230"/>
      <c r="M21" s="231">
        <f t="shared" si="0"/>
        <v>0</v>
      </c>
      <c r="N21" s="232"/>
    </row>
    <row r="22" spans="1:14" ht="17.25" customHeight="1">
      <c r="A22" s="224"/>
      <c r="B22" s="225"/>
      <c r="C22" s="225"/>
      <c r="D22" s="226"/>
      <c r="E22" s="227"/>
      <c r="F22" s="227"/>
      <c r="G22" s="246"/>
      <c r="H22" s="247"/>
      <c r="I22" s="235"/>
      <c r="J22" s="236"/>
      <c r="K22" s="230">
        <f>'Q1'!I23</f>
        <v>0</v>
      </c>
      <c r="L22" s="230"/>
      <c r="M22" s="231">
        <f t="shared" si="0"/>
        <v>0</v>
      </c>
      <c r="N22" s="232"/>
    </row>
    <row r="23" spans="1:14" ht="16.5" customHeight="1">
      <c r="A23" s="224"/>
      <c r="B23" s="225"/>
      <c r="C23" s="225"/>
      <c r="D23" s="226"/>
      <c r="E23" s="227"/>
      <c r="F23" s="227"/>
      <c r="G23" s="241"/>
      <c r="H23" s="242"/>
      <c r="I23" s="235"/>
      <c r="J23" s="236"/>
      <c r="K23" s="230">
        <f>'Q1'!I24</f>
        <v>0</v>
      </c>
      <c r="L23" s="230"/>
      <c r="M23" s="231">
        <f t="shared" si="0"/>
        <v>0</v>
      </c>
      <c r="N23" s="232"/>
    </row>
    <row r="24" spans="1:14">
      <c r="A24" s="224"/>
      <c r="B24" s="225"/>
      <c r="C24" s="225"/>
      <c r="D24" s="226"/>
      <c r="E24" s="227"/>
      <c r="F24" s="227"/>
      <c r="G24" s="239"/>
      <c r="H24" s="240"/>
      <c r="I24" s="235"/>
      <c r="J24" s="236"/>
      <c r="K24" s="230">
        <f>'Q1'!I25</f>
        <v>0</v>
      </c>
      <c r="L24" s="230"/>
      <c r="M24" s="231">
        <f t="shared" si="0"/>
        <v>0</v>
      </c>
      <c r="N24" s="232"/>
    </row>
    <row r="25" spans="1:14">
      <c r="A25" s="224"/>
      <c r="B25" s="225"/>
      <c r="C25" s="225"/>
      <c r="D25" s="226"/>
      <c r="E25" s="227"/>
      <c r="F25" s="227"/>
      <c r="G25" s="239"/>
      <c r="H25" s="240"/>
      <c r="I25" s="235"/>
      <c r="J25" s="236"/>
      <c r="K25" s="230">
        <f>'Q1'!I26</f>
        <v>0</v>
      </c>
      <c r="L25" s="230"/>
      <c r="M25" s="231">
        <f t="shared" si="0"/>
        <v>0</v>
      </c>
      <c r="N25" s="232"/>
    </row>
    <row r="26" spans="1:14">
      <c r="A26" s="224"/>
      <c r="B26" s="225"/>
      <c r="C26" s="225"/>
      <c r="D26" s="226"/>
      <c r="E26" s="227"/>
      <c r="F26" s="227"/>
      <c r="G26" s="239"/>
      <c r="H26" s="240"/>
      <c r="I26" s="235"/>
      <c r="J26" s="236"/>
      <c r="K26" s="230">
        <f>'Q1'!I27</f>
        <v>0</v>
      </c>
      <c r="L26" s="230"/>
      <c r="M26" s="231">
        <f t="shared" si="0"/>
        <v>0</v>
      </c>
      <c r="N26" s="232"/>
    </row>
    <row r="27" spans="1:14">
      <c r="A27" s="224"/>
      <c r="B27" s="225"/>
      <c r="C27" s="225"/>
      <c r="D27" s="226"/>
      <c r="E27" s="227"/>
      <c r="F27" s="227"/>
      <c r="G27" s="237"/>
      <c r="H27" s="238"/>
      <c r="I27" s="235"/>
      <c r="J27" s="236"/>
      <c r="K27" s="230">
        <f>'Q1'!I28</f>
        <v>0</v>
      </c>
      <c r="L27" s="230"/>
      <c r="M27" s="231">
        <f t="shared" si="0"/>
        <v>0</v>
      </c>
      <c r="N27" s="232"/>
    </row>
    <row r="28" spans="1:14">
      <c r="A28" s="224"/>
      <c r="B28" s="225"/>
      <c r="C28" s="225"/>
      <c r="D28" s="226"/>
      <c r="E28" s="227"/>
      <c r="F28" s="227"/>
      <c r="G28" s="233"/>
      <c r="H28" s="234"/>
      <c r="I28" s="235"/>
      <c r="J28" s="236"/>
      <c r="K28" s="230">
        <f>'Q1'!I29</f>
        <v>0</v>
      </c>
      <c r="L28" s="230"/>
      <c r="M28" s="231">
        <f t="shared" si="0"/>
        <v>0</v>
      </c>
      <c r="N28" s="232"/>
    </row>
    <row r="29" spans="1:14">
      <c r="A29" s="224"/>
      <c r="B29" s="225"/>
      <c r="C29" s="225"/>
      <c r="D29" s="226"/>
      <c r="E29" s="227"/>
      <c r="F29" s="227"/>
      <c r="G29" s="228"/>
      <c r="H29" s="226"/>
      <c r="I29" s="229"/>
      <c r="J29" s="229"/>
      <c r="K29" s="230">
        <f>'Q1'!I30</f>
        <v>0</v>
      </c>
      <c r="L29" s="230"/>
      <c r="M29" s="231">
        <f t="shared" si="0"/>
        <v>0</v>
      </c>
      <c r="N29" s="232"/>
    </row>
    <row r="30" spans="1:14">
      <c r="A30" s="224"/>
      <c r="B30" s="225"/>
      <c r="C30" s="225"/>
      <c r="D30" s="226"/>
      <c r="E30" s="227"/>
      <c r="F30" s="227"/>
      <c r="G30" s="228"/>
      <c r="H30" s="226"/>
      <c r="I30" s="229"/>
      <c r="J30" s="229"/>
      <c r="K30" s="230">
        <f>'Q1'!I31</f>
        <v>0</v>
      </c>
      <c r="L30" s="230"/>
      <c r="M30" s="231">
        <f t="shared" si="0"/>
        <v>0</v>
      </c>
      <c r="N30" s="232"/>
    </row>
    <row r="31" spans="1:14">
      <c r="A31" s="224"/>
      <c r="B31" s="225"/>
      <c r="C31" s="225"/>
      <c r="D31" s="226"/>
      <c r="E31" s="227"/>
      <c r="F31" s="227"/>
      <c r="G31" s="228"/>
      <c r="H31" s="226"/>
      <c r="I31" s="229"/>
      <c r="J31" s="229"/>
      <c r="K31" s="230">
        <f>'Q1'!I32</f>
        <v>0</v>
      </c>
      <c r="L31" s="230"/>
      <c r="M31" s="231">
        <f t="shared" si="0"/>
        <v>0</v>
      </c>
      <c r="N31" s="232"/>
    </row>
    <row r="32" spans="1:14">
      <c r="A32" s="224"/>
      <c r="B32" s="225"/>
      <c r="C32" s="225"/>
      <c r="D32" s="226"/>
      <c r="E32" s="227"/>
      <c r="F32" s="227"/>
      <c r="G32" s="228"/>
      <c r="H32" s="226"/>
      <c r="I32" s="229"/>
      <c r="J32" s="229"/>
      <c r="K32" s="230">
        <f>'Q1'!I33</f>
        <v>0</v>
      </c>
      <c r="L32" s="230"/>
      <c r="M32" s="231">
        <f t="shared" si="0"/>
        <v>0</v>
      </c>
      <c r="N32" s="232"/>
    </row>
    <row r="33" spans="1:14">
      <c r="A33" s="224"/>
      <c r="B33" s="225"/>
      <c r="C33" s="225"/>
      <c r="D33" s="226"/>
      <c r="E33" s="227"/>
      <c r="F33" s="227"/>
      <c r="G33" s="228"/>
      <c r="H33" s="226"/>
      <c r="I33" s="229"/>
      <c r="J33" s="229"/>
      <c r="K33" s="230">
        <f>'Q1'!I34</f>
        <v>0</v>
      </c>
      <c r="L33" s="230"/>
      <c r="M33" s="231">
        <f t="shared" si="0"/>
        <v>0</v>
      </c>
      <c r="N33" s="232"/>
    </row>
    <row r="34" spans="1:14">
      <c r="A34" s="224"/>
      <c r="B34" s="225"/>
      <c r="C34" s="225"/>
      <c r="D34" s="226"/>
      <c r="E34" s="227"/>
      <c r="F34" s="227"/>
      <c r="G34" s="228"/>
      <c r="H34" s="226"/>
      <c r="I34" s="229"/>
      <c r="J34" s="229"/>
      <c r="K34" s="230"/>
      <c r="L34" s="230"/>
      <c r="M34" s="231"/>
      <c r="N34" s="232"/>
    </row>
    <row r="35" spans="1:14">
      <c r="A35" s="224"/>
      <c r="B35" s="225"/>
      <c r="C35" s="225"/>
      <c r="D35" s="226"/>
      <c r="E35" s="227"/>
      <c r="F35" s="227"/>
      <c r="G35" s="228"/>
      <c r="H35" s="226"/>
      <c r="I35" s="229"/>
      <c r="J35" s="229"/>
      <c r="K35" s="230"/>
      <c r="L35" s="230"/>
      <c r="M35" s="231"/>
      <c r="N35" s="232"/>
    </row>
    <row r="36" spans="1:14">
      <c r="A36" s="224"/>
      <c r="B36" s="225"/>
      <c r="C36" s="225"/>
      <c r="D36" s="226"/>
      <c r="E36" s="227"/>
      <c r="F36" s="227"/>
      <c r="G36" s="228"/>
      <c r="H36" s="226"/>
      <c r="I36" s="229"/>
      <c r="J36" s="229"/>
      <c r="K36" s="230"/>
      <c r="L36" s="230"/>
      <c r="M36" s="231"/>
      <c r="N36" s="232"/>
    </row>
    <row r="37" spans="1:14">
      <c r="A37" s="224"/>
      <c r="B37" s="225"/>
      <c r="C37" s="225"/>
      <c r="D37" s="226"/>
      <c r="E37" s="227"/>
      <c r="F37" s="227"/>
      <c r="G37" s="228"/>
      <c r="H37" s="226"/>
      <c r="I37" s="229"/>
      <c r="J37" s="229"/>
      <c r="K37" s="230"/>
      <c r="L37" s="230"/>
      <c r="M37" s="231"/>
      <c r="N37" s="232"/>
    </row>
    <row r="38" spans="1:14">
      <c r="A38" s="224"/>
      <c r="B38" s="225"/>
      <c r="C38" s="225"/>
      <c r="D38" s="226"/>
      <c r="E38" s="227"/>
      <c r="F38" s="227"/>
      <c r="G38" s="228"/>
      <c r="H38" s="226"/>
      <c r="I38" s="229"/>
      <c r="J38" s="229"/>
      <c r="K38" s="230"/>
      <c r="L38" s="230"/>
      <c r="M38" s="231"/>
      <c r="N38" s="232"/>
    </row>
    <row r="39" spans="1:14">
      <c r="A39" s="224"/>
      <c r="B39" s="225"/>
      <c r="C39" s="225"/>
      <c r="D39" s="226"/>
      <c r="E39" s="227"/>
      <c r="F39" s="227"/>
      <c r="G39" s="228"/>
      <c r="H39" s="226"/>
      <c r="I39" s="229"/>
      <c r="J39" s="229"/>
      <c r="K39" s="230"/>
      <c r="L39" s="230"/>
      <c r="M39" s="231"/>
      <c r="N39" s="232"/>
    </row>
    <row r="40" spans="1:14">
      <c r="A40" s="224"/>
      <c r="B40" s="225"/>
      <c r="C40" s="225"/>
      <c r="D40" s="226"/>
      <c r="E40" s="227"/>
      <c r="F40" s="227"/>
      <c r="G40" s="228"/>
      <c r="H40" s="226"/>
      <c r="I40" s="229"/>
      <c r="J40" s="229"/>
      <c r="K40" s="230"/>
      <c r="L40" s="230"/>
      <c r="M40" s="231"/>
      <c r="N40" s="232"/>
    </row>
    <row r="41" spans="1:14">
      <c r="A41" s="224"/>
      <c r="B41" s="225"/>
      <c r="C41" s="225"/>
      <c r="D41" s="226"/>
      <c r="E41" s="227"/>
      <c r="F41" s="227"/>
      <c r="G41" s="228"/>
      <c r="H41" s="226"/>
      <c r="I41" s="229"/>
      <c r="J41" s="229"/>
      <c r="K41" s="230"/>
      <c r="L41" s="230"/>
      <c r="M41" s="231"/>
      <c r="N41" s="232"/>
    </row>
    <row r="42" spans="1:14">
      <c r="A42" s="224"/>
      <c r="B42" s="225"/>
      <c r="C42" s="225"/>
      <c r="D42" s="226"/>
      <c r="E42" s="228"/>
      <c r="F42" s="226"/>
      <c r="G42" s="228"/>
      <c r="H42" s="226"/>
      <c r="I42" s="235"/>
      <c r="J42" s="236"/>
      <c r="K42" s="231"/>
      <c r="L42" s="245"/>
      <c r="M42" s="231"/>
      <c r="N42" s="232"/>
    </row>
    <row r="43" spans="1:14" ht="16.2" thickBot="1">
      <c r="A43" s="301"/>
      <c r="B43" s="302"/>
      <c r="C43" s="302"/>
      <c r="D43" s="300"/>
      <c r="E43" s="299"/>
      <c r="F43" s="300"/>
      <c r="G43" s="299"/>
      <c r="H43" s="300"/>
      <c r="I43" s="299"/>
      <c r="J43" s="300"/>
      <c r="K43" s="296"/>
      <c r="L43" s="298"/>
      <c r="M43" s="296"/>
      <c r="N43" s="297"/>
    </row>
    <row r="44" spans="1:14" ht="16.2" thickBot="1">
      <c r="A44" s="252" t="s">
        <v>20</v>
      </c>
      <c r="B44" s="253"/>
      <c r="C44" s="253"/>
      <c r="D44" s="253"/>
      <c r="E44" s="253"/>
      <c r="F44" s="253"/>
      <c r="G44" s="253"/>
      <c r="H44" s="253"/>
      <c r="I44" s="253"/>
      <c r="J44" s="253"/>
      <c r="K44" s="253"/>
      <c r="L44" s="253"/>
      <c r="M44" s="254" t="e">
        <f>SUM(M18:N43)</f>
        <v>#REF!</v>
      </c>
      <c r="N44" s="255"/>
    </row>
    <row r="45" spans="1:14" ht="15.75" customHeight="1">
      <c r="A45" s="29"/>
      <c r="B45" s="256" t="s">
        <v>45</v>
      </c>
      <c r="C45" s="256"/>
      <c r="D45" s="256"/>
      <c r="E45" s="256"/>
      <c r="F45" s="256"/>
      <c r="G45" s="256"/>
      <c r="H45" s="257" t="s">
        <v>69</v>
      </c>
      <c r="I45" s="257"/>
      <c r="J45" s="257"/>
      <c r="K45" s="257"/>
      <c r="L45" s="257"/>
      <c r="M45" s="257"/>
      <c r="N45" s="16"/>
    </row>
    <row r="46" spans="1:14" ht="4.5" customHeight="1" thickBot="1">
      <c r="A46" s="23"/>
      <c r="B46" s="30"/>
      <c r="C46" s="30"/>
      <c r="D46" s="30"/>
      <c r="E46" s="30"/>
      <c r="F46" s="30"/>
      <c r="G46" s="30"/>
      <c r="H46" s="258"/>
      <c r="I46" s="258"/>
      <c r="J46" s="258"/>
      <c r="K46" s="258"/>
      <c r="L46" s="258"/>
      <c r="M46" s="258"/>
      <c r="N46" s="26"/>
    </row>
    <row r="47" spans="1:14" ht="15.75" customHeight="1">
      <c r="A47" s="13"/>
      <c r="B47" s="259" t="s">
        <v>46</v>
      </c>
      <c r="C47" s="259"/>
      <c r="D47" s="259"/>
      <c r="E47" s="259"/>
      <c r="F47" s="259"/>
      <c r="G47" s="259"/>
      <c r="H47" s="259"/>
      <c r="I47" s="259"/>
      <c r="J47" s="259"/>
      <c r="K47" s="259"/>
      <c r="L47" s="259"/>
      <c r="M47" s="259"/>
      <c r="N47" s="16"/>
    </row>
    <row r="48" spans="1:14">
      <c r="A48" s="17"/>
      <c r="B48" s="260"/>
      <c r="C48" s="260"/>
      <c r="D48" s="260"/>
      <c r="E48" s="260"/>
      <c r="F48" s="260"/>
      <c r="G48" s="260"/>
      <c r="H48" s="260"/>
      <c r="I48" s="260"/>
      <c r="J48" s="260"/>
      <c r="K48" s="260"/>
      <c r="L48" s="260"/>
      <c r="M48" s="260"/>
      <c r="N48" s="18"/>
    </row>
    <row r="49" spans="1:14" ht="5.0999999999999996" customHeight="1" thickBot="1">
      <c r="A49" s="23"/>
      <c r="B49" s="27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6"/>
    </row>
    <row r="50" spans="1:14">
      <c r="A50" s="13"/>
      <c r="B50" s="31" t="s">
        <v>47</v>
      </c>
      <c r="C50" s="31"/>
      <c r="D50" s="31"/>
      <c r="E50" s="31"/>
      <c r="F50" s="31"/>
      <c r="G50" s="31"/>
      <c r="H50" s="31"/>
      <c r="I50" s="31" t="s">
        <v>48</v>
      </c>
      <c r="J50" s="31"/>
      <c r="K50" s="32"/>
      <c r="L50" s="32"/>
      <c r="M50" s="32"/>
      <c r="N50" s="16"/>
    </row>
    <row r="51" spans="1:14">
      <c r="A51" s="17"/>
      <c r="B51" s="33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18"/>
    </row>
    <row r="52" spans="1:14">
      <c r="A52" s="17"/>
      <c r="B52" s="266" t="s">
        <v>71</v>
      </c>
      <c r="C52" s="266"/>
      <c r="D52" s="266"/>
      <c r="E52" s="266"/>
      <c r="F52" s="266"/>
      <c r="G52" s="266"/>
      <c r="H52" s="266"/>
      <c r="I52" s="266" t="s">
        <v>6</v>
      </c>
      <c r="J52" s="266"/>
      <c r="K52" s="266"/>
      <c r="L52" s="266"/>
      <c r="M52" s="266"/>
      <c r="N52" s="18"/>
    </row>
    <row r="53" spans="1:14">
      <c r="A53" s="17"/>
      <c r="B53" s="175" t="s">
        <v>49</v>
      </c>
      <c r="C53" s="175"/>
      <c r="D53" s="175"/>
      <c r="E53" s="175"/>
      <c r="F53" s="175"/>
      <c r="G53" s="175"/>
      <c r="H53" s="175"/>
      <c r="I53" s="175" t="s">
        <v>50</v>
      </c>
      <c r="J53" s="175"/>
      <c r="K53" s="175"/>
      <c r="L53" s="175"/>
      <c r="M53" s="175"/>
      <c r="N53" s="18"/>
    </row>
    <row r="54" spans="1:14">
      <c r="A54" s="17"/>
      <c r="B54" s="269" t="s">
        <v>70</v>
      </c>
      <c r="C54" s="269"/>
      <c r="D54" s="269"/>
      <c r="E54" s="269"/>
      <c r="F54" s="269"/>
      <c r="G54" s="269"/>
      <c r="H54" s="269"/>
      <c r="I54" s="270" t="s">
        <v>51</v>
      </c>
      <c r="J54" s="270"/>
      <c r="K54" s="270"/>
      <c r="L54" s="270"/>
      <c r="M54" s="270"/>
      <c r="N54" s="18"/>
    </row>
    <row r="55" spans="1:14">
      <c r="A55" s="17"/>
      <c r="B55" s="175" t="s">
        <v>2</v>
      </c>
      <c r="C55" s="175"/>
      <c r="D55" s="175"/>
      <c r="E55" s="175"/>
      <c r="F55" s="175"/>
      <c r="G55" s="175"/>
      <c r="H55" s="175"/>
      <c r="I55" s="175" t="s">
        <v>52</v>
      </c>
      <c r="J55" s="175"/>
      <c r="K55" s="175"/>
      <c r="L55" s="175"/>
      <c r="M55" s="175"/>
      <c r="N55" s="18"/>
    </row>
    <row r="56" spans="1:14" ht="5.0999999999999996" customHeight="1" thickBot="1">
      <c r="A56" s="23"/>
      <c r="B56" s="27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6"/>
    </row>
    <row r="57" spans="1:14">
      <c r="A57" s="13"/>
      <c r="B57" s="14" t="s">
        <v>53</v>
      </c>
      <c r="C57" s="15"/>
      <c r="D57" s="15"/>
      <c r="E57" s="15"/>
      <c r="F57" s="261"/>
      <c r="G57" s="261"/>
      <c r="H57" s="261"/>
      <c r="I57" s="35" t="s">
        <v>54</v>
      </c>
      <c r="J57" s="15"/>
      <c r="K57" s="15"/>
      <c r="L57" s="36"/>
      <c r="M57" s="36"/>
      <c r="N57" s="16"/>
    </row>
    <row r="58" spans="1:14">
      <c r="A58" s="17"/>
      <c r="B58" s="37" t="s">
        <v>55</v>
      </c>
      <c r="C58" s="38"/>
      <c r="D58" s="38"/>
      <c r="E58" s="38"/>
      <c r="F58" s="262"/>
      <c r="G58" s="262"/>
      <c r="H58" s="262"/>
      <c r="I58" s="39" t="s">
        <v>56</v>
      </c>
      <c r="J58" s="38"/>
      <c r="K58" s="38"/>
      <c r="L58" s="40"/>
      <c r="M58" s="40"/>
      <c r="N58" s="18"/>
    </row>
    <row r="59" spans="1:14" ht="5.0999999999999996" customHeight="1">
      <c r="A59" s="17"/>
      <c r="B59" s="37"/>
      <c r="C59" s="38"/>
      <c r="D59" s="38"/>
      <c r="E59" s="38"/>
      <c r="F59" s="38"/>
      <c r="G59" s="38"/>
      <c r="H59" s="38"/>
      <c r="I59" s="17"/>
      <c r="J59" s="38"/>
      <c r="K59" s="38"/>
      <c r="L59" s="38"/>
      <c r="M59" s="38"/>
      <c r="N59" s="18"/>
    </row>
    <row r="60" spans="1:14" ht="16.2" thickBot="1">
      <c r="A60" s="263"/>
      <c r="B60" s="264"/>
      <c r="C60" s="264"/>
      <c r="D60" s="264"/>
      <c r="E60" s="264"/>
      <c r="F60" s="264"/>
      <c r="G60" s="264"/>
      <c r="H60" s="264"/>
      <c r="I60" s="265" t="s">
        <v>57</v>
      </c>
      <c r="J60" s="266"/>
      <c r="K60" s="267" t="e">
        <f>M44</f>
        <v>#REF!</v>
      </c>
      <c r="L60" s="268"/>
      <c r="M60" s="268"/>
      <c r="N60" s="18"/>
    </row>
    <row r="61" spans="1:14" ht="16.2" thickTop="1">
      <c r="A61" s="248" t="s">
        <v>58</v>
      </c>
      <c r="B61" s="249"/>
      <c r="C61" s="249"/>
      <c r="D61" s="249"/>
      <c r="E61" s="249"/>
      <c r="F61" s="249"/>
      <c r="G61" s="249"/>
      <c r="H61" s="249"/>
      <c r="I61" s="17"/>
      <c r="J61" s="38"/>
      <c r="K61" s="38"/>
      <c r="L61" s="38"/>
      <c r="M61" s="38"/>
      <c r="N61" s="18"/>
    </row>
    <row r="62" spans="1:14">
      <c r="A62" s="250" t="s">
        <v>59</v>
      </c>
      <c r="B62" s="251"/>
      <c r="C62" s="251"/>
      <c r="D62" s="251"/>
      <c r="E62" s="251"/>
      <c r="F62" s="251"/>
      <c r="G62" s="251"/>
      <c r="H62" s="251"/>
      <c r="I62" s="17"/>
      <c r="J62" s="38"/>
      <c r="K62" s="38"/>
      <c r="L62" s="38"/>
      <c r="M62" s="38"/>
      <c r="N62" s="18"/>
    </row>
    <row r="63" spans="1:14">
      <c r="A63" s="250" t="s">
        <v>60</v>
      </c>
      <c r="B63" s="251"/>
      <c r="C63" s="251"/>
      <c r="D63" s="251"/>
      <c r="E63" s="251"/>
      <c r="F63" s="251"/>
      <c r="G63" s="251"/>
      <c r="H63" s="251"/>
      <c r="I63" s="17"/>
      <c r="J63" s="38"/>
      <c r="K63" s="38"/>
      <c r="L63" s="38"/>
      <c r="M63" s="38"/>
      <c r="N63" s="18"/>
    </row>
    <row r="64" spans="1:14" ht="5.0999999999999996" customHeight="1" thickBot="1">
      <c r="A64" s="23"/>
      <c r="B64" s="27"/>
      <c r="C64" s="28"/>
      <c r="D64" s="28"/>
      <c r="E64" s="28"/>
      <c r="F64" s="28"/>
      <c r="G64" s="28"/>
      <c r="H64" s="28"/>
      <c r="I64" s="23"/>
      <c r="J64" s="28"/>
      <c r="K64" s="28"/>
      <c r="L64" s="28"/>
      <c r="M64" s="28"/>
      <c r="N64" s="26"/>
    </row>
  </sheetData>
  <mergeCells count="206">
    <mergeCell ref="B2:M2"/>
    <mergeCell ref="B3:M3"/>
    <mergeCell ref="B4:M4"/>
    <mergeCell ref="B5:M5"/>
    <mergeCell ref="D6:H6"/>
    <mergeCell ref="J6:M6"/>
    <mergeCell ref="M43:N43"/>
    <mergeCell ref="K43:L43"/>
    <mergeCell ref="I43:J43"/>
    <mergeCell ref="G43:H43"/>
    <mergeCell ref="E43:F43"/>
    <mergeCell ref="A43:D43"/>
    <mergeCell ref="B11:M11"/>
    <mergeCell ref="B12:M12"/>
    <mergeCell ref="B14:E14"/>
    <mergeCell ref="F14:H14"/>
    <mergeCell ref="I14:K14"/>
    <mergeCell ref="L14:M14"/>
    <mergeCell ref="D7:H7"/>
    <mergeCell ref="J7:M7"/>
    <mergeCell ref="C8:H8"/>
    <mergeCell ref="L8:M8"/>
    <mergeCell ref="B10:E10"/>
    <mergeCell ref="F10:M10"/>
    <mergeCell ref="A18:D18"/>
    <mergeCell ref="E18:F18"/>
    <mergeCell ref="G18:H18"/>
    <mergeCell ref="I18:J18"/>
    <mergeCell ref="K18:L18"/>
    <mergeCell ref="M18:N18"/>
    <mergeCell ref="B15:E15"/>
    <mergeCell ref="F15:H15"/>
    <mergeCell ref="I15:K15"/>
    <mergeCell ref="L15:M15"/>
    <mergeCell ref="A17:D17"/>
    <mergeCell ref="E17:F17"/>
    <mergeCell ref="G17:H17"/>
    <mergeCell ref="I17:J17"/>
    <mergeCell ref="K17:L17"/>
    <mergeCell ref="M17:N17"/>
    <mergeCell ref="A38:D38"/>
    <mergeCell ref="E38:F38"/>
    <mergeCell ref="G38:H38"/>
    <mergeCell ref="I38:J38"/>
    <mergeCell ref="K38:L38"/>
    <mergeCell ref="M38:N38"/>
    <mergeCell ref="A37:D37"/>
    <mergeCell ref="E37:F37"/>
    <mergeCell ref="G37:H37"/>
    <mergeCell ref="I37:J37"/>
    <mergeCell ref="K37:L37"/>
    <mergeCell ref="M37:N37"/>
    <mergeCell ref="M44:N44"/>
    <mergeCell ref="B45:G45"/>
    <mergeCell ref="H45:M45"/>
    <mergeCell ref="H46:M46"/>
    <mergeCell ref="B47:M48"/>
    <mergeCell ref="I55:M55"/>
    <mergeCell ref="F57:H57"/>
    <mergeCell ref="F58:H58"/>
    <mergeCell ref="A60:H60"/>
    <mergeCell ref="I60:J60"/>
    <mergeCell ref="K60:M60"/>
    <mergeCell ref="B52:H52"/>
    <mergeCell ref="I52:M52"/>
    <mergeCell ref="B53:H53"/>
    <mergeCell ref="I53:M53"/>
    <mergeCell ref="B54:H54"/>
    <mergeCell ref="I54:M54"/>
    <mergeCell ref="A61:H61"/>
    <mergeCell ref="A62:H62"/>
    <mergeCell ref="A63:H63"/>
    <mergeCell ref="A39:D39"/>
    <mergeCell ref="E39:F39"/>
    <mergeCell ref="G39:H39"/>
    <mergeCell ref="A41:D41"/>
    <mergeCell ref="E41:F41"/>
    <mergeCell ref="G41:H41"/>
    <mergeCell ref="B55:H55"/>
    <mergeCell ref="A44:L44"/>
    <mergeCell ref="I39:J39"/>
    <mergeCell ref="K39:L39"/>
    <mergeCell ref="A42:D42"/>
    <mergeCell ref="E42:F42"/>
    <mergeCell ref="G42:H42"/>
    <mergeCell ref="I42:J42"/>
    <mergeCell ref="K42:L42"/>
    <mergeCell ref="M39:N39"/>
    <mergeCell ref="A40:D40"/>
    <mergeCell ref="E40:F40"/>
    <mergeCell ref="G40:H40"/>
    <mergeCell ref="I40:J40"/>
    <mergeCell ref="K40:L40"/>
    <mergeCell ref="M40:N40"/>
    <mergeCell ref="I41:J41"/>
    <mergeCell ref="K41:L41"/>
    <mergeCell ref="M41:N41"/>
    <mergeCell ref="M42:N42"/>
    <mergeCell ref="A19:D19"/>
    <mergeCell ref="E19:F19"/>
    <mergeCell ref="G19:H19"/>
    <mergeCell ref="I19:J19"/>
    <mergeCell ref="K19:L19"/>
    <mergeCell ref="M19:N19"/>
    <mergeCell ref="A20:D20"/>
    <mergeCell ref="M21:N21"/>
    <mergeCell ref="A22:D22"/>
    <mergeCell ref="E22:F22"/>
    <mergeCell ref="G22:H22"/>
    <mergeCell ref="I22:J22"/>
    <mergeCell ref="K22:L22"/>
    <mergeCell ref="M22:N22"/>
    <mergeCell ref="E20:F20"/>
    <mergeCell ref="G20:H20"/>
    <mergeCell ref="I20:J20"/>
    <mergeCell ref="K20:L20"/>
    <mergeCell ref="M20:N20"/>
    <mergeCell ref="A21:D21"/>
    <mergeCell ref="E21:F21"/>
    <mergeCell ref="G21:H21"/>
    <mergeCell ref="I21:J21"/>
    <mergeCell ref="K21:L21"/>
    <mergeCell ref="A24:D24"/>
    <mergeCell ref="E24:F24"/>
    <mergeCell ref="G24:H24"/>
    <mergeCell ref="I24:J24"/>
    <mergeCell ref="K24:L24"/>
    <mergeCell ref="M24:N24"/>
    <mergeCell ref="A23:D23"/>
    <mergeCell ref="E23:F23"/>
    <mergeCell ref="G23:H23"/>
    <mergeCell ref="I23:J23"/>
    <mergeCell ref="K23:L23"/>
    <mergeCell ref="M23:N23"/>
    <mergeCell ref="A26:D26"/>
    <mergeCell ref="E26:F26"/>
    <mergeCell ref="G26:H26"/>
    <mergeCell ref="I26:J26"/>
    <mergeCell ref="K26:L26"/>
    <mergeCell ref="M26:N26"/>
    <mergeCell ref="A25:D25"/>
    <mergeCell ref="E25:F25"/>
    <mergeCell ref="G25:H25"/>
    <mergeCell ref="I25:J25"/>
    <mergeCell ref="K25:L25"/>
    <mergeCell ref="M25:N25"/>
    <mergeCell ref="A28:D28"/>
    <mergeCell ref="E28:F28"/>
    <mergeCell ref="G28:H28"/>
    <mergeCell ref="I28:J28"/>
    <mergeCell ref="K28:L28"/>
    <mergeCell ref="M28:N28"/>
    <mergeCell ref="A27:D27"/>
    <mergeCell ref="E27:F27"/>
    <mergeCell ref="G27:H27"/>
    <mergeCell ref="I27:J27"/>
    <mergeCell ref="K27:L27"/>
    <mergeCell ref="M27:N27"/>
    <mergeCell ref="A30:D30"/>
    <mergeCell ref="E30:F30"/>
    <mergeCell ref="G30:H30"/>
    <mergeCell ref="I30:J30"/>
    <mergeCell ref="K30:L30"/>
    <mergeCell ref="M30:N30"/>
    <mergeCell ref="A29:D29"/>
    <mergeCell ref="E29:F29"/>
    <mergeCell ref="G29:H29"/>
    <mergeCell ref="I29:J29"/>
    <mergeCell ref="K29:L29"/>
    <mergeCell ref="M29:N29"/>
    <mergeCell ref="A32:D32"/>
    <mergeCell ref="E32:F32"/>
    <mergeCell ref="G32:H32"/>
    <mergeCell ref="I32:J32"/>
    <mergeCell ref="K32:L32"/>
    <mergeCell ref="M32:N32"/>
    <mergeCell ref="A31:D31"/>
    <mergeCell ref="E31:F31"/>
    <mergeCell ref="G31:H31"/>
    <mergeCell ref="I31:J31"/>
    <mergeCell ref="K31:L31"/>
    <mergeCell ref="M31:N31"/>
    <mergeCell ref="A34:D34"/>
    <mergeCell ref="E34:F34"/>
    <mergeCell ref="G34:H34"/>
    <mergeCell ref="I34:J34"/>
    <mergeCell ref="K34:L34"/>
    <mergeCell ref="M34:N34"/>
    <mergeCell ref="A33:D33"/>
    <mergeCell ref="E33:F33"/>
    <mergeCell ref="G33:H33"/>
    <mergeCell ref="I33:J33"/>
    <mergeCell ref="K33:L33"/>
    <mergeCell ref="M33:N33"/>
    <mergeCell ref="A36:D36"/>
    <mergeCell ref="E36:F36"/>
    <mergeCell ref="G36:H36"/>
    <mergeCell ref="I36:J36"/>
    <mergeCell ref="K36:L36"/>
    <mergeCell ref="M36:N36"/>
    <mergeCell ref="A35:D35"/>
    <mergeCell ref="E35:F35"/>
    <mergeCell ref="G35:H35"/>
    <mergeCell ref="I35:J35"/>
    <mergeCell ref="K35:L35"/>
    <mergeCell ref="M35:N35"/>
  </mergeCells>
  <pageMargins left="0.12" right="0.12" top="0.12" bottom="0.12" header="0.3" footer="0.2"/>
  <pageSetup paperSize="9" scale="93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5</vt:i4>
      </vt:variant>
    </vt:vector>
  </HeadingPairs>
  <TitlesOfParts>
    <vt:vector size="14" baseType="lpstr">
      <vt:lpstr>Sheet2</vt:lpstr>
      <vt:lpstr>List</vt:lpstr>
      <vt:lpstr>Sheet1</vt:lpstr>
      <vt:lpstr>PAR</vt:lpstr>
      <vt:lpstr>Sticker</vt:lpstr>
      <vt:lpstr>Q1</vt:lpstr>
      <vt:lpstr>Q2</vt:lpstr>
      <vt:lpstr>Q3</vt:lpstr>
      <vt:lpstr>PO</vt:lpstr>
      <vt:lpstr>PAR!Print_Area</vt:lpstr>
      <vt:lpstr>PO!Print_Area</vt:lpstr>
      <vt:lpstr>'Q1'!Print_Area</vt:lpstr>
      <vt:lpstr>'Q2'!Print_Area</vt:lpstr>
      <vt:lpstr>'Q3'!Print_Area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Karl Manuel Cordora</cp:lastModifiedBy>
  <cp:lastPrinted>2024-08-13T06:57:13Z</cp:lastPrinted>
  <dcterms:created xsi:type="dcterms:W3CDTF">2022-02-11T10:31:57Z</dcterms:created>
  <dcterms:modified xsi:type="dcterms:W3CDTF">2024-08-13T07:56:38Z</dcterms:modified>
</cp:coreProperties>
</file>