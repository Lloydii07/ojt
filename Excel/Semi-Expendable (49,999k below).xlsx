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upply Office\ICS\2026 ICS\"/>
    </mc:Choice>
  </mc:AlternateContent>
  <xr:revisionPtr revIDLastSave="0" documentId="13_ncr:1_{EBCF93E7-BE9D-4CDF-9B14-F5161DA0839D}" xr6:coauthVersionLast="47" xr6:coauthVersionMax="47" xr10:uidLastSave="{00000000-0000-0000-0000-000000000000}"/>
  <bookViews>
    <workbookView xWindow="-108" yWindow="-108" windowWidth="23256" windowHeight="13896" tabRatio="848" firstSheet="1" activeTab="4" xr2:uid="{85E9FE5A-099B-459B-AA83-8AC745C26314}"/>
  </bookViews>
  <sheets>
    <sheet name="Sheet2" sheetId="29" state="hidden" r:id="rId1"/>
    <sheet name="List" sheetId="21" r:id="rId2"/>
    <sheet name="Sheet1" sheetId="23" r:id="rId3"/>
    <sheet name="Printer" sheetId="22" r:id="rId4"/>
    <sheet name="Sticker" sheetId="30" r:id="rId5"/>
    <sheet name="Q1" sheetId="8" state="hidden" r:id="rId6"/>
    <sheet name="Q2" sheetId="10" state="hidden" r:id="rId7"/>
    <sheet name="Q3" sheetId="13" state="hidden" r:id="rId8"/>
    <sheet name="PO" sheetId="5" state="hidden" r:id="rId9"/>
  </sheets>
  <definedNames>
    <definedName name="_xlnm.Print_Area" localSheetId="8">PO!$A$1:$N$64</definedName>
    <definedName name="_xlnm.Print_Area" localSheetId="3">Printer!$A$1:$L$116</definedName>
    <definedName name="_xlnm.Print_Area" localSheetId="5">'Q1'!$A$1:$K$63</definedName>
    <definedName name="_xlnm.Print_Area" localSheetId="6">'Q2'!$A$1:$K$63</definedName>
    <definedName name="_xlnm.Print_Area" localSheetId="7">'Q3'!$A$1:$K$63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0" l="1"/>
  <c r="C23" i="30"/>
  <c r="C22" i="30"/>
  <c r="C20" i="30"/>
  <c r="C19" i="30"/>
  <c r="C18" i="30"/>
  <c r="K21" i="22"/>
  <c r="J21" i="22"/>
  <c r="K20" i="22"/>
  <c r="J20" i="22"/>
  <c r="K19" i="22"/>
  <c r="J19" i="22"/>
  <c r="K18" i="22"/>
  <c r="J18" i="22"/>
  <c r="B18" i="30"/>
  <c r="B19" i="30"/>
  <c r="B20" i="30"/>
  <c r="B21" i="30"/>
  <c r="B22" i="30"/>
  <c r="B23" i="30"/>
  <c r="B24" i="30"/>
  <c r="D18" i="30"/>
  <c r="D19" i="30"/>
  <c r="D20" i="30"/>
  <c r="D21" i="30"/>
  <c r="D22" i="30"/>
  <c r="D23" i="30"/>
  <c r="D24" i="30"/>
  <c r="E18" i="30"/>
  <c r="E19" i="30"/>
  <c r="E20" i="30"/>
  <c r="E21" i="30"/>
  <c r="E22" i="30"/>
  <c r="E23" i="30"/>
  <c r="E24" i="30"/>
  <c r="F18" i="30"/>
  <c r="F19" i="30"/>
  <c r="F20" i="30"/>
  <c r="F21" i="30"/>
  <c r="F22" i="30"/>
  <c r="F23" i="30"/>
  <c r="F24" i="30"/>
  <c r="G18" i="30"/>
  <c r="G19" i="30"/>
  <c r="G20" i="30"/>
  <c r="G21" i="30"/>
  <c r="G22" i="30"/>
  <c r="G23" i="30"/>
  <c r="G24" i="30"/>
  <c r="H18" i="30"/>
  <c r="H19" i="30"/>
  <c r="H20" i="30"/>
  <c r="H21" i="30"/>
  <c r="H22" i="30"/>
  <c r="H23" i="30"/>
  <c r="H24" i="30"/>
  <c r="I18" i="30"/>
  <c r="I19" i="30"/>
  <c r="I20" i="30"/>
  <c r="I21" i="30"/>
  <c r="I22" i="30"/>
  <c r="I23" i="30"/>
  <c r="I24" i="30"/>
  <c r="J18" i="30"/>
  <c r="J19" i="30"/>
  <c r="J20" i="30"/>
  <c r="J21" i="30"/>
  <c r="J22" i="30"/>
  <c r="J23" i="30"/>
  <c r="J24" i="30"/>
  <c r="K18" i="30"/>
  <c r="K19" i="30"/>
  <c r="K20" i="30"/>
  <c r="K21" i="30"/>
  <c r="K22" i="30"/>
  <c r="K23" i="30"/>
  <c r="K24" i="30"/>
  <c r="L18" i="30"/>
  <c r="L19" i="30"/>
  <c r="L20" i="30"/>
  <c r="L21" i="30"/>
  <c r="L22" i="30"/>
  <c r="L23" i="30"/>
  <c r="L24" i="30"/>
  <c r="C21" i="30" l="1"/>
  <c r="I20" i="22"/>
  <c r="I21" i="22"/>
  <c r="E21" i="22"/>
  <c r="E18" i="22"/>
  <c r="B19" i="22"/>
  <c r="C19" i="22"/>
  <c r="N10" i="22" a="1"/>
  <c r="N10" i="22" s="1"/>
  <c r="I19" i="22"/>
  <c r="E19" i="22"/>
  <c r="I18" i="22"/>
  <c r="B21" i="22"/>
  <c r="C21" i="22"/>
  <c r="B20" i="22"/>
  <c r="C20" i="22"/>
  <c r="E20" i="22"/>
  <c r="B18" i="22"/>
  <c r="C18" i="22"/>
  <c r="I116" i="22"/>
  <c r="F19" i="22" l="1"/>
  <c r="F18" i="22"/>
  <c r="F21" i="22"/>
  <c r="F20" i="22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G15" i="30"/>
  <c r="G14" i="30"/>
  <c r="G13" i="30"/>
  <c r="G12" i="30"/>
  <c r="G11" i="30"/>
  <c r="G10" i="30"/>
  <c r="G9" i="30"/>
  <c r="G8" i="30"/>
  <c r="G7" i="30"/>
  <c r="G6" i="30"/>
  <c r="G5" i="30"/>
  <c r="G4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J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G16" i="30"/>
  <c r="G17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J17" i="22" l="1"/>
  <c r="K17" i="22"/>
  <c r="K16" i="22"/>
  <c r="J16" i="22"/>
  <c r="K15" i="22"/>
  <c r="J15" i="22"/>
  <c r="K14" i="22"/>
  <c r="J14" i="22"/>
  <c r="J13" i="22"/>
  <c r="K13" i="22"/>
  <c r="K12" i="22"/>
  <c r="J12" i="22"/>
  <c r="K10" i="22"/>
  <c r="B114" i="22"/>
  <c r="B15" i="22" l="1"/>
  <c r="E15" i="22"/>
  <c r="I15" i="22"/>
  <c r="C15" i="22"/>
  <c r="I14" i="22"/>
  <c r="B14" i="22"/>
  <c r="C14" i="22"/>
  <c r="E14" i="22"/>
  <c r="C16" i="22"/>
  <c r="I16" i="22"/>
  <c r="E16" i="22"/>
  <c r="B16" i="22"/>
  <c r="C17" i="22"/>
  <c r="B17" i="22"/>
  <c r="E17" i="22"/>
  <c r="I17" i="22"/>
  <c r="I13" i="22"/>
  <c r="C13" i="22"/>
  <c r="E13" i="22"/>
  <c r="B13" i="22"/>
  <c r="C12" i="22"/>
  <c r="I12" i="22"/>
  <c r="E12" i="22"/>
  <c r="B12" i="22"/>
  <c r="D7" i="29" a="1"/>
  <c r="D7" i="29" s="1"/>
  <c r="M7" i="29" a="1"/>
  <c r="M7" i="29" s="1"/>
  <c r="D22" i="29" a="1"/>
  <c r="D22" i="29" s="1"/>
  <c r="M22" i="29" a="1"/>
  <c r="M22" i="29" s="1"/>
  <c r="G24" i="29"/>
  <c r="F14" i="22" l="1"/>
  <c r="F16" i="22"/>
  <c r="F17" i="22"/>
  <c r="F15" i="22"/>
  <c r="F13" i="22"/>
  <c r="F12" i="22"/>
  <c r="P9" i="29"/>
  <c r="G9" i="29" l="1"/>
  <c r="J10" i="22"/>
  <c r="I10" i="22" s="1"/>
  <c r="E10" i="22" l="1"/>
  <c r="C10" i="22"/>
  <c r="B10" i="22"/>
  <c r="D1" i="23" a="1"/>
  <c r="D1" i="23" s="1"/>
  <c r="P110" i="22"/>
  <c r="M25" i="29"/>
  <c r="Q16" i="29" a="1"/>
  <c r="Q16" i="29" s="1"/>
  <c r="M10" i="29"/>
  <c r="M9" i="29"/>
  <c r="M8" i="29"/>
  <c r="Q1" i="29" a="1"/>
  <c r="Q1" i="29" s="1"/>
  <c r="D25" i="29"/>
  <c r="D23" i="29"/>
  <c r="D21" i="29"/>
  <c r="D19" i="29"/>
  <c r="H16" i="29" a="1"/>
  <c r="H16" i="29" s="1"/>
  <c r="H1" i="29" a="1"/>
  <c r="H1" i="29" s="1"/>
  <c r="D10" i="29"/>
  <c r="D9" i="29"/>
  <c r="D8" i="29"/>
  <c r="D6" i="29"/>
  <c r="D4" i="29"/>
  <c r="F10" i="22" l="1"/>
  <c r="D24" i="29"/>
  <c r="M19" i="29"/>
  <c r="M21" i="29"/>
  <c r="M23" i="29"/>
  <c r="M4" i="29"/>
  <c r="M24" i="29"/>
  <c r="M6" i="29"/>
  <c r="P24" i="29"/>
  <c r="A1" i="23" l="1" a="1"/>
  <c r="A1" i="23" s="1"/>
  <c r="I114" i="22"/>
  <c r="I112" i="22"/>
  <c r="I110" i="22"/>
  <c r="F96" i="22" l="1"/>
  <c r="I20" i="8" l="1"/>
  <c r="K19" i="5" s="1"/>
  <c r="E20" i="8"/>
  <c r="G19" i="5" s="1"/>
  <c r="C20" i="8"/>
  <c r="E19" i="5" s="1"/>
  <c r="A20" i="8"/>
  <c r="I19" i="5" s="1"/>
  <c r="I19" i="8"/>
  <c r="E19" i="8"/>
  <c r="G18" i="5" s="1"/>
  <c r="C19" i="8"/>
  <c r="E18" i="5" s="1"/>
  <c r="A19" i="10"/>
  <c r="A19" i="13"/>
  <c r="A19" i="8"/>
  <c r="I18" i="5" s="1"/>
  <c r="M19" i="5" l="1"/>
  <c r="D14" i="13"/>
  <c r="D14" i="10"/>
  <c r="J29" i="13"/>
  <c r="J28" i="13"/>
  <c r="J27" i="13"/>
  <c r="J26" i="13"/>
  <c r="J25" i="13"/>
  <c r="J24" i="13"/>
  <c r="J23" i="13"/>
  <c r="J22" i="13"/>
  <c r="J21" i="13"/>
  <c r="J20" i="13"/>
  <c r="J19" i="13"/>
  <c r="J27" i="10"/>
  <c r="J26" i="10"/>
  <c r="J25" i="10"/>
  <c r="J24" i="10"/>
  <c r="J23" i="10"/>
  <c r="J22" i="10"/>
  <c r="J21" i="10"/>
  <c r="J20" i="10"/>
  <c r="J19" i="10"/>
  <c r="J27" i="8"/>
  <c r="J23" i="8"/>
  <c r="J24" i="8"/>
  <c r="J19" i="8"/>
  <c r="J7" i="5"/>
  <c r="I7" i="13"/>
  <c r="I7" i="10"/>
  <c r="K18" i="5"/>
  <c r="K20" i="5"/>
  <c r="K21" i="5"/>
  <c r="K22" i="5"/>
  <c r="K23" i="5"/>
  <c r="K24" i="5"/>
  <c r="K25" i="5"/>
  <c r="K26" i="5"/>
  <c r="K27" i="5"/>
  <c r="K28" i="5"/>
  <c r="K29" i="5"/>
  <c r="K30" i="5"/>
  <c r="M30" i="5" s="1"/>
  <c r="K31" i="5"/>
  <c r="K32" i="5"/>
  <c r="K33" i="5"/>
  <c r="G13" i="13"/>
  <c r="G13" i="10"/>
  <c r="J6" i="5"/>
  <c r="J34" i="13"/>
  <c r="J33" i="13"/>
  <c r="J32" i="13"/>
  <c r="J22" i="8"/>
  <c r="J25" i="8"/>
  <c r="J26" i="8"/>
  <c r="J32" i="8"/>
  <c r="J33" i="8"/>
  <c r="J34" i="8"/>
  <c r="J30" i="8"/>
  <c r="J31" i="8"/>
  <c r="J31" i="13" l="1"/>
  <c r="J30" i="13"/>
  <c r="J32" i="10"/>
  <c r="M18" i="5"/>
  <c r="M27" i="5"/>
  <c r="M31" i="5"/>
  <c r="M23" i="5"/>
  <c r="M22" i="5"/>
  <c r="M26" i="5"/>
  <c r="J33" i="10"/>
  <c r="J31" i="10"/>
  <c r="M33" i="5"/>
  <c r="M25" i="5"/>
  <c r="M32" i="5"/>
  <c r="M24" i="5"/>
  <c r="J21" i="8"/>
  <c r="J29" i="8"/>
  <c r="J28" i="8"/>
  <c r="J20" i="8"/>
  <c r="M29" i="5"/>
  <c r="M21" i="5"/>
  <c r="M28" i="5"/>
  <c r="M20" i="5"/>
  <c r="J34" i="10"/>
  <c r="J57" i="13" l="1"/>
  <c r="J57" i="8"/>
  <c r="J57" i="10"/>
  <c r="M44" i="5"/>
  <c r="K6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<sst xmlns="http://schemas.openxmlformats.org/spreadsheetml/2006/main" count="311" uniqueCount="186">
  <si>
    <t>Department of Education</t>
  </si>
  <si>
    <t>Schools Division Office of Cavite City</t>
  </si>
  <si>
    <t>Date</t>
  </si>
  <si>
    <t>UNIT</t>
  </si>
  <si>
    <t>QUANTITY</t>
  </si>
  <si>
    <t>KARL MANUEL O. CORDORA</t>
  </si>
  <si>
    <t>EDGARDO B. MILITANTE</t>
  </si>
  <si>
    <t>Republic of the Philippines</t>
  </si>
  <si>
    <t>Region IV - A CALABARZON</t>
  </si>
  <si>
    <t>SCHOOLS DIVISION OFFICE OF CAVITE CITY</t>
  </si>
  <si>
    <t>City of Cavite</t>
  </si>
  <si>
    <t>Business Name:</t>
  </si>
  <si>
    <t>Dear Sir/Madam:</t>
  </si>
  <si>
    <t>Please quote your price for the purchase of</t>
  </si>
  <si>
    <r>
      <t>listed hereunder to be used</t>
    </r>
    <r>
      <rPr>
        <i/>
        <u/>
        <sz val="11"/>
        <rFont val="Calibri Light"/>
        <family val="2"/>
        <scheme val="major"/>
      </rPr>
      <t xml:space="preserve">                                                                                           </t>
    </r>
  </si>
  <si>
    <t xml:space="preserve">The supplies/materials will be delivered at the </t>
  </si>
  <si>
    <t>in accordance with the Advice of</t>
  </si>
  <si>
    <t>MATERIALS | PARTICULARS</t>
  </si>
  <si>
    <t>UNIT PRICE</t>
  </si>
  <si>
    <t>TOTAL</t>
  </si>
  <si>
    <t>Total:</t>
  </si>
  <si>
    <t>Signature over Printed Name</t>
  </si>
  <si>
    <t>Administrative Assistant III</t>
  </si>
  <si>
    <t>Designated Supply Officer</t>
  </si>
  <si>
    <t>PURCHASE ORDER</t>
  </si>
  <si>
    <t>DEPED CAVITE CITY</t>
  </si>
  <si>
    <t>Entity Name</t>
  </si>
  <si>
    <t>Supplier:</t>
  </si>
  <si>
    <t>PO No.:</t>
  </si>
  <si>
    <t>Address:</t>
  </si>
  <si>
    <t>Date:</t>
  </si>
  <si>
    <t>TIN:</t>
  </si>
  <si>
    <t>Mode of Procurement:</t>
  </si>
  <si>
    <t>Gentlemen:</t>
  </si>
  <si>
    <t>Please furnish this Office the following articles subject to the terms and conditions contained herein:</t>
  </si>
  <si>
    <t>Place of Delivery:</t>
  </si>
  <si>
    <t>Delivery Term:</t>
  </si>
  <si>
    <t>Date of Delivery:</t>
  </si>
  <si>
    <t>Payment Term:</t>
  </si>
  <si>
    <t>Stock | Property No.</t>
  </si>
  <si>
    <t>Unit</t>
  </si>
  <si>
    <t>Description</t>
  </si>
  <si>
    <t>Qty</t>
  </si>
  <si>
    <t>Unit Cost</t>
  </si>
  <si>
    <t>Amount</t>
  </si>
  <si>
    <t>(Total Amount in Words)</t>
  </si>
  <si>
    <t>In case of failure to make the full delivery within the time specified above, a penalty of one-tenth (1/10) of one percent for every day of delay shall be imposed on the undelivered item/s.</t>
  </si>
  <si>
    <t>Conforme:</t>
  </si>
  <si>
    <t>Very truly yours,</t>
  </si>
  <si>
    <t>Signature over Printed Name of Supplier | Representative</t>
  </si>
  <si>
    <t>Signature over Printed Name of Authorized Official</t>
  </si>
  <si>
    <t>OIC, Schools Division Superintendent</t>
  </si>
  <si>
    <t>Designation</t>
  </si>
  <si>
    <t>Fund Cluster:</t>
  </si>
  <si>
    <t>ORS | BURS No.:</t>
  </si>
  <si>
    <t>Funds Available:</t>
  </si>
  <si>
    <t>Date of ORS | BURS:</t>
  </si>
  <si>
    <t>Amount:</t>
  </si>
  <si>
    <t>MICHELLE L. MATA</t>
  </si>
  <si>
    <t>Signature over Printed Name of Chief</t>
  </si>
  <si>
    <t>Accountant/Head of Accounting Division/Unit</t>
  </si>
  <si>
    <t>Entity Name:</t>
  </si>
  <si>
    <t>NETH'S EAT</t>
  </si>
  <si>
    <t>MARINEL S. DOMINGO</t>
  </si>
  <si>
    <t>MACKY'S CATERING SERVICES</t>
  </si>
  <si>
    <t>MACKY SALIENDRA</t>
  </si>
  <si>
    <t>COPYLANDIA OFFICE SYSTEMS CORPORATION</t>
  </si>
  <si>
    <t>G/F SQH 1 Bldg., E. Aguinaldo Highway, Anabu 2F, Imus City</t>
  </si>
  <si>
    <t xml:space="preserve"> 008-387-425-000</t>
  </si>
  <si>
    <t>Six Thousand Pesos</t>
  </si>
  <si>
    <t>________________________________________</t>
  </si>
  <si>
    <t>JOSHUA AIRIS DE LEON</t>
  </si>
  <si>
    <t>PANDAYAN BOOKSHOP, INC.</t>
  </si>
  <si>
    <t>Received by:</t>
  </si>
  <si>
    <t>Unit Value</t>
  </si>
  <si>
    <t>Total</t>
  </si>
  <si>
    <t>Appendix 59</t>
  </si>
  <si>
    <t>INVENTORY CUSTODIAN SLIP</t>
  </si>
  <si>
    <t>DepED</t>
  </si>
  <si>
    <t>ICS Number:</t>
  </si>
  <si>
    <t>QTY</t>
  </si>
  <si>
    <t>AMOUNT</t>
  </si>
  <si>
    <t>DESCRIPTION</t>
  </si>
  <si>
    <t>INVENTORY ITEM NO.</t>
  </si>
  <si>
    <t>ESTIMATED USEFUL LIFE</t>
  </si>
  <si>
    <t>UNIT COST</t>
  </si>
  <si>
    <t>TOTAL COST</t>
  </si>
  <si>
    <t>Received from:</t>
  </si>
  <si>
    <t>Signature Over Printed Name</t>
  </si>
  <si>
    <t>Position | Designation</t>
  </si>
  <si>
    <t>ICS Number</t>
  </si>
  <si>
    <t>Series Number</t>
  </si>
  <si>
    <t>Article</t>
  </si>
  <si>
    <t>Property Number</t>
  </si>
  <si>
    <t>Type of Properties</t>
  </si>
  <si>
    <t>Brand</t>
  </si>
  <si>
    <t>Model</t>
  </si>
  <si>
    <t>Serial Number</t>
  </si>
  <si>
    <t>Processor</t>
  </si>
  <si>
    <t>RAM</t>
  </si>
  <si>
    <t>Storage</t>
  </si>
  <si>
    <t>Color</t>
  </si>
  <si>
    <t>Other Description</t>
  </si>
  <si>
    <t>Unit of Measure</t>
  </si>
  <si>
    <t>Value Category</t>
  </si>
  <si>
    <t>Qty | PCard</t>
  </si>
  <si>
    <t>Qty | PCount</t>
  </si>
  <si>
    <t>S|O Qty</t>
  </si>
  <si>
    <t>S|O Value</t>
  </si>
  <si>
    <t>Date of Acquisition</t>
  </si>
  <si>
    <t>Location</t>
  </si>
  <si>
    <t>Accountable Person</t>
  </si>
  <si>
    <t>Position</t>
  </si>
  <si>
    <t>Source of Fund</t>
  </si>
  <si>
    <t>Full Specifications</t>
  </si>
  <si>
    <t>Issued ICS</t>
  </si>
  <si>
    <t>Total Value</t>
  </si>
  <si>
    <t>ICS NUMBER</t>
  </si>
  <si>
    <t>:</t>
  </si>
  <si>
    <t>PROPERTY NUMBER</t>
  </si>
  <si>
    <t>ASSET CLASSIFICATION</t>
  </si>
  <si>
    <t>SERIAL NUMBER</t>
  </si>
  <si>
    <t>ACQUISITION COST</t>
  </si>
  <si>
    <t>ACQUISITION DATE</t>
  </si>
  <si>
    <t>PERSON ACCOUNTABLE</t>
  </si>
  <si>
    <t>VALIDATION | SIGNATURE</t>
  </si>
  <si>
    <t>"Removing or tampering of this sticker is punishable by law"</t>
  </si>
  <si>
    <t>ITEM|BRAND|MODEL</t>
  </si>
  <si>
    <t>Administrative Officer IV</t>
  </si>
  <si>
    <t>Date of Renewal</t>
  </si>
  <si>
    <t>SPHV - 2024 - 05 - 03 - 0004 - 03A</t>
  </si>
  <si>
    <t>SPHV - 2024 - 05 - 03 - 0005 - 02A</t>
  </si>
  <si>
    <t>SPHV - 2024 - 05 - 03 - 0006 - 01A</t>
  </si>
  <si>
    <t>SPHV - 2023 - 05 - 03 - 0035 - 01A</t>
  </si>
  <si>
    <t>x ---------- N O T H I N G  F O L L O W S ---------- x</t>
  </si>
  <si>
    <t>ICS No.</t>
  </si>
  <si>
    <t>Property No.</t>
  </si>
  <si>
    <t>Asset Classification</t>
  </si>
  <si>
    <t>Item | Brand | Model</t>
  </si>
  <si>
    <t>Serial No.</t>
  </si>
  <si>
    <t>Acquisition Cost</t>
  </si>
  <si>
    <t>Acquisition Date</t>
  </si>
  <si>
    <t>Issuance Date</t>
  </si>
  <si>
    <t>Fund Source</t>
  </si>
  <si>
    <t>011 - Garita Elementary School</t>
  </si>
  <si>
    <t>005 - Julian R. Felipe Elementary School</t>
  </si>
  <si>
    <t>013 - Porta Vaga Elementary School</t>
  </si>
  <si>
    <t>012 - Sangley Elementary School</t>
  </si>
  <si>
    <t>004 - Ladislao Diwa Elementary School</t>
  </si>
  <si>
    <t>008 - Ovidio Dela Rosa Elementary School</t>
  </si>
  <si>
    <t>006 - Manuel S. Rojas Elementary School</t>
  </si>
  <si>
    <t>009 - Dalahican Elementary School</t>
  </si>
  <si>
    <t>015 - Estansuela Elementary School</t>
  </si>
  <si>
    <t>014 - Bagumbuhay Elementary School</t>
  </si>
  <si>
    <t>007 - Sta. Cruz Elementary School</t>
  </si>
  <si>
    <t>010 - San Lorenzo Ruiz Elementary School</t>
  </si>
  <si>
    <t>=CHOOSECOLS(FILTER(Table13,Table13[ICS Number]=J5),2)</t>
  </si>
  <si>
    <t>Row Labels</t>
  </si>
  <si>
    <t>(blank)</t>
  </si>
  <si>
    <t>Grand Total</t>
  </si>
  <si>
    <t>Sum of Total Value</t>
  </si>
  <si>
    <t xml:space="preserve">016 - Cavite National High School - JHS </t>
  </si>
  <si>
    <t>017 - Sangley Point National High School - JHS</t>
  </si>
  <si>
    <t>019 - Sangley Point National High School - SHS</t>
  </si>
  <si>
    <t>018 - Cavite National High School - SHS</t>
  </si>
  <si>
    <t>020 - Cavite City National Science High School</t>
  </si>
  <si>
    <t>003B - School Health and Nutrition Unit</t>
  </si>
  <si>
    <t>ICS2026 - 01 - 0104</t>
  </si>
  <si>
    <t>ICT Equipment</t>
  </si>
  <si>
    <t>SPHV - 2022 - 05 - 03 - 0046 - 03B</t>
  </si>
  <si>
    <t>Laptop</t>
  </si>
  <si>
    <t>COBY</t>
  </si>
  <si>
    <t>NBPC 2168</t>
  </si>
  <si>
    <t>RDPBMNBPC2168202201001528</t>
  </si>
  <si>
    <t>AMD Ryzen 5</t>
  </si>
  <si>
    <t>8 GB DDR4</t>
  </si>
  <si>
    <t>1 TB SSD</t>
  </si>
  <si>
    <t>Blue</t>
  </si>
  <si>
    <t>Laptop with Bag</t>
  </si>
  <si>
    <t>set</t>
  </si>
  <si>
    <t>High-Value Asset</t>
  </si>
  <si>
    <t>Chrisabelle C. Quebec</t>
  </si>
  <si>
    <t>Central Office</t>
  </si>
  <si>
    <t>Laptop with Bag - Brand: COBY - Model: NBPC 2168 - SN: RDPBMNBPC2168202201001528 - Processor: AMD Ryzen 5 - RAM: 8 GB DDR4 - Storage: 1 TB SSD - Color: Blue</t>
  </si>
  <si>
    <t>Yes</t>
  </si>
  <si>
    <t>Technical Assistant I - SBFP /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</si>
</sst>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[$-409]mmmm\ d\,\ yyyy;@"/>
    <numFmt numFmtId="167" formatCode="_([$PHP]\ * #,##0.00_);_([$PHP]\ * \(#,##0.00\);_([$PHP]\ * &quot;-&quot;??_);_(@_)"/>
    <numFmt numFmtId="168" formatCode="_(* #,##0_);_(* \(#,##0\);_(* &quot;-&quot;??_);_(@_)"/>
    <numFmt numFmtId="169" formatCode="0000"/>
    <numFmt numFmtId="170" formatCode="[$-3409]mmmm\ dd\,\ yyyy;@"/>
    <numFmt numFmtId="171" formatCode="mm/dd/yyyy;@"/>
    <numFmt numFmtId="172" formatCode="mm\.dd\.yyyy"/>
    <numFmt numFmtId="173" formatCode="mmmm\ dd\,\ yyyy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i/>
      <u/>
      <sz val="1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8"/>
      <color theme="1"/>
      <name val="Cambria"/>
      <family val="1"/>
    </font>
    <font>
      <sz val="12"/>
      <color theme="1"/>
      <name val="Calibri"/>
      <family val="2"/>
      <scheme val="minor"/>
    </font>
    <font>
      <i/>
      <sz val="10"/>
      <color theme="1"/>
      <name val="Cambria"/>
      <family val="1"/>
    </font>
    <font>
      <sz val="10.5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mbria"/>
      <family val="1"/>
    </font>
    <font>
      <b/>
      <sz val="10"/>
      <color theme="1"/>
      <name val="Calibri Light"/>
      <family val="2"/>
      <scheme val="major"/>
    </font>
    <font>
      <i/>
      <sz val="9"/>
      <color theme="1"/>
      <name val="Cambria"/>
      <family val="1"/>
    </font>
    <font>
      <b/>
      <sz val="12"/>
      <color theme="1"/>
      <name val="Calibri "/>
    </font>
    <font>
      <b/>
      <sz val="11"/>
      <color theme="1"/>
      <name val="Calibri "/>
    </font>
    <font>
      <sz val="10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masis MT Pro Light"/>
      <family val="1"/>
    </font>
    <font>
      <sz val="8"/>
      <color theme="1"/>
      <name val="Amasis MT Pro Light"/>
      <family val="1"/>
    </font>
    <font>
      <sz val="8"/>
      <name val="Calibri"/>
      <family val="2"/>
      <scheme val="minor"/>
    </font>
    <font>
      <sz val="9"/>
      <color theme="1" tint="0.14999847407452621"/>
      <name val="Amasis MT Pro Light"/>
      <family val="1"/>
    </font>
    <font>
      <sz val="10"/>
      <color theme="1"/>
      <name val="Amasis MT Pro Light"/>
      <family val="1"/>
    </font>
    <font>
      <i/>
      <sz val="11"/>
      <color theme="1"/>
      <name val="Amasis MT Pro Light"/>
      <family val="1"/>
    </font>
    <font>
      <sz val="11"/>
      <color theme="1"/>
      <name val="Amasis MT Pro Light"/>
      <family val="1"/>
    </font>
    <font>
      <sz val="7"/>
      <color theme="1"/>
      <name val="Amasis MT Pro Light"/>
      <family val="1"/>
    </font>
    <font>
      <sz val="9.8000000000000007"/>
      <color theme="1"/>
      <name val="Amasis MT Pro Light"/>
      <family val="1"/>
    </font>
    <font>
      <sz val="8"/>
      <name val="Amasis MT Pro Light"/>
      <family val="1"/>
    </font>
    <font>
      <sz val="9"/>
      <color theme="1"/>
      <name val="Amasis MT Pro Light"/>
      <family val="1"/>
    </font>
    <font>
      <i/>
      <sz val="10"/>
      <color theme="1"/>
      <name val="Amasis MT Pro Light"/>
      <family val="1"/>
    </font>
    <font>
      <i/>
      <sz val="8"/>
      <color theme="1"/>
      <name val="Amasis MT Pro Light"/>
      <family val="1"/>
    </font>
    <font>
      <sz val="16"/>
      <color theme="1"/>
      <name val="Amasis MT Pro Black"/>
      <family val="1"/>
    </font>
    <font>
      <sz val="10"/>
      <color theme="1"/>
      <name val="Amasis MT Pro Black"/>
      <family val="1"/>
    </font>
    <font>
      <sz val="5"/>
      <color theme="1"/>
      <name val="Calibri"/>
      <family val="2"/>
      <scheme val="minor"/>
    </font>
    <font>
      <sz val="5"/>
      <color theme="1"/>
      <name val="Amasis MT Pro Light"/>
      <family val="1"/>
    </font>
    <font>
      <sz val="4"/>
      <color theme="1"/>
      <name val="Amasis MT Pro Medium"/>
      <family val="1"/>
    </font>
    <font>
      <sz val="4"/>
      <color theme="1"/>
      <name val="Amasis MT Pro Light"/>
      <family val="1"/>
    </font>
    <font>
      <i/>
      <sz val="5"/>
      <color theme="1"/>
      <name val="Amasis MT Pro Light"/>
      <family val="1"/>
    </font>
    <font>
      <sz val="4"/>
      <color theme="1"/>
      <name val="Amasis MT Pro Black"/>
      <family val="1"/>
    </font>
    <font>
      <sz val="4"/>
      <color theme="1"/>
      <name val="Calibri"/>
      <family val="2"/>
      <scheme val="minor"/>
    </font>
    <font>
      <sz val="5"/>
      <color theme="7" tint="-0.249977111117893"/>
      <name val="Amasis MT Pro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theme="6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51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11" fillId="2" borderId="3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4" xfId="0" applyFont="1" applyFill="1" applyBorder="1" applyAlignment="1">
      <alignment horizontal="left" vertical="center" indent="1"/>
    </xf>
    <xf numFmtId="0" fontId="11" fillId="2" borderId="3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21" xfId="0" applyFont="1" applyBorder="1" applyAlignment="1">
      <alignment horizontal="center" vertical="center"/>
    </xf>
    <xf numFmtId="165" fontId="16" fillId="0" borderId="24" xfId="2" applyFont="1" applyBorder="1" applyAlignment="1">
      <alignment vertical="center"/>
    </xf>
    <xf numFmtId="165" fontId="16" fillId="0" borderId="16" xfId="2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8" fillId="0" borderId="0" xfId="0" applyFont="1" applyAlignment="1">
      <alignment vertical="center"/>
    </xf>
    <xf numFmtId="169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vertical="center"/>
    </xf>
    <xf numFmtId="164" fontId="28" fillId="0" borderId="0" xfId="0" applyNumberFormat="1" applyFont="1" applyAlignment="1">
      <alignment vertical="center"/>
    </xf>
    <xf numFmtId="14" fontId="28" fillId="0" borderId="0" xfId="0" applyNumberFormat="1" applyFont="1" applyAlignment="1">
      <alignment horizontal="center" vertical="center"/>
    </xf>
    <xf numFmtId="0" fontId="29" fillId="2" borderId="1" xfId="0" applyFont="1" applyFill="1" applyBorder="1"/>
    <xf numFmtId="0" fontId="29" fillId="2" borderId="3" xfId="0" applyFont="1" applyFill="1" applyBorder="1"/>
    <xf numFmtId="0" fontId="29" fillId="0" borderId="0" xfId="0" applyFont="1"/>
    <xf numFmtId="0" fontId="29" fillId="2" borderId="4" xfId="0" applyFont="1" applyFill="1" applyBorder="1"/>
    <xf numFmtId="0" fontId="29" fillId="2" borderId="5" xfId="0" applyFont="1" applyFill="1" applyBorder="1"/>
    <xf numFmtId="0" fontId="29" fillId="2" borderId="7" xfId="0" applyFont="1" applyFill="1" applyBorder="1"/>
    <xf numFmtId="0" fontId="29" fillId="2" borderId="8" xfId="0" applyFont="1" applyFill="1" applyBorder="1"/>
    <xf numFmtId="0" fontId="29" fillId="2" borderId="9" xfId="0" applyFont="1" applyFill="1" applyBorder="1"/>
    <xf numFmtId="0" fontId="29" fillId="2" borderId="2" xfId="0" applyFont="1" applyFill="1" applyBorder="1"/>
    <xf numFmtId="0" fontId="31" fillId="2" borderId="2" xfId="0" applyFont="1" applyFill="1" applyBorder="1"/>
    <xf numFmtId="0" fontId="29" fillId="2" borderId="0" xfId="0" applyFont="1" applyFill="1"/>
    <xf numFmtId="0" fontId="29" fillId="2" borderId="0" xfId="0" applyFont="1" applyFill="1" applyAlignment="1">
      <alignment horizontal="right"/>
    </xf>
    <xf numFmtId="0" fontId="29" fillId="2" borderId="6" xfId="0" applyFont="1" applyFill="1" applyBorder="1" applyAlignment="1">
      <alignment horizontal="center" vertical="center"/>
    </xf>
    <xf numFmtId="0" fontId="31" fillId="2" borderId="8" xfId="0" applyFont="1" applyFill="1" applyBorder="1"/>
    <xf numFmtId="0" fontId="32" fillId="2" borderId="58" xfId="0" applyFont="1" applyFill="1" applyBorder="1" applyAlignment="1">
      <alignment horizontal="center" vertical="center"/>
    </xf>
    <xf numFmtId="168" fontId="33" fillId="2" borderId="0" xfId="1" applyNumberFormat="1" applyFont="1" applyFill="1" applyBorder="1" applyAlignment="1">
      <alignment horizontal="center" vertical="top"/>
    </xf>
    <xf numFmtId="43" fontId="33" fillId="2" borderId="0" xfId="1" applyFont="1" applyFill="1" applyBorder="1" applyAlignment="1">
      <alignment horizontal="right" vertical="top"/>
    </xf>
    <xf numFmtId="43" fontId="33" fillId="2" borderId="0" xfId="1" applyFont="1" applyFill="1" applyBorder="1" applyAlignment="1">
      <alignment vertical="top"/>
    </xf>
    <xf numFmtId="0" fontId="33" fillId="2" borderId="4" xfId="0" applyFont="1" applyFill="1" applyBorder="1" applyAlignment="1">
      <alignment vertical="center"/>
    </xf>
    <xf numFmtId="0" fontId="33" fillId="2" borderId="5" xfId="0" applyFont="1" applyFill="1" applyBorder="1" applyAlignment="1">
      <alignment vertical="center"/>
    </xf>
    <xf numFmtId="0" fontId="31" fillId="0" borderId="0" xfId="0" applyFont="1"/>
    <xf numFmtId="0" fontId="29" fillId="0" borderId="0" xfId="0" applyFont="1" applyAlignment="1">
      <alignment vertical="center"/>
    </xf>
    <xf numFmtId="0" fontId="29" fillId="2" borderId="48" xfId="0" applyFont="1" applyFill="1" applyBorder="1"/>
    <xf numFmtId="168" fontId="33" fillId="2" borderId="49" xfId="1" applyNumberFormat="1" applyFont="1" applyFill="1" applyBorder="1" applyAlignment="1">
      <alignment horizontal="center" vertical="top"/>
    </xf>
    <xf numFmtId="0" fontId="33" fillId="2" borderId="49" xfId="0" applyFont="1" applyFill="1" applyBorder="1" applyAlignment="1">
      <alignment vertical="top"/>
    </xf>
    <xf numFmtId="0" fontId="35" fillId="2" borderId="61" xfId="0" applyFont="1" applyFill="1" applyBorder="1"/>
    <xf numFmtId="0" fontId="35" fillId="2" borderId="62" xfId="0" applyFont="1" applyFill="1" applyBorder="1"/>
    <xf numFmtId="0" fontId="25" fillId="2" borderId="61" xfId="0" applyFont="1" applyFill="1" applyBorder="1" applyAlignment="1">
      <alignment horizontal="left" vertical="top" wrapText="1"/>
    </xf>
    <xf numFmtId="0" fontId="29" fillId="0" borderId="61" xfId="0" applyFont="1" applyBorder="1" applyAlignment="1">
      <alignment vertical="top"/>
    </xf>
    <xf numFmtId="0" fontId="33" fillId="2" borderId="62" xfId="0" applyFont="1" applyFill="1" applyBorder="1" applyAlignment="1">
      <alignment horizontal="center" vertical="top"/>
    </xf>
    <xf numFmtId="0" fontId="35" fillId="2" borderId="50" xfId="0" applyFont="1" applyFill="1" applyBorder="1"/>
    <xf numFmtId="0" fontId="36" fillId="2" borderId="0" xfId="0" applyFont="1" applyFill="1"/>
    <xf numFmtId="0" fontId="31" fillId="2" borderId="0" xfId="0" applyFont="1" applyFill="1"/>
    <xf numFmtId="0" fontId="37" fillId="2" borderId="0" xfId="0" applyFont="1" applyFill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29" fillId="2" borderId="6" xfId="0" applyNumberFormat="1" applyFont="1" applyFill="1" applyBorder="1" applyAlignment="1">
      <alignment horizontal="center"/>
    </xf>
    <xf numFmtId="43" fontId="29" fillId="2" borderId="61" xfId="1" applyFont="1" applyFill="1" applyBorder="1" applyAlignment="1">
      <alignment horizontal="right" vertical="top"/>
    </xf>
    <xf numFmtId="43" fontId="33" fillId="2" borderId="62" xfId="1" applyFont="1" applyFill="1" applyBorder="1" applyAlignment="1">
      <alignment vertical="top"/>
    </xf>
    <xf numFmtId="0" fontId="39" fillId="2" borderId="6" xfId="0" applyFont="1" applyFill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164" fontId="43" fillId="2" borderId="0" xfId="1" applyNumberFormat="1" applyFont="1" applyFill="1" applyBorder="1" applyAlignment="1">
      <alignment horizontal="left" vertical="center"/>
    </xf>
    <xf numFmtId="170" fontId="43" fillId="2" borderId="0" xfId="1" applyNumberFormat="1" applyFont="1" applyFill="1" applyBorder="1" applyAlignment="1">
      <alignment horizontal="left" vertical="center"/>
    </xf>
    <xf numFmtId="0" fontId="43" fillId="2" borderId="0" xfId="0" applyFont="1" applyFill="1" applyAlignment="1">
      <alignment horizontal="left"/>
    </xf>
    <xf numFmtId="0" fontId="40" fillId="2" borderId="1" xfId="0" applyFont="1" applyFill="1" applyBorder="1"/>
    <xf numFmtId="0" fontId="41" fillId="2" borderId="2" xfId="0" applyFont="1" applyFill="1" applyBorder="1"/>
    <xf numFmtId="0" fontId="40" fillId="2" borderId="2" xfId="0" applyFont="1" applyFill="1" applyBorder="1"/>
    <xf numFmtId="0" fontId="40" fillId="2" borderId="4" xfId="0" applyFont="1" applyFill="1" applyBorder="1"/>
    <xf numFmtId="0" fontId="41" fillId="2" borderId="0" xfId="0" applyFont="1" applyFill="1"/>
    <xf numFmtId="0" fontId="40" fillId="2" borderId="0" xfId="0" applyFont="1" applyFill="1"/>
    <xf numFmtId="0" fontId="40" fillId="2" borderId="7" xfId="0" applyFont="1" applyFill="1" applyBorder="1"/>
    <xf numFmtId="0" fontId="41" fillId="2" borderId="8" xfId="0" applyFont="1" applyFill="1" applyBorder="1"/>
    <xf numFmtId="0" fontId="40" fillId="2" borderId="8" xfId="0" applyFont="1" applyFill="1" applyBorder="1"/>
    <xf numFmtId="0" fontId="41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45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46" fillId="2" borderId="0" xfId="0" applyFont="1" applyFill="1"/>
    <xf numFmtId="14" fontId="43" fillId="2" borderId="0" xfId="0" applyNumberFormat="1" applyFont="1" applyFill="1" applyAlignment="1">
      <alignment horizontal="left"/>
    </xf>
    <xf numFmtId="0" fontId="42" fillId="2" borderId="0" xfId="0" applyFont="1" applyFill="1" applyAlignment="1">
      <alignment vertical="top"/>
    </xf>
    <xf numFmtId="0" fontId="45" fillId="2" borderId="0" xfId="0" applyFont="1" applyFill="1" applyAlignment="1">
      <alignment horizontal="center" vertical="top"/>
    </xf>
    <xf numFmtId="0" fontId="33" fillId="2" borderId="0" xfId="0" applyFont="1" applyFill="1" applyAlignment="1">
      <alignment vertical="top"/>
    </xf>
    <xf numFmtId="0" fontId="35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top"/>
    </xf>
    <xf numFmtId="0" fontId="33" fillId="2" borderId="0" xfId="0" applyFont="1" applyFill="1" applyAlignment="1">
      <alignment horizontal="center" vertical="top" wrapText="1"/>
    </xf>
    <xf numFmtId="0" fontId="28" fillId="0" borderId="0" xfId="0" applyFont="1" applyAlignment="1">
      <alignment vertical="center" wrapText="1"/>
    </xf>
    <xf numFmtId="43" fontId="28" fillId="0" borderId="0" xfId="1" applyFont="1" applyAlignment="1">
      <alignment horizontal="center" vertical="center"/>
    </xf>
    <xf numFmtId="0" fontId="26" fillId="2" borderId="41" xfId="0" applyFont="1" applyFill="1" applyBorder="1" applyAlignment="1">
      <alignment horizontal="center" vertical="top"/>
    </xf>
    <xf numFmtId="0" fontId="25" fillId="0" borderId="63" xfId="0" applyFont="1" applyBorder="1" applyAlignment="1">
      <alignment horizontal="center" vertical="center"/>
    </xf>
    <xf numFmtId="171" fontId="43" fillId="2" borderId="0" xfId="0" applyNumberFormat="1" applyFont="1" applyFill="1" applyAlignment="1">
      <alignment horizontal="left"/>
    </xf>
    <xf numFmtId="0" fontId="26" fillId="2" borderId="11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168" fontId="26" fillId="2" borderId="14" xfId="1" applyNumberFormat="1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43" fontId="26" fillId="2" borderId="14" xfId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168" fontId="26" fillId="2" borderId="12" xfId="1" applyNumberFormat="1" applyFont="1" applyFill="1" applyBorder="1" applyAlignment="1">
      <alignment horizontal="center" vertical="top"/>
    </xf>
    <xf numFmtId="0" fontId="26" fillId="2" borderId="13" xfId="0" applyFont="1" applyFill="1" applyBorder="1" applyAlignment="1">
      <alignment horizontal="center" vertical="top"/>
    </xf>
    <xf numFmtId="168" fontId="26" fillId="2" borderId="40" xfId="1" applyNumberFormat="1" applyFont="1" applyFill="1" applyBorder="1" applyAlignment="1">
      <alignment vertical="top"/>
    </xf>
    <xf numFmtId="168" fontId="26" fillId="2" borderId="41" xfId="1" applyNumberFormat="1" applyFont="1" applyFill="1" applyBorder="1" applyAlignment="1">
      <alignment vertical="top"/>
    </xf>
    <xf numFmtId="168" fontId="26" fillId="0" borderId="40" xfId="1" applyNumberFormat="1" applyFont="1" applyBorder="1" applyAlignment="1">
      <alignment horizontal="center" vertical="top" wrapText="1"/>
    </xf>
    <xf numFmtId="168" fontId="26" fillId="2" borderId="12" xfId="1" applyNumberFormat="1" applyFont="1" applyFill="1" applyBorder="1" applyAlignment="1">
      <alignment vertical="top"/>
    </xf>
    <xf numFmtId="168" fontId="26" fillId="2" borderId="13" xfId="1" applyNumberFormat="1" applyFont="1" applyFill="1" applyBorder="1" applyAlignment="1">
      <alignment vertical="top"/>
    </xf>
    <xf numFmtId="168" fontId="26" fillId="0" borderId="12" xfId="1" applyNumberFormat="1" applyFont="1" applyBorder="1" applyAlignment="1">
      <alignment horizontal="center" vertical="top" wrapText="1"/>
    </xf>
    <xf numFmtId="43" fontId="26" fillId="2" borderId="16" xfId="1" applyFont="1" applyFill="1" applyBorder="1" applyAlignment="1">
      <alignment horizontal="center" vertical="top"/>
    </xf>
    <xf numFmtId="43" fontId="26" fillId="2" borderId="13" xfId="1" applyFont="1" applyFill="1" applyBorder="1" applyAlignment="1">
      <alignment horizontal="center" vertical="top"/>
    </xf>
    <xf numFmtId="0" fontId="26" fillId="2" borderId="38" xfId="0" applyFont="1" applyFill="1" applyBorder="1" applyAlignment="1">
      <alignment vertical="top"/>
    </xf>
    <xf numFmtId="0" fontId="26" fillId="2" borderId="42" xfId="0" applyFont="1" applyFill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26" fillId="2" borderId="11" xfId="0" applyFont="1" applyFill="1" applyBorder="1" applyAlignment="1">
      <alignment vertical="center"/>
    </xf>
    <xf numFmtId="0" fontId="26" fillId="2" borderId="15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33" fillId="2" borderId="1" xfId="0" applyFont="1" applyFill="1" applyBorder="1" applyAlignment="1">
      <alignment vertical="center"/>
    </xf>
    <xf numFmtId="168" fontId="33" fillId="2" borderId="2" xfId="1" applyNumberFormat="1" applyFont="1" applyFill="1" applyBorder="1" applyAlignment="1">
      <alignment horizontal="center" vertical="top"/>
    </xf>
    <xf numFmtId="0" fontId="33" fillId="2" borderId="2" xfId="0" applyFont="1" applyFill="1" applyBorder="1" applyAlignment="1">
      <alignment horizontal="center" vertical="top"/>
    </xf>
    <xf numFmtId="43" fontId="33" fillId="2" borderId="2" xfId="1" applyFont="1" applyFill="1" applyBorder="1" applyAlignment="1">
      <alignment horizontal="right" vertical="top"/>
    </xf>
    <xf numFmtId="43" fontId="33" fillId="2" borderId="2" xfId="1" applyFont="1" applyFill="1" applyBorder="1" applyAlignment="1">
      <alignment vertical="top"/>
    </xf>
    <xf numFmtId="0" fontId="33" fillId="2" borderId="2" xfId="0" applyFont="1" applyFill="1" applyBorder="1" applyAlignment="1">
      <alignment vertical="top"/>
    </xf>
    <xf numFmtId="0" fontId="35" fillId="2" borderId="2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top" wrapText="1"/>
    </xf>
    <xf numFmtId="0" fontId="33" fillId="2" borderId="3" xfId="0" applyFont="1" applyFill="1" applyBorder="1" applyAlignment="1">
      <alignment vertical="center"/>
    </xf>
    <xf numFmtId="172" fontId="28" fillId="0" borderId="0" xfId="0" applyNumberFormat="1" applyFont="1" applyAlignment="1">
      <alignment vertical="center"/>
    </xf>
    <xf numFmtId="0" fontId="33" fillId="2" borderId="7" xfId="0" applyFont="1" applyFill="1" applyBorder="1" applyAlignment="1">
      <alignment vertical="center"/>
    </xf>
    <xf numFmtId="168" fontId="33" fillId="2" borderId="8" xfId="1" applyNumberFormat="1" applyFont="1" applyFill="1" applyBorder="1" applyAlignment="1">
      <alignment horizontal="center" vertical="top"/>
    </xf>
    <xf numFmtId="0" fontId="33" fillId="2" borderId="8" xfId="0" applyFont="1" applyFill="1" applyBorder="1" applyAlignment="1">
      <alignment horizontal="center" vertical="top"/>
    </xf>
    <xf numFmtId="43" fontId="33" fillId="2" borderId="8" xfId="1" applyFont="1" applyFill="1" applyBorder="1" applyAlignment="1">
      <alignment horizontal="right" vertical="top"/>
    </xf>
    <xf numFmtId="43" fontId="33" fillId="2" borderId="8" xfId="1" applyFont="1" applyFill="1" applyBorder="1" applyAlignment="1">
      <alignment vertical="top"/>
    </xf>
    <xf numFmtId="0" fontId="33" fillId="2" borderId="8" xfId="0" applyFont="1" applyFill="1" applyBorder="1" applyAlignment="1">
      <alignment vertical="top"/>
    </xf>
    <xf numFmtId="0" fontId="35" fillId="2" borderId="8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top" wrapText="1"/>
    </xf>
    <xf numFmtId="0" fontId="33" fillId="2" borderId="9" xfId="0" applyFont="1" applyFill="1" applyBorder="1" applyAlignment="1">
      <alignment vertical="center"/>
    </xf>
    <xf numFmtId="49" fontId="0" fillId="0" borderId="0" xfId="0" applyNumberFormat="1"/>
    <xf numFmtId="43" fontId="0" fillId="0" borderId="0" xfId="1" applyFont="1"/>
    <xf numFmtId="172" fontId="0" fillId="0" borderId="0" xfId="0" applyNumberFormat="1"/>
    <xf numFmtId="164" fontId="0" fillId="0" borderId="0" xfId="1" applyNumberFormat="1" applyFont="1"/>
    <xf numFmtId="168" fontId="26" fillId="2" borderId="13" xfId="1" applyNumberFormat="1" applyFont="1" applyFill="1" applyBorder="1" applyAlignment="1">
      <alignment horizontal="center" vertical="top"/>
    </xf>
    <xf numFmtId="172" fontId="28" fillId="0" borderId="0" xfId="0" applyNumberFormat="1" applyFont="1" applyAlignment="1">
      <alignment horizontal="center" vertical="center"/>
    </xf>
    <xf numFmtId="0" fontId="34" fillId="0" borderId="40" xfId="1" applyNumberFormat="1" applyFont="1" applyBorder="1" applyAlignment="1">
      <alignment horizontal="left" vertical="top" wrapText="1"/>
    </xf>
    <xf numFmtId="0" fontId="34" fillId="0" borderId="12" xfId="1" applyNumberFormat="1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28" fillId="0" borderId="0" xfId="0" applyFont="1" applyAlignment="1">
      <alignment horizontal="left" vertical="center"/>
    </xf>
    <xf numFmtId="173" fontId="28" fillId="0" borderId="0" xfId="0" applyNumberFormat="1" applyFont="1" applyAlignment="1">
      <alignment vertical="center"/>
    </xf>
    <xf numFmtId="0" fontId="47" fillId="3" borderId="3" xfId="0" applyFont="1" applyFill="1" applyBorder="1" applyAlignment="1">
      <alignment horizontal="center" vertical="center" textRotation="90"/>
    </xf>
    <xf numFmtId="0" fontId="47" fillId="3" borderId="5" xfId="0" applyFont="1" applyFill="1" applyBorder="1" applyAlignment="1">
      <alignment horizontal="center" vertical="center" textRotation="90"/>
    </xf>
    <xf numFmtId="0" fontId="47" fillId="3" borderId="9" xfId="0" applyFont="1" applyFill="1" applyBorder="1" applyAlignment="1">
      <alignment horizontal="center" vertical="center" textRotation="90"/>
    </xf>
    <xf numFmtId="0" fontId="43" fillId="2" borderId="0" xfId="0" applyFont="1" applyFill="1" applyAlignment="1">
      <alignment vertical="center"/>
    </xf>
    <xf numFmtId="0" fontId="43" fillId="2" borderId="0" xfId="0" applyFont="1" applyFill="1" applyAlignment="1">
      <alignment vertical="center" wrapText="1"/>
    </xf>
    <xf numFmtId="0" fontId="43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center" vertical="center"/>
    </xf>
    <xf numFmtId="0" fontId="30" fillId="2" borderId="2" xfId="0" applyFont="1" applyFill="1" applyBorder="1" applyAlignment="1">
      <alignment horizontal="right"/>
    </xf>
    <xf numFmtId="0" fontId="38" fillId="2" borderId="0" xfId="0" applyFont="1" applyFill="1" applyAlignment="1">
      <alignment horizontal="center"/>
    </xf>
    <xf numFmtId="0" fontId="29" fillId="2" borderId="6" xfId="0" applyFont="1" applyFill="1" applyBorder="1"/>
    <xf numFmtId="0" fontId="29" fillId="2" borderId="6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left"/>
    </xf>
    <xf numFmtId="168" fontId="26" fillId="2" borderId="13" xfId="1" applyNumberFormat="1" applyFont="1" applyFill="1" applyBorder="1" applyAlignment="1">
      <alignment horizontal="center" vertical="top"/>
    </xf>
    <xf numFmtId="168" fontId="26" fillId="2" borderId="12" xfId="1" applyNumberFormat="1" applyFont="1" applyFill="1" applyBorder="1" applyAlignment="1">
      <alignment horizontal="center" vertical="top"/>
    </xf>
    <xf numFmtId="0" fontId="29" fillId="2" borderId="8" xfId="0" applyFont="1" applyFill="1" applyBorder="1" applyAlignment="1">
      <alignment horizontal="right"/>
    </xf>
    <xf numFmtId="166" fontId="29" fillId="2" borderId="6" xfId="0" applyNumberFormat="1" applyFont="1" applyFill="1" applyBorder="1" applyAlignment="1">
      <alignment horizontal="center"/>
    </xf>
    <xf numFmtId="0" fontId="37" fillId="2" borderId="0" xfId="0" applyFont="1" applyFill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53" xfId="0" applyFont="1" applyFill="1" applyBorder="1" applyAlignment="1">
      <alignment horizontal="center" vertical="center"/>
    </xf>
    <xf numFmtId="0" fontId="32" fillId="2" borderId="56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32" fillId="2" borderId="58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32" fillId="2" borderId="54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 wrapText="1"/>
    </xf>
    <xf numFmtId="0" fontId="32" fillId="2" borderId="58" xfId="0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59" xfId="0" applyFont="1" applyFill="1" applyBorder="1" applyAlignment="1">
      <alignment horizontal="center" vertical="center" wrapText="1"/>
    </xf>
    <xf numFmtId="0" fontId="32" fillId="2" borderId="60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/>
    </xf>
    <xf numFmtId="0" fontId="32" fillId="2" borderId="45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right" vertical="center" indent="1"/>
    </xf>
    <xf numFmtId="0" fontId="16" fillId="0" borderId="24" xfId="0" applyFont="1" applyBorder="1" applyAlignment="1">
      <alignment horizontal="right" vertical="center" indent="1"/>
    </xf>
    <xf numFmtId="0" fontId="16" fillId="0" borderId="24" xfId="0" applyFont="1" applyBorder="1" applyAlignment="1">
      <alignment horizontal="left" vertical="center" indent="1"/>
    </xf>
    <xf numFmtId="165" fontId="16" fillId="0" borderId="24" xfId="2" applyFont="1" applyBorder="1" applyAlignment="1">
      <alignment vertical="center"/>
    </xf>
    <xf numFmtId="165" fontId="16" fillId="0" borderId="25" xfId="2" applyFont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8" xfId="0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167" fontId="4" fillId="0" borderId="28" xfId="2" applyNumberFormat="1" applyFont="1" applyBorder="1" applyAlignment="1">
      <alignment vertical="center"/>
    </xf>
    <xf numFmtId="167" fontId="4" fillId="0" borderId="29" xfId="2" applyNumberFormat="1" applyFont="1" applyBorder="1" applyAlignment="1">
      <alignment vertical="center"/>
    </xf>
    <xf numFmtId="0" fontId="3" fillId="0" borderId="24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3"/>
    </xf>
    <xf numFmtId="0" fontId="3" fillId="0" borderId="14" xfId="0" applyFont="1" applyBorder="1" applyAlignment="1">
      <alignment horizontal="left" vertical="center" wrapText="1" indent="3"/>
    </xf>
    <xf numFmtId="0" fontId="3" fillId="0" borderId="12" xfId="0" applyFont="1" applyBorder="1" applyAlignment="1">
      <alignment horizontal="left" vertical="center" wrapText="1" indent="3"/>
    </xf>
    <xf numFmtId="0" fontId="24" fillId="0" borderId="13" xfId="0" applyFont="1" applyBorder="1" applyAlignment="1">
      <alignment horizontal="left" vertical="center" wrapText="1" indent="2"/>
    </xf>
    <xf numFmtId="0" fontId="24" fillId="0" borderId="14" xfId="0" applyFont="1" applyBorder="1" applyAlignment="1">
      <alignment horizontal="left" vertical="center" wrapText="1" indent="2"/>
    </xf>
    <xf numFmtId="0" fontId="24" fillId="0" borderId="12" xfId="0" applyFont="1" applyBorder="1" applyAlignment="1">
      <alignment horizontal="left" vertical="center" wrapText="1" indent="2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41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65" fontId="16" fillId="0" borderId="16" xfId="2" applyFont="1" applyBorder="1" applyAlignment="1">
      <alignment vertical="center"/>
    </xf>
    <xf numFmtId="165" fontId="16" fillId="0" borderId="26" xfId="2" applyFont="1" applyBorder="1" applyAlignment="1">
      <alignment vertical="center"/>
    </xf>
    <xf numFmtId="0" fontId="16" fillId="2" borderId="11" xfId="0" applyFont="1" applyFill="1" applyBorder="1" applyAlignment="1">
      <alignment horizontal="left" vertical="center" indent="1"/>
    </xf>
    <xf numFmtId="0" fontId="16" fillId="2" borderId="14" xfId="0" applyFont="1" applyFill="1" applyBorder="1" applyAlignment="1">
      <alignment horizontal="left" vertical="center" indent="1"/>
    </xf>
    <xf numFmtId="0" fontId="16" fillId="2" borderId="12" xfId="0" applyFont="1" applyFill="1" applyBorder="1" applyAlignment="1">
      <alignment horizontal="left" vertical="center" indent="1"/>
    </xf>
    <xf numFmtId="0" fontId="16" fillId="2" borderId="24" xfId="0" applyFont="1" applyFill="1" applyBorder="1" applyAlignment="1">
      <alignment horizontal="left" vertical="center" indent="1"/>
    </xf>
    <xf numFmtId="0" fontId="16" fillId="2" borderId="13" xfId="0" applyFont="1" applyFill="1" applyBorder="1" applyAlignment="1">
      <alignment horizontal="left" vertical="center" indent="1"/>
    </xf>
    <xf numFmtId="0" fontId="16" fillId="2" borderId="24" xfId="0" applyFont="1" applyFill="1" applyBorder="1" applyAlignment="1">
      <alignment horizontal="right" vertical="center" indent="1"/>
    </xf>
    <xf numFmtId="43" fontId="16" fillId="2" borderId="24" xfId="1" applyFont="1" applyFill="1" applyBorder="1" applyAlignment="1">
      <alignment horizontal="left" vertical="center" indent="1"/>
    </xf>
    <xf numFmtId="43" fontId="16" fillId="2" borderId="13" xfId="1" applyFont="1" applyFill="1" applyBorder="1" applyAlignment="1">
      <alignment horizontal="left" vertical="center" indent="1"/>
    </xf>
    <xf numFmtId="43" fontId="16" fillId="2" borderId="15" xfId="1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3"/>
    </xf>
    <xf numFmtId="0" fontId="2" fillId="2" borderId="12" xfId="0" applyFont="1" applyFill="1" applyBorder="1" applyAlignment="1">
      <alignment horizontal="left" vertical="center" indent="3"/>
    </xf>
    <xf numFmtId="0" fontId="16" fillId="2" borderId="13" xfId="0" applyFont="1" applyFill="1" applyBorder="1" applyAlignment="1">
      <alignment horizontal="right" vertical="center" indent="1"/>
    </xf>
    <xf numFmtId="0" fontId="16" fillId="2" borderId="12" xfId="0" applyFont="1" applyFill="1" applyBorder="1" applyAlignment="1">
      <alignment horizontal="right" vertical="center" indent="1"/>
    </xf>
    <xf numFmtId="0" fontId="13" fillId="2" borderId="13" xfId="0" applyFont="1" applyFill="1" applyBorder="1" applyAlignment="1">
      <alignment horizontal="left" vertical="center" indent="3"/>
    </xf>
    <xf numFmtId="0" fontId="13" fillId="2" borderId="12" xfId="0" applyFont="1" applyFill="1" applyBorder="1" applyAlignment="1">
      <alignment horizontal="left" vertical="center" indent="3"/>
    </xf>
    <xf numFmtId="0" fontId="23" fillId="0" borderId="13" xfId="0" applyFont="1" applyBorder="1" applyAlignment="1">
      <alignment horizontal="left" vertical="center" wrapText="1" indent="2"/>
    </xf>
    <xf numFmtId="0" fontId="23" fillId="0" borderId="12" xfId="0" applyFont="1" applyBorder="1" applyAlignment="1">
      <alignment horizontal="left" vertical="center" wrapText="1" indent="2"/>
    </xf>
    <xf numFmtId="0" fontId="23" fillId="0" borderId="13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16" fillId="0" borderId="13" xfId="0" applyFont="1" applyBorder="1" applyAlignment="1">
      <alignment horizontal="left" vertical="center" wrapText="1" indent="1"/>
    </xf>
    <xf numFmtId="0" fontId="16" fillId="0" borderId="12" xfId="0" applyFont="1" applyBorder="1" applyAlignment="1">
      <alignment horizontal="left" vertical="center" wrapText="1" indent="1"/>
    </xf>
    <xf numFmtId="43" fontId="16" fillId="2" borderId="12" xfId="1" applyFont="1" applyFill="1" applyBorder="1" applyAlignment="1">
      <alignment horizontal="left" vertical="center" indent="1"/>
    </xf>
    <xf numFmtId="0" fontId="23" fillId="0" borderId="13" xfId="0" applyFont="1" applyBorder="1" applyAlignment="1">
      <alignment horizontal="left" wrapText="1" indent="1"/>
    </xf>
    <xf numFmtId="0" fontId="23" fillId="0" borderId="12" xfId="0" applyFont="1" applyBorder="1" applyAlignment="1">
      <alignment horizontal="left" wrapText="1" indent="1"/>
    </xf>
    <xf numFmtId="0" fontId="22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43" fontId="11" fillId="2" borderId="48" xfId="1" applyFont="1" applyFill="1" applyBorder="1" applyAlignment="1">
      <alignment horizontal="right" vertical="center"/>
    </xf>
    <xf numFmtId="43" fontId="11" fillId="2" borderId="49" xfId="1" applyFont="1" applyFill="1" applyBorder="1" applyAlignment="1">
      <alignment horizontal="right" vertical="center"/>
    </xf>
    <xf numFmtId="43" fontId="11" fillId="2" borderId="49" xfId="1" applyFont="1" applyFill="1" applyBorder="1" applyAlignment="1">
      <alignment vertical="center"/>
    </xf>
    <xf numFmtId="43" fontId="11" fillId="2" borderId="50" xfId="1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2" borderId="30" xfId="0" applyFont="1" applyFill="1" applyBorder="1" applyAlignment="1">
      <alignment vertical="center"/>
    </xf>
    <xf numFmtId="0" fontId="11" fillId="2" borderId="31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21" fillId="2" borderId="10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left" vertical="center" indent="1"/>
    </xf>
    <xf numFmtId="0" fontId="16" fillId="2" borderId="39" xfId="0" applyFont="1" applyFill="1" applyBorder="1" applyAlignment="1">
      <alignment horizontal="left" vertical="center" indent="1"/>
    </xf>
    <xf numFmtId="0" fontId="16" fillId="2" borderId="40" xfId="0" applyFont="1" applyFill="1" applyBorder="1" applyAlignment="1">
      <alignment horizontal="left" vertical="center" indent="1"/>
    </xf>
    <xf numFmtId="0" fontId="16" fillId="0" borderId="41" xfId="0" applyFont="1" applyBorder="1" applyAlignment="1">
      <alignment horizontal="left" vertical="center" wrapText="1" indent="1"/>
    </xf>
    <xf numFmtId="0" fontId="16" fillId="0" borderId="40" xfId="0" applyFont="1" applyBorder="1" applyAlignment="1">
      <alignment horizontal="left" vertical="center" wrapText="1" indent="1"/>
    </xf>
    <xf numFmtId="0" fontId="16" fillId="2" borderId="41" xfId="0" applyFont="1" applyFill="1" applyBorder="1" applyAlignment="1">
      <alignment horizontal="right" vertical="center" indent="1"/>
    </xf>
    <xf numFmtId="0" fontId="16" fillId="2" borderId="40" xfId="0" applyFont="1" applyFill="1" applyBorder="1" applyAlignment="1">
      <alignment horizontal="right" vertical="center" indent="1"/>
    </xf>
    <xf numFmtId="43" fontId="16" fillId="2" borderId="41" xfId="1" applyFont="1" applyFill="1" applyBorder="1" applyAlignment="1">
      <alignment horizontal="left" vertical="center" indent="1"/>
    </xf>
    <xf numFmtId="43" fontId="16" fillId="2" borderId="42" xfId="1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/>
    </xf>
    <xf numFmtId="166" fontId="15" fillId="2" borderId="31" xfId="0" applyNumberFormat="1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5" fillId="2" borderId="31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5" fillId="2" borderId="30" xfId="0" applyFont="1" applyFill="1" applyBorder="1" applyAlignment="1">
      <alignment horizontal="left" vertical="center"/>
    </xf>
    <xf numFmtId="0" fontId="15" fillId="2" borderId="30" xfId="0" applyFont="1" applyFill="1" applyBorder="1" applyAlignment="1">
      <alignment horizontal="center" vertical="center"/>
    </xf>
    <xf numFmtId="43" fontId="16" fillId="2" borderId="46" xfId="1" applyFont="1" applyFill="1" applyBorder="1" applyAlignment="1">
      <alignment horizontal="left" vertical="center" indent="1"/>
    </xf>
    <xf numFmtId="43" fontId="16" fillId="2" borderId="47" xfId="1" applyFont="1" applyFill="1" applyBorder="1" applyAlignment="1">
      <alignment horizontal="left" vertical="center" indent="1"/>
    </xf>
    <xf numFmtId="43" fontId="16" fillId="2" borderId="45" xfId="1" applyFont="1" applyFill="1" applyBorder="1" applyAlignment="1">
      <alignment horizontal="left" vertical="center" indent="1"/>
    </xf>
    <xf numFmtId="0" fontId="16" fillId="2" borderId="46" xfId="0" applyFont="1" applyFill="1" applyBorder="1" applyAlignment="1">
      <alignment horizontal="left" vertical="center" indent="1"/>
    </xf>
    <xf numFmtId="0" fontId="16" fillId="2" borderId="45" xfId="0" applyFont="1" applyFill="1" applyBorder="1" applyAlignment="1">
      <alignment horizontal="left" vertical="center" indent="1"/>
    </xf>
    <xf numFmtId="0" fontId="16" fillId="2" borderId="43" xfId="0" applyFont="1" applyFill="1" applyBorder="1" applyAlignment="1">
      <alignment horizontal="left" vertical="center" indent="1"/>
    </xf>
    <xf numFmtId="0" fontId="16" fillId="2" borderId="44" xfId="0" applyFont="1" applyFill="1" applyBorder="1" applyAlignment="1">
      <alignment horizontal="left" vertical="center" indent="1"/>
    </xf>
    <xf numFmtId="0" fontId="15" fillId="2" borderId="8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left" vertical="center" indent="1"/>
    </xf>
    <xf numFmtId="0" fontId="15" fillId="2" borderId="31" xfId="0" applyFont="1" applyFill="1" applyBorder="1" applyAlignment="1">
      <alignment horizontal="left" vertical="center"/>
    </xf>
    <xf numFmtId="166" fontId="15" fillId="2" borderId="31" xfId="0" applyNumberFormat="1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indent="1"/>
    </xf>
    <xf numFmtId="0" fontId="15" fillId="2" borderId="30" xfId="0" applyFont="1" applyFill="1" applyBorder="1" applyAlignment="1">
      <alignment horizontal="center"/>
    </xf>
  </cellXfs>
  <cellStyles count="3">
    <cellStyle name="Comma" xfId="1" builtinId="3"/>
    <cellStyle name="Comma 2" xfId="2" xr:uid="{34C319DB-5C97-448E-B863-20DED5B971AC}"/>
    <cellStyle name="Normal" xfId="0" builtinId="0"/>
  </cellStyles>
  <dxfs count="43">
    <dxf>
      <numFmt numFmtId="172" formatCode="mm\.dd\.yyyy"/>
    </dxf>
    <dxf>
      <numFmt numFmtId="172" formatCode="mm\.dd\.yyyy"/>
    </dxf>
    <dxf>
      <numFmt numFmtId="172" formatCode="mm\.dd\.yyyy"/>
    </dxf>
    <dxf>
      <numFmt numFmtId="172" formatCode="mm\.dd\.yyyy"/>
    </dxf>
    <dxf>
      <numFmt numFmtId="172" formatCode="mm\.dd\.yyyy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72" formatCode="mm\.dd\.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72" formatCode="mm\.dd\.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74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4" formatCode="_-&quot;₱&quot;* #,##0.00_-;\-&quot;₱&quot;* #,##0.00_-;_-&quot;₱&quot;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numFmt numFmtId="169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14999847407452621"/>
        <name val="Amasis MT Pro Light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masis MT Pro Light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9292</xdr:colOff>
      <xdr:row>0</xdr:row>
      <xdr:rowOff>0</xdr:rowOff>
    </xdr:from>
    <xdr:to>
      <xdr:col>3</xdr:col>
      <xdr:colOff>461536</xdr:colOff>
      <xdr:row>3</xdr:row>
      <xdr:rowOff>62835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6ED10B9-14CB-4353-9B71-E52CFA567D1F}"/>
            </a:ext>
          </a:extLst>
        </xdr:cNvPr>
        <xdr:cNvGrpSpPr/>
      </xdr:nvGrpSpPr>
      <xdr:grpSpPr>
        <a:xfrm>
          <a:off x="125597" y="0"/>
          <a:ext cx="1190181" cy="307477"/>
          <a:chOff x="326374" y="31750"/>
          <a:chExt cx="1204330" cy="3209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71DE0BA-5F26-0102-D980-D496276334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A8D47BE-D608-645E-3D7E-5F1CECA175FA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11</xdr:row>
      <xdr:rowOff>55753</xdr:rowOff>
    </xdr:from>
    <xdr:to>
      <xdr:col>7</xdr:col>
      <xdr:colOff>12391</xdr:colOff>
      <xdr:row>14</xdr:row>
      <xdr:rowOff>36762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3C82038-DEB3-4CBB-80B6-5B6EC866B8BF}"/>
            </a:ext>
          </a:extLst>
        </xdr:cNvPr>
        <xdr:cNvGrpSpPr/>
      </xdr:nvGrpSpPr>
      <xdr:grpSpPr>
        <a:xfrm>
          <a:off x="37171" y="966142"/>
          <a:ext cx="2257209" cy="241694"/>
          <a:chOff x="229353" y="118363"/>
          <a:chExt cx="2055289" cy="33822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DCA9104B-EC60-5A8F-6860-28115B9AF9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1"/>
            <a:ext cx="161345" cy="200871"/>
          </a:xfrm>
          <a:prstGeom prst="rect">
            <a:avLst/>
          </a:prstGeom>
        </xdr:spPr>
      </xdr:pic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4F4088F-B3FA-43DB-1759-C423812C2395}"/>
              </a:ext>
            </a:extLst>
          </xdr:cNvPr>
          <xdr:cNvSpPr txBox="1"/>
        </xdr:nvSpPr>
        <xdr:spPr>
          <a:xfrm>
            <a:off x="360155" y="118363"/>
            <a:ext cx="1924487" cy="3382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</xdr:col>
      <xdr:colOff>9292</xdr:colOff>
      <xdr:row>15</xdr:row>
      <xdr:rowOff>0</xdr:rowOff>
    </xdr:from>
    <xdr:to>
      <xdr:col>3</xdr:col>
      <xdr:colOff>461536</xdr:colOff>
      <xdr:row>18</xdr:row>
      <xdr:rowOff>62835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995D713-E9E0-41CC-B80D-2FBA91940179}"/>
            </a:ext>
          </a:extLst>
        </xdr:cNvPr>
        <xdr:cNvGrpSpPr/>
      </xdr:nvGrpSpPr>
      <xdr:grpSpPr>
        <a:xfrm>
          <a:off x="125597" y="1263316"/>
          <a:ext cx="1190181" cy="315498"/>
          <a:chOff x="326374" y="31750"/>
          <a:chExt cx="1204330" cy="320982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963C3E47-AB62-A0DD-D8CF-425BF0AC5E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F82935F-06D7-687C-5C41-D38A5C25774F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0</xdr:col>
      <xdr:colOff>37171</xdr:colOff>
      <xdr:row>26</xdr:row>
      <xdr:rowOff>55754</xdr:rowOff>
    </xdr:from>
    <xdr:to>
      <xdr:col>7</xdr:col>
      <xdr:colOff>12391</xdr:colOff>
      <xdr:row>29</xdr:row>
      <xdr:rowOff>38338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D1A0ED9-E12B-49A3-9573-6F92EB67311E}"/>
            </a:ext>
          </a:extLst>
        </xdr:cNvPr>
        <xdr:cNvGrpSpPr/>
      </xdr:nvGrpSpPr>
      <xdr:grpSpPr>
        <a:xfrm>
          <a:off x="37171" y="2245501"/>
          <a:ext cx="2257209" cy="243269"/>
          <a:chOff x="229353" y="118364"/>
          <a:chExt cx="2055289" cy="286060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ECD73D5-311F-50B9-3C8B-DF75704BE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64071"/>
          </a:xfrm>
          <a:prstGeom prst="rect">
            <a:avLst/>
          </a:prstGeom>
        </xdr:spPr>
      </xdr:pic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B396047-ADAB-2A11-F97E-179AEA799650}"/>
              </a:ext>
            </a:extLst>
          </xdr:cNvPr>
          <xdr:cNvSpPr txBox="1"/>
        </xdr:nvSpPr>
        <xdr:spPr>
          <a:xfrm>
            <a:off x="360155" y="118364"/>
            <a:ext cx="1924487" cy="2860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0</xdr:row>
      <xdr:rowOff>0</xdr:rowOff>
    </xdr:from>
    <xdr:to>
      <xdr:col>12</xdr:col>
      <xdr:colOff>461536</xdr:colOff>
      <xdr:row>3</xdr:row>
      <xdr:rowOff>62835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7CE3FF5-1388-47A0-ACFB-E13EA4F06DC0}"/>
            </a:ext>
          </a:extLst>
        </xdr:cNvPr>
        <xdr:cNvGrpSpPr/>
      </xdr:nvGrpSpPr>
      <xdr:grpSpPr>
        <a:xfrm>
          <a:off x="2648218" y="0"/>
          <a:ext cx="1190181" cy="307477"/>
          <a:chOff x="326374" y="31750"/>
          <a:chExt cx="1204330" cy="320982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C5ABF6FA-DAC8-7AAB-9C8B-951A8BF68F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CEA581C4-2ED5-99AD-8764-8DDFCD20B6D3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11</xdr:row>
      <xdr:rowOff>55753</xdr:rowOff>
    </xdr:from>
    <xdr:to>
      <xdr:col>16</xdr:col>
      <xdr:colOff>12391</xdr:colOff>
      <xdr:row>14</xdr:row>
      <xdr:rowOff>26736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18A303CE-FED0-4CC2-A522-6C7227A60D81}"/>
            </a:ext>
          </a:extLst>
        </xdr:cNvPr>
        <xdr:cNvGrpSpPr/>
      </xdr:nvGrpSpPr>
      <xdr:grpSpPr>
        <a:xfrm>
          <a:off x="2559792" y="966142"/>
          <a:ext cx="2257210" cy="231668"/>
          <a:chOff x="229353" y="118363"/>
          <a:chExt cx="2055289" cy="324001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49F8DD22-9559-FAB0-F8D7-821050A706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2"/>
            <a:ext cx="161345" cy="191387"/>
          </a:xfrm>
          <a:prstGeom prst="rect">
            <a:avLst/>
          </a:prstGeom>
        </xdr:spPr>
      </xdr:pic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52D4615-3C65-B965-408B-71F8AC384A1B}"/>
              </a:ext>
            </a:extLst>
          </xdr:cNvPr>
          <xdr:cNvSpPr txBox="1"/>
        </xdr:nvSpPr>
        <xdr:spPr>
          <a:xfrm>
            <a:off x="360155" y="118363"/>
            <a:ext cx="1924487" cy="3240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  <xdr:twoCellAnchor>
    <xdr:from>
      <xdr:col>10</xdr:col>
      <xdr:colOff>9292</xdr:colOff>
      <xdr:row>15</xdr:row>
      <xdr:rowOff>0</xdr:rowOff>
    </xdr:from>
    <xdr:to>
      <xdr:col>12</xdr:col>
      <xdr:colOff>461536</xdr:colOff>
      <xdr:row>18</xdr:row>
      <xdr:rowOff>62835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BD4EBEBF-BA02-480F-AA39-6A04CFE6E685}"/>
            </a:ext>
          </a:extLst>
        </xdr:cNvPr>
        <xdr:cNvGrpSpPr/>
      </xdr:nvGrpSpPr>
      <xdr:grpSpPr>
        <a:xfrm>
          <a:off x="2648218" y="1263316"/>
          <a:ext cx="1190181" cy="315498"/>
          <a:chOff x="326374" y="31750"/>
          <a:chExt cx="1204330" cy="320982"/>
        </a:xfrm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A439D323-051C-B0BB-39B2-074398E564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374" y="83759"/>
            <a:ext cx="184311" cy="184311"/>
          </a:xfrm>
          <a:prstGeom prst="rect">
            <a:avLst/>
          </a:prstGeom>
        </xdr:spPr>
      </xdr:pic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199BD5D3-5B01-5915-8980-053059178427}"/>
              </a:ext>
            </a:extLst>
          </xdr:cNvPr>
          <xdr:cNvSpPr txBox="1"/>
        </xdr:nvSpPr>
        <xdr:spPr>
          <a:xfrm>
            <a:off x="456408" y="31750"/>
            <a:ext cx="1074296" cy="320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300" b="0"/>
              <a:t>Republic</a:t>
            </a:r>
            <a:r>
              <a:rPr lang="en-PH" sz="300" b="0" baseline="0"/>
              <a:t> of the Philippines</a:t>
            </a:r>
          </a:p>
          <a:p>
            <a:r>
              <a:rPr lang="en-PH" sz="300" b="0" baseline="0"/>
              <a:t>Department of Education - ROIVA (CALABARZON)</a:t>
            </a:r>
          </a:p>
          <a:p>
            <a:r>
              <a:rPr lang="en-PH" sz="300" b="1" baseline="0">
                <a:latin typeface="Amasis MT Pro" panose="02040504050005020304" pitchFamily="18" charset="0"/>
              </a:rPr>
              <a:t>SCHOOLS DIVISION OFFICE OF CAVITE CITY</a:t>
            </a:r>
          </a:p>
          <a:p>
            <a:r>
              <a:rPr lang="en-PH" sz="300" b="0" baseline="0"/>
              <a:t>CAVITE CITY</a:t>
            </a:r>
          </a:p>
        </xdr:txBody>
      </xdr:sp>
    </xdr:grpSp>
    <xdr:clientData/>
  </xdr:twoCellAnchor>
  <xdr:twoCellAnchor>
    <xdr:from>
      <xdr:col>9</xdr:col>
      <xdr:colOff>37171</xdr:colOff>
      <xdr:row>26</xdr:row>
      <xdr:rowOff>55753</xdr:rowOff>
    </xdr:from>
    <xdr:to>
      <xdr:col>16</xdr:col>
      <xdr:colOff>12391</xdr:colOff>
      <xdr:row>29</xdr:row>
      <xdr:rowOff>33420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5BD76BD2-56E9-4A40-A0F2-E646A84BED0E}"/>
            </a:ext>
          </a:extLst>
        </xdr:cNvPr>
        <xdr:cNvGrpSpPr/>
      </xdr:nvGrpSpPr>
      <xdr:grpSpPr>
        <a:xfrm>
          <a:off x="2559792" y="2245500"/>
          <a:ext cx="2257210" cy="238352"/>
          <a:chOff x="229353" y="118363"/>
          <a:chExt cx="2055289" cy="333485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E0C9FB3E-1FC6-C267-ECCA-52D3380F2D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229353" y="146643"/>
            <a:ext cx="161345" cy="196127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BCDB7EB-8398-8745-D337-74F9360A398D}"/>
              </a:ext>
            </a:extLst>
          </xdr:cNvPr>
          <xdr:cNvSpPr txBox="1"/>
        </xdr:nvSpPr>
        <xdr:spPr>
          <a:xfrm>
            <a:off x="360155" y="118363"/>
            <a:ext cx="1924487" cy="3334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PH" sz="400" b="0" baseline="0"/>
              <a:t>DOC. NUMBER: OSDS / AS - SD / FO - 15	                               EFFECTIVITY DATE: 05.24.2021</a:t>
            </a:r>
          </a:p>
          <a:p>
            <a:r>
              <a:rPr lang="en-PH" sz="400" b="0" baseline="0"/>
              <a:t>REV. NUMBER: 01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107</xdr:row>
      <xdr:rowOff>0</xdr:rowOff>
    </xdr:from>
    <xdr:ext cx="304800" cy="304802"/>
    <xdr:sp macro="" textlink="">
      <xdr:nvSpPr>
        <xdr:cNvPr id="2" name="AutoShape 3" descr="No description available.">
          <a:extLst>
            <a:ext uri="{FF2B5EF4-FFF2-40B4-BE49-F238E27FC236}">
              <a16:creationId xmlns:a16="http://schemas.microsoft.com/office/drawing/2014/main" id="{ED1AA737-59B3-4248-B473-97AA9604DA05}"/>
            </a:ext>
          </a:extLst>
        </xdr:cNvPr>
        <xdr:cNvSpPr>
          <a:spLocks noChangeAspect="1" noChangeArrowheads="1"/>
        </xdr:cNvSpPr>
      </xdr:nvSpPr>
      <xdr:spPr bwMode="auto">
        <a:xfrm>
          <a:off x="9461500" y="918845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107</xdr:row>
      <xdr:rowOff>0</xdr:rowOff>
    </xdr:from>
    <xdr:ext cx="304800" cy="312058"/>
    <xdr:sp macro="" textlink="">
      <xdr:nvSpPr>
        <xdr:cNvPr id="3" name="AutoShape 4" descr="No description available.">
          <a:extLst>
            <a:ext uri="{FF2B5EF4-FFF2-40B4-BE49-F238E27FC236}">
              <a16:creationId xmlns:a16="http://schemas.microsoft.com/office/drawing/2014/main" id="{6A73B6C3-A744-45FE-9694-15D371185F59}"/>
            </a:ext>
          </a:extLst>
        </xdr:cNvPr>
        <xdr:cNvSpPr>
          <a:spLocks noChangeAspect="1" noChangeArrowheads="1"/>
        </xdr:cNvSpPr>
      </xdr:nvSpPr>
      <xdr:spPr bwMode="auto">
        <a:xfrm>
          <a:off x="2971800" y="9188450"/>
          <a:ext cx="304800" cy="312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D2321-03AD-404A-A0F0-9C0B21FE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4D67D-E944-49ED-90BE-E79D22652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8B62B-6DF2-4D3E-842E-ED14DE95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92CA08-F05F-41F9-8D06-DFEA7C91D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149087</xdr:colOff>
      <xdr:row>1</xdr:row>
      <xdr:rowOff>91109</xdr:rowOff>
    </xdr:from>
    <xdr:to>
      <xdr:col>9</xdr:col>
      <xdr:colOff>8283</xdr:colOff>
      <xdr:row>4</xdr:row>
      <xdr:rowOff>157370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A51C3-C451-4400-A324-A520E1185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762" y="148259"/>
          <a:ext cx="906946" cy="637761"/>
        </a:xfrm>
        <a:prstGeom prst="rect">
          <a:avLst/>
        </a:prstGeom>
      </xdr:spPr>
    </xdr:pic>
    <xdr:clientData/>
  </xdr:twoCellAnchor>
  <xdr:twoCellAnchor editAs="oneCell">
    <xdr:from>
      <xdr:col>2</xdr:col>
      <xdr:colOff>82826</xdr:colOff>
      <xdr:row>1</xdr:row>
      <xdr:rowOff>99391</xdr:rowOff>
    </xdr:from>
    <xdr:to>
      <xdr:col>3</xdr:col>
      <xdr:colOff>292541</xdr:colOff>
      <xdr:row>5</xdr:row>
      <xdr:rowOff>60628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55538-1627-4AD3-B30F-92C5C56B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976" y="156541"/>
          <a:ext cx="733590" cy="7327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7.447620023151" createdVersion="8" refreshedVersion="8" minRefreshableVersion="3" recordCount="204" xr:uid="{7282D39C-8556-41DE-ADBB-7D229A834359}">
  <cacheSource type="worksheet">
    <worksheetSource name="table1"/>
  </cacheSource>
  <cacheFields count="29">
    <cacheField name="ICS Number" numFmtId="0">
      <sharedItems containsBlank="1"/>
    </cacheField>
    <cacheField name="Series Number" numFmtId="169">
      <sharedItems containsString="0" containsBlank="1" containsNumber="1" containsInteger="1" minValue="1" maxValue="42"/>
    </cacheField>
    <cacheField name="Article" numFmtId="0">
      <sharedItems containsBlank="1"/>
    </cacheField>
    <cacheField name="Property Number" numFmtId="0">
      <sharedItems containsBlank="1"/>
    </cacheField>
    <cacheField name="Type of Properties" numFmtId="0">
      <sharedItems containsBlank="1"/>
    </cacheField>
    <cacheField name="Brand" numFmtId="0">
      <sharedItems containsBlank="1"/>
    </cacheField>
    <cacheField name="Model" numFmtId="0">
      <sharedItems containsBlank="1"/>
    </cacheField>
    <cacheField name="Serial Number" numFmtId="0">
      <sharedItems containsBlank="1"/>
    </cacheField>
    <cacheField name="Processor" numFmtId="0">
      <sharedItems containsBlank="1"/>
    </cacheField>
    <cacheField name="RAM" numFmtId="0">
      <sharedItems containsBlank="1"/>
    </cacheField>
    <cacheField name="Storage" numFmtId="0">
      <sharedItems containsBlank="1"/>
    </cacheField>
    <cacheField name="Color" numFmtId="0">
      <sharedItems containsBlank="1"/>
    </cacheField>
    <cacheField name="Other Description" numFmtId="0">
      <sharedItems containsBlank="1"/>
    </cacheField>
    <cacheField name="Unit of Measure" numFmtId="0">
      <sharedItems containsBlank="1"/>
    </cacheField>
    <cacheField name="Unit Value" numFmtId="164">
      <sharedItems containsString="0" containsBlank="1" containsNumber="1" containsInteger="1" minValue="2750" maxValue="4600"/>
    </cacheField>
    <cacheField name="Total Value" numFmtId="164">
      <sharedItems containsString="0" containsBlank="1" containsNumber="1" containsInteger="1" minValue="2750" maxValue="18400"/>
    </cacheField>
    <cacheField name="Value Category" numFmtId="0">
      <sharedItems containsBlank="1"/>
    </cacheField>
    <cacheField name="Qty | PCard" numFmtId="0">
      <sharedItems containsString="0" containsBlank="1" containsNumber="1" containsInteger="1" minValue="1" maxValue="4"/>
    </cacheField>
    <cacheField name="Qty | PCount" numFmtId="0">
      <sharedItems containsString="0" containsBlank="1" containsNumber="1" containsInteger="1" minValue="1" maxValue="4"/>
    </cacheField>
    <cacheField name="S|O Qty" numFmtId="0">
      <sharedItems containsString="0" containsBlank="1" containsNumber="1" containsInteger="1" minValue="0" maxValue="0"/>
    </cacheField>
    <cacheField name="S|O Value" numFmtId="0">
      <sharedItems containsString="0" containsBlank="1" containsNumber="1" containsInteger="1" minValue="0" maxValue="0"/>
    </cacheField>
    <cacheField name="Date of Acquisition" numFmtId="172">
      <sharedItems containsNonDate="0" containsDate="1" containsString="0" containsBlank="1" minDate="2026-01-15T00:00:00" maxDate="2026-01-16T00:00:00"/>
    </cacheField>
    <cacheField name="Location" numFmtId="0">
      <sharedItems containsBlank="1" count="19">
        <s v="011 - Garita Elementary School"/>
        <s v="005 - Julian R. Felipe Elementary School"/>
        <s v="013 - Porta Vaga Elementary School"/>
        <s v="012 - Sangley Elementary School"/>
        <s v="004 - Ladislao Diwa Elementary School"/>
        <s v="008 - Ovidio Dela Rosa Elementary School"/>
        <s v="014 - Bagumbuhay Elementary School"/>
        <s v="009 - Dalahican Elementary School"/>
        <s v="015 - Estansuela Elementary School"/>
        <s v="006 - Manuel S. Rojas Elementary School"/>
        <s v="010 - San Lorenzo Ruiz Elementary School"/>
        <s v="007 - Sta. Cruz Elementary School"/>
        <s v="016 - Cavite National High School - JHS "/>
        <s v="017 - Sangley Point National High School - JHS"/>
        <s v="019 - Sangley Point National High School - SHS"/>
        <s v="018 - Cavite National High School - SHS"/>
        <s v="020 - Cavite City National Science High School"/>
        <s v="003B - School Health and Nutrition Unit"/>
        <m/>
      </sharedItems>
    </cacheField>
    <cacheField name="Accountable Person" numFmtId="0">
      <sharedItems containsBlank="1"/>
    </cacheField>
    <cacheField name="Position" numFmtId="0">
      <sharedItems containsBlank="1"/>
    </cacheField>
    <cacheField name="Source of Fund" numFmtId="0">
      <sharedItems containsBlank="1"/>
    </cacheField>
    <cacheField name="Full Specifications" numFmtId="0">
      <sharedItems containsBlank="1"/>
    </cacheField>
    <cacheField name="Issued ICS" numFmtId="0">
      <sharedItems containsNonDate="0" containsString="0" containsBlank="1"/>
    </cacheField>
    <cacheField name="Date of Renew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s v="ICS2026 - 01 - 0053"/>
    <n v="1"/>
    <s v="Medical Equipment"/>
    <s v="SPLV - 2026 - 05 - 11 - 0001 - 11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0"/>
    <s v="Catherine C. Melo"/>
    <s v="Administrative Officer II"/>
    <s v="SARO"/>
    <s v="Dial-Type Weighing Scale with Telescopic Height Measurement - Brand: Indoplas - Model: BWS-302 - Color: White"/>
    <m/>
    <m/>
  </r>
  <r>
    <s v="ICS2026 - 01 - 0053"/>
    <n v="2"/>
    <s v="Medical Equipment"/>
    <s v="SPLV - 2026 - 05 - 11 - 0002 - 11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0"/>
    <s v="Catherine C. Melo"/>
    <s v="Administrative Officer II"/>
    <s v="SARO"/>
    <s v="Digital Price Computing Scale (1-30kg) - Brand: General Master - Model: GMD-30 - Color: Red"/>
    <m/>
    <m/>
  </r>
  <r>
    <s v="ICS2026 - 01 - 0053"/>
    <n v="3"/>
    <s v="Medical Equipment"/>
    <s v="SPLV - 2026 - 05 - 11 - 0003 - 11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0"/>
    <s v="Catherine C. Melo"/>
    <s v="Administrative Officer II"/>
    <s v="SARO"/>
    <s v="Utensils Heater Sterilizer - 4 holes - Color: Silver"/>
    <m/>
    <m/>
  </r>
  <r>
    <s v="ICS2026 - 01 - 0054"/>
    <n v="4"/>
    <s v="Medical Equipment"/>
    <s v="SPLV - 2026 - 05 - 11 - 0004 - 05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13800"/>
    <s v="Low-Value Asset"/>
    <n v="3"/>
    <n v="3"/>
    <n v="0"/>
    <n v="0"/>
    <d v="2026-01-15T00:00:00"/>
    <x v="1"/>
    <s v="Abigail B. Zapanta"/>
    <s v="Administrative Officer II"/>
    <s v="SARO"/>
    <s v="Dial-Type Weighing Scale with Telescopic Height Measurement - Brand: Indoplas - Model: BWS-302 - Color: White"/>
    <m/>
    <m/>
  </r>
  <r>
    <s v="ICS2026 - 01 - 0054"/>
    <n v="5"/>
    <s v="Medical Equipment"/>
    <s v="SPLV - 2026 - 05 - 11 - 0005 - 05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1"/>
    <s v="Abigail B. Zapanta"/>
    <s v="Administrative Officer II"/>
    <s v="SARO"/>
    <s v="Digital Price Computing Scale (1-30kg) - Brand: General Master - Model: GMD-30 - Color: Red"/>
    <m/>
    <m/>
  </r>
  <r>
    <s v="ICS2026 - 01 - 0054"/>
    <n v="6"/>
    <s v="Medical Equipment"/>
    <s v="SPLV - 2026 - 05 - 11 - 0006 - 05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1"/>
    <s v="Abigail B. Zapanta"/>
    <s v="Administrative Officer II"/>
    <s v="SARO"/>
    <s v="Utensils Heater Sterilizer - 4 holes - Color: Silver"/>
    <m/>
    <m/>
  </r>
  <r>
    <s v="ICS2026 - 01 - 0055"/>
    <n v="7"/>
    <s v="Medical Equipment"/>
    <s v="SPLV - 2026 - 05 - 11 - 0007 - 13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2"/>
    <s v="Jellene M. Villaflor"/>
    <s v="Project Development Officer I"/>
    <s v="SARO"/>
    <s v="Dial-Type Weighing Scale with Telescopic Height Measurement - Brand: Indoplas - Model: BWS-302 - Color: White"/>
    <m/>
    <m/>
  </r>
  <r>
    <s v="ICS2026 - 01 - 0055"/>
    <n v="8"/>
    <s v="Medical Equipment"/>
    <s v="SPLV - 2026 - 05 - 11 - 0008 - 13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2"/>
    <s v="Jellene M. Villaflor"/>
    <s v="Project Development Officer I"/>
    <s v="SARO"/>
    <s v="Digital Price Computing Scale (1-30kg) - Brand: General Master - Model: GMD-30 - Color: Red"/>
    <m/>
    <m/>
  </r>
  <r>
    <s v="ICS2026 - 01 - 0055"/>
    <n v="9"/>
    <s v="Medical Equipment"/>
    <s v="SPLV - 2026 - 05 - 11 - 0009 - 13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2"/>
    <s v="Jellene M. Villaflor"/>
    <s v="Project Development Officer I"/>
    <s v="SARO"/>
    <s v="Utensils Heater Sterilizer - 4 holes - Color: Silver"/>
    <m/>
    <m/>
  </r>
  <r>
    <s v="ICS2026 - 01 - 0056"/>
    <n v="10"/>
    <s v="Medical Equipment"/>
    <s v="SPLV - 2026 - 05 - 11 - 0010 - 12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3"/>
    <s v="Daniela Teri R. Co"/>
    <s v="Administrative Officer II"/>
    <s v="SARO"/>
    <s v="Dial-Type Weighing Scale with Telescopic Height Measurement - Brand: Indoplas - Model: BWS-302 - Color: White"/>
    <m/>
    <m/>
  </r>
  <r>
    <s v="ICS2026 - 01 - 0056"/>
    <n v="11"/>
    <s v="Medical Equipment"/>
    <s v="SPLV - 2026 - 05 - 11 - 0011 - 12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3"/>
    <s v="Daniela Teri R. Co"/>
    <s v="Administrative Officer II"/>
    <s v="SARO"/>
    <s v="Digital Price Computing Scale (1-30kg) - Brand: General Master - Model: GMD-30 - Color: Red"/>
    <m/>
    <m/>
  </r>
  <r>
    <s v="ICS2026 - 01 - 0056"/>
    <n v="12"/>
    <s v="Medical Equipment"/>
    <s v="SPLV - 2026 - 05 - 11 - 0012 - 12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3"/>
    <s v="Daniela Teri R. Co"/>
    <s v="Administrative Officer II"/>
    <s v="SARO"/>
    <s v="Utensils Heater Sterilizer - 4 holes - Color: Silver"/>
    <m/>
    <m/>
  </r>
  <r>
    <s v="ICS2026 - 01 - 0057"/>
    <n v="13"/>
    <s v="Medical Equipment"/>
    <s v="SPLV - 2026 - 05 - 11 - 0013 - 04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18400"/>
    <s v="Low-Value Asset"/>
    <n v="4"/>
    <n v="4"/>
    <n v="0"/>
    <n v="0"/>
    <d v="2026-01-15T00:00:00"/>
    <x v="4"/>
    <s v="Danah Lei A. Pugay"/>
    <s v="Administrative Officer II"/>
    <s v="SARO"/>
    <s v="Dial-Type Weighing Scale with Telescopic Height Measurement - Brand: Indoplas - Model: BWS-302 - Color: White"/>
    <m/>
    <m/>
  </r>
  <r>
    <s v="ICS2026 - 01 - 0057"/>
    <n v="14"/>
    <s v="Medical Equipment"/>
    <s v="SPLV - 2026 - 05 - 11 - 0014 - 04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4"/>
    <s v="Danah Lei A. Pugay"/>
    <s v="Administrative Officer II"/>
    <s v="SARO"/>
    <s v="Digital Price Computing Scale (1-30kg) - Brand: General Master - Model: GMD-30 - Color: Red"/>
    <m/>
    <m/>
  </r>
  <r>
    <s v="ICS2026 - 01 - 0057"/>
    <n v="15"/>
    <s v="Medical Equipment"/>
    <s v="SPLV - 2026 - 05 - 11 - 0015 - 04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4"/>
    <s v="Danah Lei A. Pugay"/>
    <s v="Administrative Officer II"/>
    <s v="SARO"/>
    <s v="Utensils Heater Sterilizer - 4 holes - Color: Silver"/>
    <m/>
    <m/>
  </r>
  <r>
    <s v="ICS2026 - 01 - 0058"/>
    <n v="16"/>
    <s v="Medical Equipment"/>
    <s v="SPLV - 2026 - 05 - 11 - 0016 - 08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9200"/>
    <s v="Low-Value Asset"/>
    <n v="2"/>
    <n v="2"/>
    <n v="0"/>
    <n v="0"/>
    <d v="2026-01-15T00:00:00"/>
    <x v="5"/>
    <s v="Paulo A. Reyes"/>
    <s v="Administrative Officer II"/>
    <s v="SARO"/>
    <s v="Dial-Type Weighing Scale with Telescopic Height Measurement - Brand: Indoplas - Model: BWS-302 - Color: White"/>
    <m/>
    <m/>
  </r>
  <r>
    <s v="ICS2026 - 01 - 0058"/>
    <n v="17"/>
    <s v="Medical Equipment"/>
    <s v="SPLV - 2026 - 05 - 11 - 0017 - 08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5"/>
    <s v="Paulo A. Reyes"/>
    <s v="Administrative Officer II"/>
    <s v="SARO"/>
    <s v="Digital Price Computing Scale (1-30kg) - Brand: General Master - Model: GMD-30 - Color: Red"/>
    <m/>
    <m/>
  </r>
  <r>
    <s v="ICS2026 - 01 - 0058"/>
    <n v="18"/>
    <s v="Medical Equipment"/>
    <s v="SPLV - 2026 - 05 - 11 - 0018 - 08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5"/>
    <s v="Paulo A. Reyes"/>
    <s v="Administrative Officer II"/>
    <s v="SARO"/>
    <s v="Utensils Heater Sterilizer - 4 holes - Color: Silver"/>
    <m/>
    <m/>
  </r>
  <r>
    <s v="ICS2026 - 01 - 0059"/>
    <n v="19"/>
    <s v="Medical Equipment"/>
    <s v="SPLV - 2026 - 05 - 11 - 0019 - 14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6"/>
    <s v="Tolentino N. Camagong Jr."/>
    <s v="Administrative Officer II"/>
    <s v="SARO"/>
    <s v="Dial-Type Weighing Scale with Telescopic Height Measurement - Brand: Indoplas - Model: BWS-302 - Color: White"/>
    <m/>
    <m/>
  </r>
  <r>
    <s v="ICS2026 - 01 - 0059"/>
    <n v="20"/>
    <s v="Medical Equipment"/>
    <s v="SPLV - 2026 - 05 - 11 - 0020 - 14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6"/>
    <s v="Tolentino N. Camagong Jr."/>
    <s v="Administrative Officer II"/>
    <s v="SARO"/>
    <s v="Digital Price Computing Scale (1-30kg) - Brand: General Master - Model: GMD-30 - Color: Red"/>
    <m/>
    <m/>
  </r>
  <r>
    <s v="ICS2026 - 01 - 0059"/>
    <n v="21"/>
    <s v="Medical Equipment"/>
    <s v="SPLV - 2026 - 05 - 11 - 0021 - 14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6"/>
    <s v="Tolentino N. Camagong Jr."/>
    <s v="Administrative Officer II"/>
    <s v="SARO"/>
    <s v="Utensils Heater Sterilizer - 4 holes - Color: Silver"/>
    <m/>
    <m/>
  </r>
  <r>
    <s v="ICS2026 - 01 - 0060"/>
    <n v="22"/>
    <s v="Medical Equipment"/>
    <s v="SPLV - 2026 - 05 - 11 - 0022 - 09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9200"/>
    <s v="Low-Value Asset"/>
    <n v="2"/>
    <n v="2"/>
    <n v="0"/>
    <n v="0"/>
    <d v="2026-01-15T00:00:00"/>
    <x v="7"/>
    <s v="Anne Royal D. Suma-oy"/>
    <s v="Administrative Officer II"/>
    <s v="SARO"/>
    <s v="Dial-Type Weighing Scale with Telescopic Height Measurement - Brand: Indoplas - Model: BWS-302 - Color: White"/>
    <m/>
    <m/>
  </r>
  <r>
    <s v="ICS2026 - 01 - 0060"/>
    <n v="23"/>
    <s v="Medical Equipment"/>
    <s v="SPLV - 2026 - 05 - 11 - 0023 - 09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7"/>
    <s v="Anne Royal D. Suma-oy"/>
    <s v="Administrative Officer II"/>
    <s v="SARO"/>
    <s v="Digital Price Computing Scale (1-30kg) - Brand: General Master - Model: GMD-30 - Color: Red"/>
    <m/>
    <m/>
  </r>
  <r>
    <s v="ICS2026 - 01 - 0060"/>
    <n v="24"/>
    <s v="Medical Equipment"/>
    <s v="SPLV - 2026 - 05 - 11 - 0024 - 09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7"/>
    <s v="Anne Royal D. Suma-oy"/>
    <s v="Administrative Officer II"/>
    <s v="SARO"/>
    <s v="Utensils Heater Sterilizer - 4 holes - Color: Silver"/>
    <m/>
    <m/>
  </r>
  <r>
    <s v="ICS2026 - 01 - 0061"/>
    <n v="25"/>
    <s v="Medical Equipment"/>
    <s v="SPLV - 2026 - 05 - 11 - 0025 - 15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8"/>
    <s v="Gian Roeldy M. Basa"/>
    <s v="Administrative Officer II"/>
    <s v="SARO"/>
    <s v="Dial-Type Weighing Scale with Telescopic Height Measurement - Brand: Indoplas - Model: BWS-302 - Color: White"/>
    <m/>
    <m/>
  </r>
  <r>
    <s v="ICS2026 - 01 - 0061"/>
    <n v="26"/>
    <s v="Medical Equipment"/>
    <s v="SPLV - 2026 - 05 - 11 - 0026 - 15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8"/>
    <s v="Gian Roeldy M. Basa"/>
    <s v="Administrative Officer II"/>
    <s v="SARO"/>
    <s v="Digital Price Computing Scale (1-30kg) - Brand: General Master - Model: GMD-30 - Color: Red"/>
    <m/>
    <m/>
  </r>
  <r>
    <s v="ICS2026 - 01 - 0061"/>
    <n v="27"/>
    <s v="Medical Equipment"/>
    <s v="SPLV - 2026 - 05 - 11 - 0027 - 15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8"/>
    <s v="Gian Roeldy M. Basa"/>
    <s v="Administrative Officer II"/>
    <s v="SARO"/>
    <s v="Utensils Heater Sterilizer - 4 holes - Color: Silver"/>
    <m/>
    <m/>
  </r>
  <r>
    <s v="ICS2026 - 01 - 0062"/>
    <n v="28"/>
    <s v="Medical Equipment"/>
    <s v="SPLV - 2026 - 05 - 11 - 0028 - 06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9200"/>
    <s v="Low-Value Asset"/>
    <n v="2"/>
    <n v="2"/>
    <n v="0"/>
    <n v="0"/>
    <d v="2026-01-15T00:00:00"/>
    <x v="9"/>
    <s v="Arlo Nicolai A. Paringit"/>
    <s v="Administrative Officer II"/>
    <s v="SARO"/>
    <s v="Dial-Type Weighing Scale with Telescopic Height Measurement - Brand: Indoplas - Model: BWS-302 - Color: White"/>
    <m/>
    <m/>
  </r>
  <r>
    <s v="ICS2026 - 01 - 0062"/>
    <n v="29"/>
    <s v="Medical Equipment"/>
    <s v="SPLV - 2026 - 05 - 11 - 0029 - 06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9"/>
    <s v="Arlo Nicolai A. Paringit"/>
    <s v="Administrative Officer II"/>
    <s v="SARO"/>
    <s v="Digital Price Computing Scale (1-30kg) - Brand: General Master - Model: GMD-30 - Color: Red"/>
    <m/>
    <m/>
  </r>
  <r>
    <s v="ICS2026 - 01 - 0062"/>
    <n v="30"/>
    <s v="Medical Equipment"/>
    <s v="SPLV - 2026 - 05 - 11 - 0030 - 06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9"/>
    <s v="Arlo Nicolai A. Paringit"/>
    <s v="Administrative Officer II"/>
    <s v="SARO"/>
    <s v="Utensils Heater Sterilizer - 4 holes - Color: Silver"/>
    <m/>
    <m/>
  </r>
  <r>
    <s v="ICS2026 - 01 - 0063"/>
    <n v="31"/>
    <s v="Medical Equipment"/>
    <s v="SPLV - 2026 - 05 - 11 - 0031 - 10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9200"/>
    <s v="Low-Value Asset"/>
    <n v="2"/>
    <n v="2"/>
    <n v="0"/>
    <n v="0"/>
    <d v="2026-01-15T00:00:00"/>
    <x v="10"/>
    <s v="Marijoy N. Bumanglag"/>
    <s v="Administrative Officer II"/>
    <s v="SARO"/>
    <s v="Dial-Type Weighing Scale with Telescopic Height Measurement - Brand: Indoplas - Model: BWS-302 - Color: White"/>
    <m/>
    <m/>
  </r>
  <r>
    <s v="ICS2026 - 01 - 0063"/>
    <n v="32"/>
    <s v="Medical Equipment"/>
    <s v="SPLV - 2026 - 05 - 11 - 0032 - 10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10"/>
    <s v="Marijoy N. Bumanglag"/>
    <s v="Administrative Officer II"/>
    <s v="SARO"/>
    <s v="Digital Price Computing Scale (1-30kg) - Brand: General Master - Model: GMD-30 - Color: Red"/>
    <m/>
    <m/>
  </r>
  <r>
    <s v="ICS2026 - 01 - 0063"/>
    <n v="33"/>
    <s v="Medical Equipment"/>
    <s v="SPLV - 2026 - 05 - 11 - 0033 - 10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10"/>
    <s v="Marijoy N. Bumanglag"/>
    <s v="Administrative Officer II"/>
    <s v="SARO"/>
    <s v="Utensils Heater Sterilizer - 4 holes - Color: Silver"/>
    <m/>
    <m/>
  </r>
  <r>
    <s v="ICS2026 - 01 - 0064"/>
    <n v="34"/>
    <s v="Medical Equipment"/>
    <s v="SPLV - 2026 - 05 - 11 - 0034 - 07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9200"/>
    <s v="Low-Value Asset"/>
    <n v="2"/>
    <n v="2"/>
    <n v="0"/>
    <n v="0"/>
    <d v="2026-01-15T00:00:00"/>
    <x v="11"/>
    <s v="J-Ann G. Bentir"/>
    <s v="Administrative Officer II"/>
    <s v="SARO"/>
    <s v="Dial-Type Weighing Scale with Telescopic Height Measurement - Brand: Indoplas - Model: BWS-302 - Color: White"/>
    <m/>
    <m/>
  </r>
  <r>
    <s v="ICS2026 - 01 - 0064"/>
    <n v="35"/>
    <s v="Medical Equipment"/>
    <s v="SPLV - 2026 - 05 - 11 - 0035 - 07"/>
    <s v="Kitchen Scale"/>
    <s v="General Master"/>
    <s v="GMD-30"/>
    <s v="n|a"/>
    <s v="n|a"/>
    <s v="n|a"/>
    <s v="n|a"/>
    <s v="Red"/>
    <s v="Digital Price Computing Scale (1-30kg)"/>
    <s v="piece"/>
    <n v="2750"/>
    <n v="2750"/>
    <s v="Low-Value Asset"/>
    <n v="1"/>
    <n v="1"/>
    <n v="0"/>
    <n v="0"/>
    <d v="2026-01-15T00:00:00"/>
    <x v="11"/>
    <s v="J-Ann G. Bentir"/>
    <s v="Administrative Officer II"/>
    <s v="SARO"/>
    <s v="Digital Price Computing Scale (1-30kg) - Brand: General Master - Model: GMD-30 - Color: Red"/>
    <m/>
    <m/>
  </r>
  <r>
    <s v="ICS2026 - 01 - 0064"/>
    <n v="36"/>
    <s v="Medical Equipment"/>
    <s v="SPLV - 2026 - 05 - 11 - 0036 - 07"/>
    <s v="Utensils Sterilizer"/>
    <s v="n|a"/>
    <s v="n|a"/>
    <s v="n|a"/>
    <s v="n|a"/>
    <s v="n|a"/>
    <s v="n|a"/>
    <s v="Silver"/>
    <s v="Utensils Heater Sterilizer - 4 holes"/>
    <s v="piece"/>
    <n v="4300"/>
    <n v="4300"/>
    <s v="Low-Value Asset"/>
    <n v="1"/>
    <n v="1"/>
    <n v="0"/>
    <n v="0"/>
    <d v="2026-01-15T00:00:00"/>
    <x v="11"/>
    <s v="J-Ann G. Bentir"/>
    <s v="Administrative Officer II"/>
    <s v="SARO"/>
    <s v="Utensils Heater Sterilizer - 4 holes - Color: Silver"/>
    <m/>
    <m/>
  </r>
  <r>
    <s v="ICS2026 - 01 - 0065"/>
    <n v="37"/>
    <s v="Medical Equipment"/>
    <s v="SPLV - 2026 - 05 - 11 - 0037 - 16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2"/>
    <s v="Marivic D. Quinto"/>
    <s v="Administrative Officer I"/>
    <s v="SARO"/>
    <s v="Dial-Type Weighing Scale with Telescopic Height Measurement - Brand: Indoplas - Model: BWS-302 - Color: White"/>
    <m/>
    <m/>
  </r>
  <r>
    <s v="ICS2026 - 01 - 0066"/>
    <n v="38"/>
    <s v="Medical Equipment"/>
    <s v="SPLV - 2026 - 05 - 11 - 0038 - 17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3"/>
    <s v="Eugene V. Vivar"/>
    <s v="Administrative Assistant II"/>
    <s v="SARO"/>
    <s v="Dial-Type Weighing Scale with Telescopic Height Measurement - Brand: Indoplas - Model: BWS-302 - Color: White"/>
    <m/>
    <m/>
  </r>
  <r>
    <s v="ICS2026 - 01 - 0067"/>
    <n v="39"/>
    <s v="Medical Equipment"/>
    <s v="SPLV - 2026 - 05 - 11 - 0039 - 19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4"/>
    <s v="Annalyn M. Salvatiera"/>
    <s v="Administrative Assistant II"/>
    <s v="SARO"/>
    <s v="Dial-Type Weighing Scale with Telescopic Height Measurement - Brand: Indoplas - Model: BWS-302 - Color: White"/>
    <m/>
    <m/>
  </r>
  <r>
    <s v="ICS2026 - 01 - 0068"/>
    <n v="40"/>
    <s v="Medical Equipment"/>
    <s v="SPLV - 2026 - 05 - 11 - 0040 - 18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5"/>
    <s v="Gloria C. Monton"/>
    <s v="Administrative Assistant II"/>
    <s v="SARO"/>
    <s v="Dial-Type Weighing Scale with Telescopic Height Measurement - Brand: Indoplas - Model: BWS-302 - Color: White"/>
    <m/>
    <m/>
  </r>
  <r>
    <s v="ICS2026 - 01 - 0069"/>
    <n v="41"/>
    <s v="Medical Equipment"/>
    <s v="SPLV - 2026 - 05 - 11 - 0041 - 20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6"/>
    <s v="Novie Angel A. Encabo"/>
    <s v="Administrative Officer II"/>
    <s v="SARO"/>
    <s v="Dial-Type Weighing Scale with Telescopic Height Measurement - Brand: Indoplas - Model: BWS-302 - Color: White"/>
    <m/>
    <m/>
  </r>
  <r>
    <s v="ICS2026 - 01 - 0070"/>
    <n v="42"/>
    <s v="Medical Equipment"/>
    <s v="SPLV - 2026 - 05 - 11 - 0042 - 03B"/>
    <s v="Weighing Scale"/>
    <s v="Indoplas"/>
    <s v="BWS-302"/>
    <s v="n|a"/>
    <s v="n|a"/>
    <s v="n|a"/>
    <s v="n|a"/>
    <s v="White"/>
    <s v="Dial-Type Weighing Scale with Telescopic Height Measurement"/>
    <s v="piece"/>
    <n v="4600"/>
    <n v="4600"/>
    <s v="Low-Value Asset"/>
    <n v="1"/>
    <n v="1"/>
    <n v="0"/>
    <n v="0"/>
    <d v="2026-01-15T00:00:00"/>
    <x v="17"/>
    <s v="Paul Jemeel M. Panganiban"/>
    <s v="Nurse II"/>
    <s v="SARO"/>
    <s v="Dial-Type Weighing Scale with Telescopic Height Measurement - Brand: Indoplas - Model: BWS-302 - Color: White"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  <r>
    <m/>
    <m/>
    <m/>
    <m/>
    <m/>
    <m/>
    <m/>
    <m/>
    <m/>
    <m/>
    <m/>
    <m/>
    <m/>
    <m/>
    <m/>
    <m/>
    <m/>
    <m/>
    <m/>
    <m/>
    <m/>
    <m/>
    <x v="1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698AA-C260-407A-819C-DC11E4A69D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29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4"/>
        <item x="1"/>
        <item x="9"/>
        <item x="11"/>
        <item x="5"/>
        <item x="7"/>
        <item x="10"/>
        <item x="0"/>
        <item x="3"/>
        <item x="2"/>
        <item x="6"/>
        <item x="8"/>
        <item x="18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numFmtId="172" showAll="0"/>
  </pivotFields>
  <rowFields count="1">
    <field x="2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Total Valu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0ADDE-5DE8-43FA-8F10-212C3B4AD924}" name="Table1" displayName="Table1" ref="A1:AC205" totalsRowShown="0" headerRowDxfId="42" dataDxfId="40" headerRowBorderDxfId="41" tableBorderDxfId="39">
  <autoFilter ref="A1:AC205" xr:uid="{6E8C45C4-2123-4D6B-B1D1-20242D63C0C5}"/>
  <sortState xmlns:xlrd2="http://schemas.microsoft.com/office/spreadsheetml/2017/richdata2" ref="A2:AC205">
    <sortCondition ref="A1:A205"/>
  </sortState>
  <tableColumns count="29">
    <tableColumn id="1" xr3:uid="{463A73F8-6412-4161-80F7-3C4461ED3459}" name="ICS Number" dataDxfId="38"/>
    <tableColumn id="2" xr3:uid="{2990E81D-F0F4-4BB9-AB66-4F06E50E33C5}" name="Series Number" dataDxfId="37"/>
    <tableColumn id="3" xr3:uid="{CA0E49A3-3A27-403C-9C0C-779E63ACB3E7}" name="Article" dataDxfId="36"/>
    <tableColumn id="4" xr3:uid="{31CB6B4A-AEB1-494C-9463-10FDD8352D60}" name="Property Number" dataDxfId="35"/>
    <tableColumn id="5" xr3:uid="{524983AA-8A65-4E07-A61D-4447FF2384E9}" name="Type of Properties" dataDxfId="34"/>
    <tableColumn id="6" xr3:uid="{2B6A9654-AD50-4FE2-AB84-DBD497F3C28A}" name="Brand" dataDxfId="33"/>
    <tableColumn id="7" xr3:uid="{5D3D58CD-B551-4A29-A62A-F2CF0E59B227}" name="Model" dataDxfId="32"/>
    <tableColumn id="8" xr3:uid="{B713895B-A670-4E7B-AAEF-5935A9BA8C23}" name="Serial Number" dataDxfId="31"/>
    <tableColumn id="9" xr3:uid="{F24F8A99-2940-4DD0-8A10-CF0D8B884A28}" name="Processor" dataDxfId="30"/>
    <tableColumn id="10" xr3:uid="{161F7F71-8808-4C83-BBE5-9989A03709EC}" name="RAM" dataDxfId="29"/>
    <tableColumn id="11" xr3:uid="{6D12E774-E16C-4827-AD08-2E373BC3BA84}" name="Storage" dataDxfId="28"/>
    <tableColumn id="12" xr3:uid="{EA6B142E-BF65-4658-8629-DC3BEF2402BF}" name="Color" dataDxfId="27"/>
    <tableColumn id="13" xr3:uid="{BF626BE8-218F-47E5-819C-88E63E9578F4}" name="Other Description" dataDxfId="26"/>
    <tableColumn id="14" xr3:uid="{54FE81FD-4370-4A82-9876-08ABF319F46A}" name="Unit of Measure" dataDxfId="25"/>
    <tableColumn id="15" xr3:uid="{4FF22758-19D5-466F-AE56-1C24F68368C1}" name="Unit Value" dataDxfId="24"/>
    <tableColumn id="16" xr3:uid="{5958BA7F-5D7D-4A88-866B-B435D08C2FAA}" name="Total Value" dataDxfId="23"/>
    <tableColumn id="17" xr3:uid="{C60FA410-BCB2-4239-9BFA-13630ED01BC8}" name="Value Category" dataDxfId="22"/>
    <tableColumn id="18" xr3:uid="{D8B95E5A-CE31-4066-8C45-FCED87214040}" name="Qty | PCard" dataDxfId="21"/>
    <tableColumn id="19" xr3:uid="{A18AFDC9-07F0-4DDA-9EA0-2DCFC32DEF18}" name="Qty | PCount" dataDxfId="20"/>
    <tableColumn id="20" xr3:uid="{9C0519BA-CC22-4433-945B-07B4537E52AF}" name="S|O Qty" dataDxfId="19"/>
    <tableColumn id="21" xr3:uid="{7C011DD5-4386-4DD0-82D1-CD201164EF5C}" name="S|O Value" dataDxfId="18"/>
    <tableColumn id="22" xr3:uid="{B025DBF7-2D64-4DE6-B1CB-6C6D76181271}" name="Date of Acquisition" dataDxfId="17"/>
    <tableColumn id="23" xr3:uid="{8466858E-25B7-4772-834B-077547862333}" name="Location" dataDxfId="16"/>
    <tableColumn id="27" xr3:uid="{FE1C7A91-6FA4-4182-A6C4-3F6DB3E79620}" name="Accountable Person" dataDxfId="15"/>
    <tableColumn id="24" xr3:uid="{9E636631-CAF9-4738-905F-2AABDB421E1C}" name="Position" dataDxfId="14"/>
    <tableColumn id="25" xr3:uid="{0EBD0E98-1F5D-46E0-9746-6A416DA0222A}" name="Source of Fund" dataDxfId="13"/>
    <tableColumn id="26" xr3:uid="{962DBC5E-E6BF-43F0-886E-740011F436B1}" name="Full Specifications" dataDxfId="12"/>
    <tableColumn id="28" xr3:uid="{416FBC97-C19E-43C9-8D85-01A488F1B33B}" name="Issued ICS" dataDxfId="11"/>
    <tableColumn id="29" xr3:uid="{8A8145EA-186B-4F55-9165-162A5C75BB48}" name="Date of Renewal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4902F-7872-4A51-BF35-310109856B19}" name="Table2" displayName="Table2" ref="B3:L24" totalsRowShown="0">
  <autoFilter ref="B3:L24" xr:uid="{9DC4902F-7872-4A51-BF35-310109856B19}"/>
  <tableColumns count="11">
    <tableColumn id="1" xr3:uid="{4422E602-E561-49D3-98F1-3B507839F453}" name="ICS No." dataDxfId="9">
      <calculatedColumnFormula>List!A2</calculatedColumnFormula>
    </tableColumn>
    <tableColumn id="2" xr3:uid="{FB0E4120-B2FB-4A66-84AC-875475E4B9AE}" name="Property No." dataDxfId="8">
      <calculatedColumnFormula>List!D2</calculatedColumnFormula>
    </tableColumn>
    <tableColumn id="3" xr3:uid="{BA8E98DC-1DE8-4B05-8204-333DD37E1888}" name="Asset Classification" dataDxfId="7">
      <calculatedColumnFormula>List!C2</calculatedColumnFormula>
    </tableColumn>
    <tableColumn id="4" xr3:uid="{DEFC5B1A-BEC7-471C-AD0C-308051F0627E}" name="Item | Brand | Model" dataDxfId="6">
      <calculatedColumnFormula>CONCATENATE(List!E2," - ",List!F2," - ",List!G2)</calculatedColumnFormula>
    </tableColumn>
    <tableColumn id="5" xr3:uid="{B1798E07-ACD8-4EFD-BB4B-E405ADC822DE}" name="Serial No." dataDxfId="5">
      <calculatedColumnFormula>List!H2</calculatedColumnFormula>
    </tableColumn>
    <tableColumn id="6" xr3:uid="{75C99DDA-1F6E-49C9-B6C7-84C810018781}" name="Acquisition Cost" dataCellStyle="Comma">
      <calculatedColumnFormula>List!O2</calculatedColumnFormula>
    </tableColumn>
    <tableColumn id="7" xr3:uid="{90BC0DA9-A092-4E14-B781-EC9399B674CC}" name="Acquisition Date" dataDxfId="4">
      <calculatedColumnFormula>List!V2</calculatedColumnFormula>
    </tableColumn>
    <tableColumn id="9" xr3:uid="{C408C468-514F-413E-8965-A6C43C17E140}" name="Issuance Date" dataDxfId="3">
      <calculatedColumnFormula>TODAY()</calculatedColumnFormula>
    </tableColumn>
    <tableColumn id="10" xr3:uid="{0A0CCC60-700E-4494-B313-0D3C7DC9EC69}" name="Location" dataDxfId="2">
      <calculatedColumnFormula>List!W2</calculatedColumnFormula>
    </tableColumn>
    <tableColumn id="8" xr3:uid="{7A2387EA-268D-4712-8681-7459A176BD66}" name="Accountable Person" dataDxfId="1">
      <calculatedColumnFormula>List!X2</calculatedColumnFormula>
    </tableColumn>
    <tableColumn id="11" xr3:uid="{C08D8784-21AA-4125-B26C-FCF5DC5E7F48}" name="Fund Source" dataDxfId="0">
      <calculatedColumnFormula>List!Z2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2234-393D-421A-9536-C84C5DE9B687}">
  <dimension ref="A1:Q176"/>
  <sheetViews>
    <sheetView zoomScale="190" zoomScaleNormal="190" workbookViewId="0">
      <selection activeCell="T18" sqref="T18"/>
    </sheetView>
  </sheetViews>
  <sheetFormatPr defaultRowHeight="15"/>
  <cols>
    <col min="1" max="1" width="1.6640625" customWidth="1"/>
    <col min="2" max="2" width="9.88671875" style="74" bestFit="1" customWidth="1"/>
    <col min="3" max="3" width="0.88671875" bestFit="1" customWidth="1"/>
    <col min="4" max="4" width="8.33203125" customWidth="1"/>
    <col min="5" max="5" width="7.77734375" customWidth="1"/>
    <col min="6" max="6" width="0.77734375" bestFit="1" customWidth="1"/>
    <col min="7" max="7" width="3.88671875" customWidth="1"/>
    <col min="8" max="9" width="1.77734375" customWidth="1"/>
    <col min="10" max="10" width="1.6640625" customWidth="1"/>
    <col min="11" max="11" width="9.88671875" customWidth="1"/>
    <col min="12" max="12" width="0.88671875" customWidth="1"/>
    <col min="13" max="13" width="8.33203125" customWidth="1"/>
    <col min="14" max="14" width="7.77734375" customWidth="1"/>
    <col min="15" max="15" width="0.77734375" customWidth="1"/>
    <col min="16" max="16" width="3.88671875" customWidth="1"/>
    <col min="17" max="17" width="1.77734375" customWidth="1"/>
  </cols>
  <sheetData>
    <row r="1" spans="1:17" s="94" customFormat="1" ht="6.45" customHeight="1">
      <c r="A1" s="99"/>
      <c r="B1" s="100"/>
      <c r="C1" s="101"/>
      <c r="D1" s="101"/>
      <c r="E1" s="101"/>
      <c r="F1" s="101"/>
      <c r="G1" s="101"/>
      <c r="H1" s="184" t="e" cm="1">
        <f t="array" ref="H1">_xlfn.XLOOKUP(D5,Table1[Property Number],CONCATENATE("Fund Source: ",Table1[Source of Fund]))</f>
        <v>#N/A</v>
      </c>
      <c r="J1" s="99"/>
      <c r="K1" s="100"/>
      <c r="L1" s="101"/>
      <c r="M1" s="101"/>
      <c r="N1" s="101"/>
      <c r="O1" s="101"/>
      <c r="P1" s="101"/>
      <c r="Q1" s="184" t="e" cm="1">
        <f t="array" ref="Q1">_xlfn.XLOOKUP(M5,Table1[Property Number],CONCATENATE("Fund Source: ",Table1[Source of Fund]))</f>
        <v>#N/A</v>
      </c>
    </row>
    <row r="2" spans="1:17" s="94" customFormat="1" ht="6.6">
      <c r="A2" s="102"/>
      <c r="B2" s="108"/>
      <c r="C2" s="109"/>
      <c r="D2" s="109"/>
      <c r="E2" s="104"/>
      <c r="F2" s="104"/>
      <c r="G2" s="104"/>
      <c r="H2" s="185"/>
      <c r="J2" s="102"/>
      <c r="K2" s="108"/>
      <c r="L2" s="109"/>
      <c r="M2" s="109"/>
      <c r="N2" s="104"/>
      <c r="O2" s="104"/>
      <c r="P2" s="104"/>
      <c r="Q2" s="185"/>
    </row>
    <row r="3" spans="1:17" s="94" customFormat="1" ht="6.6">
      <c r="A3" s="102"/>
      <c r="B3" s="108"/>
      <c r="C3" s="109"/>
      <c r="D3" s="109"/>
      <c r="E3" s="104"/>
      <c r="F3" s="104"/>
      <c r="G3" s="104"/>
      <c r="H3" s="185"/>
      <c r="J3" s="102"/>
      <c r="K3" s="108"/>
      <c r="L3" s="109"/>
      <c r="M3" s="109"/>
      <c r="N3" s="104"/>
      <c r="O3" s="104"/>
      <c r="P3" s="104"/>
      <c r="Q3" s="185"/>
    </row>
    <row r="4" spans="1:17" s="94" customFormat="1" ht="6.6">
      <c r="A4" s="102"/>
      <c r="B4" s="110" t="s">
        <v>117</v>
      </c>
      <c r="C4" s="111" t="s">
        <v>118</v>
      </c>
      <c r="D4" s="112" t="e">
        <f>_xlfn.XLOOKUP(D5,Table1[Property Number],Table1[ICS Number])</f>
        <v>#N/A</v>
      </c>
      <c r="E4" s="112"/>
      <c r="F4" s="112"/>
      <c r="G4" s="112"/>
      <c r="H4" s="185"/>
      <c r="J4" s="102"/>
      <c r="K4" s="110" t="s">
        <v>117</v>
      </c>
      <c r="L4" s="111" t="s">
        <v>118</v>
      </c>
      <c r="M4" s="112" t="e">
        <f>_xlfn.XLOOKUP(M5,Table1[Property Number],Table1[ICS Number])</f>
        <v>#N/A</v>
      </c>
      <c r="N4" s="112"/>
      <c r="O4" s="112"/>
      <c r="P4" s="112"/>
      <c r="Q4" s="185"/>
    </row>
    <row r="5" spans="1:17" s="94" customFormat="1" ht="6.6">
      <c r="A5" s="102"/>
      <c r="B5" s="110" t="s">
        <v>119</v>
      </c>
      <c r="C5" s="111" t="s">
        <v>118</v>
      </c>
      <c r="D5" s="187" t="s">
        <v>130</v>
      </c>
      <c r="E5" s="187"/>
      <c r="F5" s="187"/>
      <c r="G5" s="187"/>
      <c r="H5" s="185"/>
      <c r="J5" s="102"/>
      <c r="K5" s="110" t="s">
        <v>119</v>
      </c>
      <c r="L5" s="111" t="s">
        <v>118</v>
      </c>
      <c r="M5" s="187" t="s">
        <v>131</v>
      </c>
      <c r="N5" s="187"/>
      <c r="O5" s="187"/>
      <c r="P5" s="187"/>
      <c r="Q5" s="185"/>
    </row>
    <row r="6" spans="1:17" s="94" customFormat="1" ht="6.6">
      <c r="A6" s="102"/>
      <c r="B6" s="110" t="s">
        <v>120</v>
      </c>
      <c r="C6" s="111" t="s">
        <v>118</v>
      </c>
      <c r="D6" s="187" t="e">
        <f>_xlfn.XLOOKUP(D5,Table1[Property Number],Table1[Article])</f>
        <v>#N/A</v>
      </c>
      <c r="E6" s="187"/>
      <c r="F6" s="187"/>
      <c r="G6" s="187"/>
      <c r="H6" s="185"/>
      <c r="J6" s="102"/>
      <c r="K6" s="110" t="s">
        <v>120</v>
      </c>
      <c r="L6" s="111" t="s">
        <v>118</v>
      </c>
      <c r="M6" s="187" t="e">
        <f>_xlfn.XLOOKUP(M5,Table1[Property Number],Table1[Article])</f>
        <v>#N/A</v>
      </c>
      <c r="N6" s="187"/>
      <c r="O6" s="187"/>
      <c r="P6" s="187"/>
      <c r="Q6" s="185"/>
    </row>
    <row r="7" spans="1:17" s="94" customFormat="1" ht="6.45" customHeight="1">
      <c r="A7" s="102"/>
      <c r="B7" s="110" t="s">
        <v>127</v>
      </c>
      <c r="C7" s="111" t="s">
        <v>118</v>
      </c>
      <c r="D7" s="188" t="e" cm="1">
        <f t="array" ref="D7">_xlfn.XLOOKUP(D5,Table1[Property Number],CONCATENATE(IF(Table1[Brand]="n|a"," ",Table1[Brand])," | ",IF(Table1[Model]="n|a"," ",Table1[Model])))</f>
        <v>#N/A</v>
      </c>
      <c r="E7" s="188"/>
      <c r="F7" s="188"/>
      <c r="G7" s="188"/>
      <c r="H7" s="185"/>
      <c r="J7" s="102"/>
      <c r="K7" s="110" t="s">
        <v>127</v>
      </c>
      <c r="L7" s="111" t="s">
        <v>118</v>
      </c>
      <c r="M7" s="188" t="e" cm="1">
        <f t="array" ref="M7">_xlfn.XLOOKUP(M5,Table1[Property Number],CONCATENATE(IF(Table1[Brand]="n|a"," ",Table1[Brand])," | ",IF(Table1[Model]="n|a"," ",Table1[Model])))</f>
        <v>#N/A</v>
      </c>
      <c r="N7" s="188"/>
      <c r="O7" s="188"/>
      <c r="P7" s="188"/>
      <c r="Q7" s="185"/>
    </row>
    <row r="8" spans="1:17" s="94" customFormat="1" ht="7.05" customHeight="1">
      <c r="A8" s="102"/>
      <c r="B8" s="110" t="s">
        <v>121</v>
      </c>
      <c r="C8" s="111" t="s">
        <v>118</v>
      </c>
      <c r="D8" s="189" t="e">
        <f>_xlfn.XLOOKUP(D5,Table1[Property Number],Table1[Serial Number])</f>
        <v>#N/A</v>
      </c>
      <c r="E8" s="189"/>
      <c r="F8" s="189"/>
      <c r="G8" s="189"/>
      <c r="H8" s="185"/>
      <c r="J8" s="102"/>
      <c r="K8" s="110" t="s">
        <v>121</v>
      </c>
      <c r="L8" s="111" t="s">
        <v>118</v>
      </c>
      <c r="M8" s="189" t="e">
        <f>_xlfn.XLOOKUP(M5,Table1[Property Number],Table1[Serial Number])</f>
        <v>#N/A</v>
      </c>
      <c r="N8" s="189"/>
      <c r="O8" s="189"/>
      <c r="P8" s="189"/>
      <c r="Q8" s="185"/>
    </row>
    <row r="9" spans="1:17" s="94" customFormat="1" ht="6.6">
      <c r="A9" s="102"/>
      <c r="B9" s="110" t="s">
        <v>122</v>
      </c>
      <c r="C9" s="111" t="s">
        <v>118</v>
      </c>
      <c r="D9" s="96" t="e">
        <f>_xlfn.XLOOKUP(D5,Table1[Property Number],Table1[Total Value])</f>
        <v>#N/A</v>
      </c>
      <c r="E9" s="110" t="s">
        <v>123</v>
      </c>
      <c r="F9" s="113" t="s">
        <v>118</v>
      </c>
      <c r="G9" s="126" t="e">
        <f>TEXT(_xlfn.XLOOKUP(D5,Table1[Property Number],Table1[Date of Renewal]),"mm.dd.yyyy")</f>
        <v>#N/A</v>
      </c>
      <c r="H9" s="185"/>
      <c r="J9" s="102"/>
      <c r="K9" s="110" t="s">
        <v>122</v>
      </c>
      <c r="L9" s="111" t="s">
        <v>118</v>
      </c>
      <c r="M9" s="96" t="e">
        <f>_xlfn.XLOOKUP(M5,Table1[Property Number],Table1[Total Value])</f>
        <v>#N/A</v>
      </c>
      <c r="N9" s="110" t="s">
        <v>123</v>
      </c>
      <c r="O9" s="113" t="s">
        <v>118</v>
      </c>
      <c r="P9" s="115" t="e">
        <f>_xlfn.XLOOKUP(M5,Table1[Property Number],Table1[Date of Renewal])</f>
        <v>#N/A</v>
      </c>
      <c r="Q9" s="185"/>
    </row>
    <row r="10" spans="1:17" s="94" customFormat="1" ht="6.6">
      <c r="A10" s="102"/>
      <c r="B10" s="110" t="s">
        <v>124</v>
      </c>
      <c r="C10" s="111" t="s">
        <v>118</v>
      </c>
      <c r="D10" s="97" t="e">
        <f>_xlfn.XLOOKUP(D5,Table1[Property Number],Table1[Accountable Person])</f>
        <v>#N/A</v>
      </c>
      <c r="E10" s="114"/>
      <c r="F10" s="114"/>
      <c r="G10" s="114"/>
      <c r="H10" s="185"/>
      <c r="J10" s="102"/>
      <c r="K10" s="110" t="s">
        <v>124</v>
      </c>
      <c r="L10" s="111" t="s">
        <v>118</v>
      </c>
      <c r="M10" s="97" t="e">
        <f>_xlfn.XLOOKUP(M5,Table1[Property Number],Table1[Accountable Person])</f>
        <v>#N/A</v>
      </c>
      <c r="N10" s="114"/>
      <c r="O10" s="114"/>
      <c r="P10" s="114"/>
      <c r="Q10" s="185"/>
    </row>
    <row r="11" spans="1:17" s="94" customFormat="1" ht="6.6">
      <c r="A11" s="102"/>
      <c r="B11" s="110" t="s">
        <v>125</v>
      </c>
      <c r="C11" s="111" t="s">
        <v>118</v>
      </c>
      <c r="D11" s="98"/>
      <c r="E11" s="114"/>
      <c r="F11" s="114"/>
      <c r="G11" s="114"/>
      <c r="H11" s="185"/>
      <c r="J11" s="102"/>
      <c r="K11" s="110" t="s">
        <v>125</v>
      </c>
      <c r="L11" s="111" t="s">
        <v>118</v>
      </c>
      <c r="M11" s="98"/>
      <c r="N11" s="114"/>
      <c r="O11" s="114"/>
      <c r="P11" s="114"/>
      <c r="Q11" s="185"/>
    </row>
    <row r="12" spans="1:17" s="94" customFormat="1" ht="6.6">
      <c r="A12" s="102"/>
      <c r="B12" s="190" t="s">
        <v>126</v>
      </c>
      <c r="C12" s="190"/>
      <c r="D12" s="190"/>
      <c r="E12" s="190"/>
      <c r="F12" s="190"/>
      <c r="G12" s="190"/>
      <c r="H12" s="185"/>
      <c r="J12" s="102"/>
      <c r="K12" s="190" t="s">
        <v>126</v>
      </c>
      <c r="L12" s="190"/>
      <c r="M12" s="190"/>
      <c r="N12" s="190"/>
      <c r="O12" s="190"/>
      <c r="P12" s="190"/>
      <c r="Q12" s="185"/>
    </row>
    <row r="13" spans="1:17" s="94" customFormat="1" ht="6.6">
      <c r="A13" s="102"/>
      <c r="B13" s="103"/>
      <c r="C13" s="104"/>
      <c r="D13" s="104"/>
      <c r="E13" s="104"/>
      <c r="F13" s="104"/>
      <c r="G13" s="104"/>
      <c r="H13" s="185"/>
      <c r="J13" s="102"/>
      <c r="K13" s="103"/>
      <c r="L13" s="104"/>
      <c r="M13" s="104"/>
      <c r="N13" s="104"/>
      <c r="O13" s="104"/>
      <c r="P13" s="104"/>
      <c r="Q13" s="185"/>
    </row>
    <row r="14" spans="1:17" s="94" customFormat="1" ht="7.2" thickBot="1">
      <c r="A14" s="105"/>
      <c r="B14" s="106"/>
      <c r="C14" s="107"/>
      <c r="D14" s="107"/>
      <c r="E14" s="107"/>
      <c r="F14" s="107"/>
      <c r="G14" s="107"/>
      <c r="H14" s="186"/>
      <c r="J14" s="105"/>
      <c r="K14" s="106"/>
      <c r="L14" s="107"/>
      <c r="M14" s="107"/>
      <c r="N14" s="107"/>
      <c r="O14" s="107"/>
      <c r="P14" s="107"/>
      <c r="Q14" s="186"/>
    </row>
    <row r="15" spans="1:17" s="94" customFormat="1" ht="7.2" thickBot="1"/>
    <row r="16" spans="1:17" s="94" customFormat="1" ht="6.6">
      <c r="A16" s="99"/>
      <c r="B16" s="100"/>
      <c r="C16" s="101"/>
      <c r="D16" s="101"/>
      <c r="E16" s="101"/>
      <c r="F16" s="101"/>
      <c r="G16" s="101"/>
      <c r="H16" s="184" t="e" cm="1">
        <f t="array" ref="H16">_xlfn.XLOOKUP(D20,Table1[Property Number],CONCATENATE("Fund Source: ",Table1[Source of Fund]))</f>
        <v>#N/A</v>
      </c>
      <c r="J16" s="99"/>
      <c r="K16" s="100"/>
      <c r="L16" s="101"/>
      <c r="M16" s="101"/>
      <c r="N16" s="101"/>
      <c r="O16" s="101"/>
      <c r="P16" s="101"/>
      <c r="Q16" s="184" t="e" cm="1">
        <f t="array" ref="Q16">_xlfn.XLOOKUP(M20,Table1[Property Number],CONCATENATE("Fund Source: ",Table1[Source of Fund]))</f>
        <v>#N/A</v>
      </c>
    </row>
    <row r="17" spans="1:17" s="94" customFormat="1" ht="6.6">
      <c r="A17" s="102"/>
      <c r="B17" s="108"/>
      <c r="C17" s="109"/>
      <c r="D17" s="109"/>
      <c r="E17" s="104"/>
      <c r="F17" s="104"/>
      <c r="G17" s="104"/>
      <c r="H17" s="185"/>
      <c r="J17" s="102"/>
      <c r="K17" s="108"/>
      <c r="L17" s="109"/>
      <c r="M17" s="109"/>
      <c r="N17" s="104"/>
      <c r="O17" s="104"/>
      <c r="P17" s="104"/>
      <c r="Q17" s="185"/>
    </row>
    <row r="18" spans="1:17" s="94" customFormat="1" ht="6.6">
      <c r="A18" s="102"/>
      <c r="B18" s="108"/>
      <c r="C18" s="109"/>
      <c r="D18" s="109"/>
      <c r="E18" s="104"/>
      <c r="F18" s="104"/>
      <c r="G18" s="104"/>
      <c r="H18" s="185"/>
      <c r="J18" s="102"/>
      <c r="K18" s="108"/>
      <c r="L18" s="109"/>
      <c r="M18" s="109"/>
      <c r="N18" s="104"/>
      <c r="O18" s="104"/>
      <c r="P18" s="104"/>
      <c r="Q18" s="185"/>
    </row>
    <row r="19" spans="1:17" s="94" customFormat="1" ht="6.6">
      <c r="A19" s="102"/>
      <c r="B19" s="110" t="s">
        <v>117</v>
      </c>
      <c r="C19" s="111" t="s">
        <v>118</v>
      </c>
      <c r="D19" s="112" t="e">
        <f>_xlfn.XLOOKUP(D20,Table1[Property Number],Table1[ICS Number])</f>
        <v>#N/A</v>
      </c>
      <c r="E19" s="112"/>
      <c r="F19" s="112"/>
      <c r="G19" s="112"/>
      <c r="H19" s="185"/>
      <c r="J19" s="102"/>
      <c r="K19" s="110" t="s">
        <v>117</v>
      </c>
      <c r="L19" s="111" t="s">
        <v>118</v>
      </c>
      <c r="M19" s="112" t="e">
        <f>_xlfn.XLOOKUP(M20,Table1[Property Number],Table1[ICS Number])</f>
        <v>#N/A</v>
      </c>
      <c r="N19" s="112"/>
      <c r="O19" s="112"/>
      <c r="P19" s="112"/>
      <c r="Q19" s="185"/>
    </row>
    <row r="20" spans="1:17" s="94" customFormat="1" ht="6.6">
      <c r="A20" s="102"/>
      <c r="B20" s="110" t="s">
        <v>119</v>
      </c>
      <c r="C20" s="111" t="s">
        <v>118</v>
      </c>
      <c r="D20" s="187" t="s">
        <v>132</v>
      </c>
      <c r="E20" s="187"/>
      <c r="F20" s="187"/>
      <c r="G20" s="187"/>
      <c r="H20" s="185"/>
      <c r="J20" s="102"/>
      <c r="K20" s="110" t="s">
        <v>119</v>
      </c>
      <c r="L20" s="111" t="s">
        <v>118</v>
      </c>
      <c r="M20" s="187" t="s">
        <v>133</v>
      </c>
      <c r="N20" s="187"/>
      <c r="O20" s="187"/>
      <c r="P20" s="187"/>
      <c r="Q20" s="185"/>
    </row>
    <row r="21" spans="1:17" s="94" customFormat="1" ht="6.6">
      <c r="A21" s="102"/>
      <c r="B21" s="110" t="s">
        <v>120</v>
      </c>
      <c r="C21" s="111" t="s">
        <v>118</v>
      </c>
      <c r="D21" s="187" t="e">
        <f>_xlfn.XLOOKUP(D20,Table1[Property Number],Table1[Article])</f>
        <v>#N/A</v>
      </c>
      <c r="E21" s="187"/>
      <c r="F21" s="187"/>
      <c r="G21" s="187"/>
      <c r="H21" s="185"/>
      <c r="J21" s="102"/>
      <c r="K21" s="110" t="s">
        <v>120</v>
      </c>
      <c r="L21" s="111" t="s">
        <v>118</v>
      </c>
      <c r="M21" s="187" t="e">
        <f>_xlfn.XLOOKUP(M20,Table1[Property Number],Table1[Article])</f>
        <v>#N/A</v>
      </c>
      <c r="N21" s="187"/>
      <c r="O21" s="187"/>
      <c r="P21" s="187"/>
      <c r="Q21" s="185"/>
    </row>
    <row r="22" spans="1:17" s="94" customFormat="1" ht="6.6">
      <c r="A22" s="102"/>
      <c r="B22" s="116" t="s">
        <v>127</v>
      </c>
      <c r="C22" s="117" t="s">
        <v>118</v>
      </c>
      <c r="D22" s="188" t="e" cm="1">
        <f t="array" ref="D22">_xlfn.XLOOKUP(D20,Table1[Property Number],CONCATENATE(IF(Table1[Brand]="n|a"," ",Table1[Brand])," | ",IF(Table1[Model]="n|a"," ",Table1[Model])))</f>
        <v>#N/A</v>
      </c>
      <c r="E22" s="188"/>
      <c r="F22" s="188"/>
      <c r="G22" s="188"/>
      <c r="H22" s="185"/>
      <c r="J22" s="102"/>
      <c r="K22" s="116" t="s">
        <v>127</v>
      </c>
      <c r="L22" s="117" t="s">
        <v>118</v>
      </c>
      <c r="M22" s="188" t="e" cm="1">
        <f t="array" ref="M22">_xlfn.XLOOKUP(M20,Table1[Property Number],CONCATENATE(IF(Table1[Brand]="n|a"," ",Table1[Brand])," | ",IF(Table1[Model]="n|a"," ",Table1[Model])))</f>
        <v>#N/A</v>
      </c>
      <c r="N22" s="188"/>
      <c r="O22" s="188"/>
      <c r="P22" s="188"/>
      <c r="Q22" s="185"/>
    </row>
    <row r="23" spans="1:17" s="94" customFormat="1" ht="6.6">
      <c r="A23" s="102"/>
      <c r="B23" s="110" t="s">
        <v>121</v>
      </c>
      <c r="C23" s="111" t="s">
        <v>118</v>
      </c>
      <c r="D23" s="189" t="e">
        <f>_xlfn.XLOOKUP(D20,Table1[Property Number],Table1[Serial Number])</f>
        <v>#N/A</v>
      </c>
      <c r="E23" s="189"/>
      <c r="F23" s="189"/>
      <c r="G23" s="189"/>
      <c r="H23" s="185"/>
      <c r="J23" s="102"/>
      <c r="K23" s="110" t="s">
        <v>121</v>
      </c>
      <c r="L23" s="111" t="s">
        <v>118</v>
      </c>
      <c r="M23" s="189" t="e">
        <f>_xlfn.XLOOKUP(M20,Table1[Property Number],Table1[Serial Number])</f>
        <v>#N/A</v>
      </c>
      <c r="N23" s="189"/>
      <c r="O23" s="189"/>
      <c r="P23" s="189"/>
      <c r="Q23" s="185"/>
    </row>
    <row r="24" spans="1:17" s="94" customFormat="1" ht="6.6">
      <c r="A24" s="102"/>
      <c r="B24" s="110" t="s">
        <v>122</v>
      </c>
      <c r="C24" s="111" t="s">
        <v>118</v>
      </c>
      <c r="D24" s="96" t="e">
        <f>_xlfn.XLOOKUP(D20,Table1[Property Number],Table1[Total Value])</f>
        <v>#N/A</v>
      </c>
      <c r="E24" s="110" t="s">
        <v>123</v>
      </c>
      <c r="F24" s="113" t="s">
        <v>118</v>
      </c>
      <c r="G24" s="115" t="e">
        <f>_xlfn.XLOOKUP(D20,Table1[Property Number],Table1[Date of Renewal])</f>
        <v>#N/A</v>
      </c>
      <c r="H24" s="185"/>
      <c r="J24" s="102"/>
      <c r="K24" s="110" t="s">
        <v>122</v>
      </c>
      <c r="L24" s="111" t="s">
        <v>118</v>
      </c>
      <c r="M24" s="96" t="e">
        <f>_xlfn.XLOOKUP(M20,Table1[Property Number],Table1[Total Value])</f>
        <v>#N/A</v>
      </c>
      <c r="N24" s="110" t="s">
        <v>123</v>
      </c>
      <c r="O24" s="113" t="s">
        <v>118</v>
      </c>
      <c r="P24" s="115" t="e">
        <f>_xlfn.XLOOKUP(M20,Table1[Property Number],Table1[Date of Acquisition])</f>
        <v>#N/A</v>
      </c>
      <c r="Q24" s="185"/>
    </row>
    <row r="25" spans="1:17" s="94" customFormat="1" ht="6.6">
      <c r="A25" s="102"/>
      <c r="B25" s="110" t="s">
        <v>124</v>
      </c>
      <c r="C25" s="111" t="s">
        <v>118</v>
      </c>
      <c r="D25" s="97" t="e">
        <f>_xlfn.XLOOKUP(D20,Table1[Property Number],Table1[Accountable Person])</f>
        <v>#N/A</v>
      </c>
      <c r="E25" s="114"/>
      <c r="F25" s="114"/>
      <c r="G25" s="114"/>
      <c r="H25" s="185"/>
      <c r="J25" s="102"/>
      <c r="K25" s="110" t="s">
        <v>124</v>
      </c>
      <c r="L25" s="111" t="s">
        <v>118</v>
      </c>
      <c r="M25" s="97" t="e">
        <f>_xlfn.XLOOKUP(M20,Table1[Property Number],Table1[Accountable Person])</f>
        <v>#N/A</v>
      </c>
      <c r="N25" s="114"/>
      <c r="O25" s="114"/>
      <c r="P25" s="114"/>
      <c r="Q25" s="185"/>
    </row>
    <row r="26" spans="1:17" s="94" customFormat="1" ht="6.6">
      <c r="A26" s="102"/>
      <c r="B26" s="110" t="s">
        <v>125</v>
      </c>
      <c r="C26" s="111" t="s">
        <v>118</v>
      </c>
      <c r="D26" s="98"/>
      <c r="E26" s="114"/>
      <c r="F26" s="114"/>
      <c r="G26" s="114"/>
      <c r="H26" s="185"/>
      <c r="J26" s="102"/>
      <c r="K26" s="110" t="s">
        <v>125</v>
      </c>
      <c r="L26" s="111" t="s">
        <v>118</v>
      </c>
      <c r="M26" s="98"/>
      <c r="N26" s="114"/>
      <c r="O26" s="114"/>
      <c r="P26" s="114"/>
      <c r="Q26" s="185"/>
    </row>
    <row r="27" spans="1:17" s="94" customFormat="1" ht="6.6">
      <c r="A27" s="102"/>
      <c r="B27" s="190" t="s">
        <v>126</v>
      </c>
      <c r="C27" s="190"/>
      <c r="D27" s="190"/>
      <c r="E27" s="190"/>
      <c r="F27" s="190"/>
      <c r="G27" s="190"/>
      <c r="H27" s="185"/>
      <c r="J27" s="102"/>
      <c r="K27" s="190" t="s">
        <v>126</v>
      </c>
      <c r="L27" s="190"/>
      <c r="M27" s="190"/>
      <c r="N27" s="190"/>
      <c r="O27" s="190"/>
      <c r="P27" s="190"/>
      <c r="Q27" s="185"/>
    </row>
    <row r="28" spans="1:17" s="94" customFormat="1" ht="6.6">
      <c r="A28" s="102"/>
      <c r="B28" s="103"/>
      <c r="C28" s="104"/>
      <c r="D28" s="104"/>
      <c r="E28" s="104"/>
      <c r="F28" s="104"/>
      <c r="G28" s="104"/>
      <c r="H28" s="185"/>
      <c r="J28" s="102"/>
      <c r="K28" s="103"/>
      <c r="L28" s="104"/>
      <c r="M28" s="104"/>
      <c r="N28" s="104"/>
      <c r="O28" s="104"/>
      <c r="P28" s="104"/>
      <c r="Q28" s="185"/>
    </row>
    <row r="29" spans="1:17" s="94" customFormat="1" ht="7.2" thickBot="1">
      <c r="A29" s="105"/>
      <c r="B29" s="106"/>
      <c r="C29" s="107"/>
      <c r="D29" s="107"/>
      <c r="E29" s="107"/>
      <c r="F29" s="107"/>
      <c r="G29" s="107"/>
      <c r="H29" s="186"/>
      <c r="J29" s="105"/>
      <c r="K29" s="106"/>
      <c r="L29" s="107"/>
      <c r="M29" s="107"/>
      <c r="N29" s="107"/>
      <c r="O29" s="107"/>
      <c r="P29" s="107"/>
      <c r="Q29" s="186"/>
    </row>
    <row r="30" spans="1:17" s="94" customFormat="1" ht="6.6"/>
    <row r="31" spans="1:17" s="94" customFormat="1" ht="6.6"/>
    <row r="32" spans="1:17" s="94" customFormat="1" ht="6.6">
      <c r="B32" s="95"/>
    </row>
    <row r="33" spans="2:2" s="94" customFormat="1" ht="6.6">
      <c r="B33" s="95"/>
    </row>
    <row r="34" spans="2:2" s="94" customFormat="1" ht="6.6">
      <c r="B34" s="95"/>
    </row>
    <row r="35" spans="2:2" s="94" customFormat="1" ht="6.6">
      <c r="B35" s="95"/>
    </row>
    <row r="36" spans="2:2" s="94" customFormat="1" ht="6.6">
      <c r="B36" s="95"/>
    </row>
    <row r="37" spans="2:2" s="94" customFormat="1" ht="6.6">
      <c r="B37" s="95"/>
    </row>
    <row r="38" spans="2:2" s="94" customFormat="1" ht="6.6">
      <c r="B38" s="95"/>
    </row>
    <row r="39" spans="2:2" s="94" customFormat="1" ht="6.6">
      <c r="B39" s="95"/>
    </row>
    <row r="40" spans="2:2" s="94" customFormat="1" ht="6.6">
      <c r="B40" s="95"/>
    </row>
    <row r="41" spans="2:2" s="94" customFormat="1" ht="6.6">
      <c r="B41" s="95"/>
    </row>
    <row r="42" spans="2:2" s="94" customFormat="1" ht="6.6">
      <c r="B42" s="95"/>
    </row>
    <row r="43" spans="2:2" s="94" customFormat="1" ht="6.6">
      <c r="B43" s="95"/>
    </row>
    <row r="44" spans="2:2" s="94" customFormat="1" ht="6.6">
      <c r="B44" s="95"/>
    </row>
    <row r="45" spans="2:2" s="94" customFormat="1" ht="6.6">
      <c r="B45" s="95"/>
    </row>
    <row r="46" spans="2:2" s="94" customFormat="1" ht="6.6">
      <c r="B46" s="95"/>
    </row>
    <row r="47" spans="2:2" s="94" customFormat="1" ht="6.6">
      <c r="B47" s="95"/>
    </row>
    <row r="48" spans="2:2" s="94" customFormat="1" ht="6.6">
      <c r="B48" s="95"/>
    </row>
    <row r="49" spans="2:2" s="94" customFormat="1" ht="6.6">
      <c r="B49" s="95"/>
    </row>
    <row r="50" spans="2:2" s="94" customFormat="1" ht="6.6">
      <c r="B50" s="95"/>
    </row>
    <row r="51" spans="2:2" s="94" customFormat="1" ht="6.6">
      <c r="B51" s="95"/>
    </row>
    <row r="52" spans="2:2" s="94" customFormat="1" ht="6.6">
      <c r="B52" s="95"/>
    </row>
    <row r="53" spans="2:2" s="94" customFormat="1" ht="6.6">
      <c r="B53" s="95"/>
    </row>
    <row r="54" spans="2:2" s="94" customFormat="1" ht="6.6">
      <c r="B54" s="95"/>
    </row>
    <row r="55" spans="2:2" s="94" customFormat="1" ht="6.6">
      <c r="B55" s="95"/>
    </row>
    <row r="56" spans="2:2" s="94" customFormat="1" ht="6.6">
      <c r="B56" s="95"/>
    </row>
    <row r="57" spans="2:2" s="94" customFormat="1" ht="6.6">
      <c r="B57" s="95"/>
    </row>
    <row r="58" spans="2:2" s="94" customFormat="1" ht="6.6">
      <c r="B58" s="95"/>
    </row>
    <row r="59" spans="2:2" s="94" customFormat="1" ht="6.6">
      <c r="B59" s="95"/>
    </row>
    <row r="60" spans="2:2" s="94" customFormat="1" ht="6.6">
      <c r="B60" s="95"/>
    </row>
    <row r="61" spans="2:2" s="94" customFormat="1" ht="6.6">
      <c r="B61" s="95"/>
    </row>
    <row r="62" spans="2:2" s="94" customFormat="1" ht="6.6">
      <c r="B62" s="95"/>
    </row>
    <row r="63" spans="2:2" s="94" customFormat="1" ht="6.6">
      <c r="B63" s="95"/>
    </row>
    <row r="64" spans="2:2" s="94" customFormat="1" ht="6.6">
      <c r="B64" s="95"/>
    </row>
    <row r="65" spans="2:2" s="94" customFormat="1" ht="6.6">
      <c r="B65" s="95"/>
    </row>
    <row r="66" spans="2:2" s="94" customFormat="1" ht="6.6">
      <c r="B66" s="95"/>
    </row>
    <row r="67" spans="2:2" s="94" customFormat="1" ht="6.6">
      <c r="B67" s="95"/>
    </row>
    <row r="68" spans="2:2" s="94" customFormat="1" ht="6.6">
      <c r="B68" s="95"/>
    </row>
    <row r="69" spans="2:2" s="94" customFormat="1" ht="6.6">
      <c r="B69" s="95"/>
    </row>
    <row r="70" spans="2:2" s="94" customFormat="1" ht="6.6">
      <c r="B70" s="95"/>
    </row>
    <row r="71" spans="2:2" s="94" customFormat="1" ht="6.6">
      <c r="B71" s="95"/>
    </row>
    <row r="72" spans="2:2" s="94" customFormat="1" ht="6.6">
      <c r="B72" s="95"/>
    </row>
    <row r="73" spans="2:2" s="94" customFormat="1" ht="6.6">
      <c r="B73" s="95"/>
    </row>
    <row r="74" spans="2:2" s="94" customFormat="1" ht="6.6">
      <c r="B74" s="95"/>
    </row>
    <row r="75" spans="2:2" s="94" customFormat="1" ht="6.6">
      <c r="B75" s="95"/>
    </row>
    <row r="76" spans="2:2" s="94" customFormat="1" ht="6.6">
      <c r="B76" s="95"/>
    </row>
    <row r="77" spans="2:2" s="94" customFormat="1" ht="6.6">
      <c r="B77" s="95"/>
    </row>
    <row r="78" spans="2:2" s="94" customFormat="1" ht="6.6">
      <c r="B78" s="95"/>
    </row>
    <row r="79" spans="2:2" s="94" customFormat="1" ht="6.6">
      <c r="B79" s="95"/>
    </row>
    <row r="80" spans="2:2" s="94" customFormat="1" ht="6.6">
      <c r="B80" s="95"/>
    </row>
    <row r="81" spans="2:2" s="94" customFormat="1" ht="6.6">
      <c r="B81" s="95"/>
    </row>
    <row r="82" spans="2:2" s="94" customFormat="1" ht="6.6">
      <c r="B82" s="95"/>
    </row>
    <row r="83" spans="2:2" s="94" customFormat="1" ht="6.6">
      <c r="B83" s="95"/>
    </row>
    <row r="84" spans="2:2" s="94" customFormat="1" ht="6.6">
      <c r="B84" s="95"/>
    </row>
    <row r="85" spans="2:2" s="94" customFormat="1" ht="6.6">
      <c r="B85" s="95"/>
    </row>
    <row r="86" spans="2:2" s="94" customFormat="1" ht="6.6">
      <c r="B86" s="95"/>
    </row>
    <row r="87" spans="2:2" s="94" customFormat="1" ht="6.6">
      <c r="B87" s="95"/>
    </row>
    <row r="88" spans="2:2" s="94" customFormat="1" ht="6.6">
      <c r="B88" s="95"/>
    </row>
    <row r="89" spans="2:2" s="94" customFormat="1" ht="6.6">
      <c r="B89" s="95"/>
    </row>
    <row r="90" spans="2:2" s="94" customFormat="1" ht="6.6">
      <c r="B90" s="95"/>
    </row>
    <row r="91" spans="2:2" s="94" customFormat="1" ht="6.6">
      <c r="B91" s="95"/>
    </row>
    <row r="92" spans="2:2" s="94" customFormat="1" ht="6.6">
      <c r="B92" s="95"/>
    </row>
    <row r="93" spans="2:2" s="94" customFormat="1" ht="6.6">
      <c r="B93" s="95"/>
    </row>
    <row r="94" spans="2:2" s="94" customFormat="1" ht="6.6">
      <c r="B94" s="95"/>
    </row>
    <row r="95" spans="2:2" s="94" customFormat="1" ht="6.6">
      <c r="B95" s="95"/>
    </row>
    <row r="96" spans="2:2" s="94" customFormat="1" ht="6.6">
      <c r="B96" s="95"/>
    </row>
    <row r="97" spans="2:2" s="94" customFormat="1" ht="6.6">
      <c r="B97" s="95"/>
    </row>
    <row r="98" spans="2:2" s="94" customFormat="1" ht="6.6">
      <c r="B98" s="95"/>
    </row>
    <row r="99" spans="2:2" s="94" customFormat="1" ht="6.6">
      <c r="B99" s="95"/>
    </row>
    <row r="100" spans="2:2" s="94" customFormat="1" ht="6.6">
      <c r="B100" s="95"/>
    </row>
    <row r="101" spans="2:2" s="94" customFormat="1" ht="6.6">
      <c r="B101" s="95"/>
    </row>
    <row r="102" spans="2:2" s="94" customFormat="1" ht="6.6">
      <c r="B102" s="95"/>
    </row>
    <row r="103" spans="2:2" s="94" customFormat="1" ht="6.6">
      <c r="B103" s="95"/>
    </row>
    <row r="104" spans="2:2" s="94" customFormat="1" ht="6.6">
      <c r="B104" s="95"/>
    </row>
    <row r="105" spans="2:2" s="94" customFormat="1" ht="6.6">
      <c r="B105" s="95"/>
    </row>
    <row r="106" spans="2:2" s="94" customFormat="1" ht="6.6">
      <c r="B106" s="95"/>
    </row>
    <row r="107" spans="2:2" s="94" customFormat="1" ht="6.6">
      <c r="B107" s="95"/>
    </row>
    <row r="108" spans="2:2" s="94" customFormat="1" ht="6.6">
      <c r="B108" s="95"/>
    </row>
    <row r="109" spans="2:2" s="94" customFormat="1" ht="6.6">
      <c r="B109" s="95"/>
    </row>
    <row r="110" spans="2:2" s="94" customFormat="1" ht="6.6">
      <c r="B110" s="95"/>
    </row>
    <row r="111" spans="2:2" s="94" customFormat="1" ht="6.6">
      <c r="B111" s="95"/>
    </row>
    <row r="112" spans="2:2" s="94" customFormat="1" ht="6.6">
      <c r="B112" s="95"/>
    </row>
    <row r="113" spans="2:2" s="94" customFormat="1" ht="6.6">
      <c r="B113" s="95"/>
    </row>
    <row r="114" spans="2:2" s="94" customFormat="1" ht="6.6">
      <c r="B114" s="95"/>
    </row>
    <row r="115" spans="2:2" s="94" customFormat="1" ht="6.6">
      <c r="B115" s="95"/>
    </row>
    <row r="116" spans="2:2" s="94" customFormat="1" ht="6.6">
      <c r="B116" s="95"/>
    </row>
    <row r="117" spans="2:2" s="94" customFormat="1" ht="6.6">
      <c r="B117" s="95"/>
    </row>
    <row r="118" spans="2:2" s="94" customFormat="1" ht="6.6">
      <c r="B118" s="95"/>
    </row>
    <row r="119" spans="2:2" s="94" customFormat="1" ht="6.6">
      <c r="B119" s="95"/>
    </row>
    <row r="120" spans="2:2" s="94" customFormat="1" ht="6.6">
      <c r="B120" s="95"/>
    </row>
    <row r="121" spans="2:2" s="94" customFormat="1" ht="6.6">
      <c r="B121" s="95"/>
    </row>
    <row r="122" spans="2:2" s="94" customFormat="1" ht="6.6">
      <c r="B122" s="95"/>
    </row>
    <row r="123" spans="2:2" s="94" customFormat="1" ht="6.6">
      <c r="B123" s="95"/>
    </row>
    <row r="124" spans="2:2" s="94" customFormat="1" ht="6.6">
      <c r="B124" s="95"/>
    </row>
    <row r="125" spans="2:2" s="94" customFormat="1" ht="6.6">
      <c r="B125" s="95"/>
    </row>
    <row r="126" spans="2:2" s="94" customFormat="1" ht="6.6">
      <c r="B126" s="95"/>
    </row>
    <row r="127" spans="2:2" s="94" customFormat="1" ht="6.6">
      <c r="B127" s="95"/>
    </row>
    <row r="128" spans="2:2" s="94" customFormat="1" ht="6.6">
      <c r="B128" s="95"/>
    </row>
    <row r="129" spans="2:2" s="94" customFormat="1" ht="6.6">
      <c r="B129" s="95"/>
    </row>
    <row r="130" spans="2:2" s="94" customFormat="1" ht="6.6">
      <c r="B130" s="95"/>
    </row>
    <row r="131" spans="2:2" s="94" customFormat="1" ht="6.6">
      <c r="B131" s="95"/>
    </row>
    <row r="132" spans="2:2" s="94" customFormat="1" ht="6.6">
      <c r="B132" s="95"/>
    </row>
    <row r="133" spans="2:2" s="94" customFormat="1" ht="6.6">
      <c r="B133" s="95"/>
    </row>
    <row r="134" spans="2:2" s="94" customFormat="1" ht="6.6">
      <c r="B134" s="95"/>
    </row>
    <row r="135" spans="2:2" s="94" customFormat="1" ht="6.6">
      <c r="B135" s="95"/>
    </row>
    <row r="136" spans="2:2" s="94" customFormat="1" ht="6.6">
      <c r="B136" s="95"/>
    </row>
    <row r="137" spans="2:2" s="94" customFormat="1" ht="6.6">
      <c r="B137" s="95"/>
    </row>
    <row r="138" spans="2:2" s="94" customFormat="1" ht="6.6">
      <c r="B138" s="95"/>
    </row>
    <row r="139" spans="2:2" s="94" customFormat="1" ht="6.6">
      <c r="B139" s="95"/>
    </row>
    <row r="140" spans="2:2" s="94" customFormat="1" ht="6.6">
      <c r="B140" s="95"/>
    </row>
    <row r="141" spans="2:2" s="94" customFormat="1" ht="6.6">
      <c r="B141" s="95"/>
    </row>
    <row r="142" spans="2:2" s="94" customFormat="1" ht="6.6">
      <c r="B142" s="95"/>
    </row>
    <row r="143" spans="2:2" s="94" customFormat="1" ht="6.6">
      <c r="B143" s="95"/>
    </row>
    <row r="144" spans="2:2" s="94" customFormat="1" ht="6.6">
      <c r="B144" s="95"/>
    </row>
    <row r="145" spans="2:2" s="94" customFormat="1" ht="6.6">
      <c r="B145" s="95"/>
    </row>
    <row r="146" spans="2:2" s="94" customFormat="1" ht="6.6">
      <c r="B146" s="95"/>
    </row>
    <row r="147" spans="2:2" s="94" customFormat="1" ht="6.6">
      <c r="B147" s="95"/>
    </row>
    <row r="148" spans="2:2" s="94" customFormat="1" ht="6.6">
      <c r="B148" s="95"/>
    </row>
    <row r="149" spans="2:2" s="94" customFormat="1" ht="6.6">
      <c r="B149" s="95"/>
    </row>
    <row r="150" spans="2:2" s="94" customFormat="1" ht="6.6">
      <c r="B150" s="95"/>
    </row>
    <row r="151" spans="2:2" s="94" customFormat="1" ht="6.6">
      <c r="B151" s="95"/>
    </row>
    <row r="152" spans="2:2" s="94" customFormat="1" ht="6.6">
      <c r="B152" s="95"/>
    </row>
    <row r="153" spans="2:2" s="94" customFormat="1" ht="6.6">
      <c r="B153" s="95"/>
    </row>
    <row r="154" spans="2:2" s="94" customFormat="1" ht="6.6">
      <c r="B154" s="95"/>
    </row>
    <row r="155" spans="2:2" s="94" customFormat="1" ht="6.6">
      <c r="B155" s="95"/>
    </row>
    <row r="156" spans="2:2" s="94" customFormat="1" ht="6.6">
      <c r="B156" s="95"/>
    </row>
    <row r="157" spans="2:2" s="94" customFormat="1" ht="6.6">
      <c r="B157" s="95"/>
    </row>
    <row r="158" spans="2:2" s="94" customFormat="1" ht="6.6">
      <c r="B158" s="95"/>
    </row>
    <row r="159" spans="2:2" s="94" customFormat="1" ht="6.6">
      <c r="B159" s="95"/>
    </row>
    <row r="160" spans="2:2" s="94" customFormat="1" ht="6.6">
      <c r="B160" s="95"/>
    </row>
    <row r="161" spans="2:2" s="94" customFormat="1" ht="6.6">
      <c r="B161" s="95"/>
    </row>
    <row r="162" spans="2:2" s="94" customFormat="1" ht="6.6">
      <c r="B162" s="95"/>
    </row>
    <row r="163" spans="2:2" s="94" customFormat="1" ht="6.6">
      <c r="B163" s="95"/>
    </row>
    <row r="164" spans="2:2" s="94" customFormat="1" ht="6.6">
      <c r="B164" s="95"/>
    </row>
    <row r="165" spans="2:2" s="94" customFormat="1" ht="6.6">
      <c r="B165" s="95"/>
    </row>
    <row r="166" spans="2:2" s="94" customFormat="1" ht="6.6">
      <c r="B166" s="95"/>
    </row>
    <row r="167" spans="2:2" s="94" customFormat="1" ht="6.6">
      <c r="B167" s="95"/>
    </row>
    <row r="168" spans="2:2" s="94" customFormat="1" ht="6.6">
      <c r="B168" s="95"/>
    </row>
    <row r="169" spans="2:2" s="94" customFormat="1" ht="6.6">
      <c r="B169" s="95"/>
    </row>
    <row r="170" spans="2:2" s="94" customFormat="1" ht="6.6">
      <c r="B170" s="95"/>
    </row>
    <row r="171" spans="2:2" s="94" customFormat="1" ht="6.6">
      <c r="B171" s="95"/>
    </row>
    <row r="172" spans="2:2" s="94" customFormat="1" ht="6.6">
      <c r="B172" s="95"/>
    </row>
    <row r="173" spans="2:2" s="94" customFormat="1" ht="6.6">
      <c r="B173" s="95"/>
    </row>
    <row r="174" spans="2:2" s="94" customFormat="1" ht="6.6">
      <c r="B174" s="95"/>
    </row>
    <row r="175" spans="2:2" s="94" customFormat="1" ht="6.6">
      <c r="B175" s="95"/>
    </row>
    <row r="176" spans="2:2" s="94" customFormat="1" ht="6.6">
      <c r="B176" s="95"/>
    </row>
  </sheetData>
  <mergeCells count="24">
    <mergeCell ref="H1:H14"/>
    <mergeCell ref="D5:G5"/>
    <mergeCell ref="D6:G6"/>
    <mergeCell ref="D7:G7"/>
    <mergeCell ref="D8:G8"/>
    <mergeCell ref="B12:G12"/>
    <mergeCell ref="D22:G22"/>
    <mergeCell ref="D21:G21"/>
    <mergeCell ref="D20:G20"/>
    <mergeCell ref="H16:H29"/>
    <mergeCell ref="D23:G23"/>
    <mergeCell ref="B27:G27"/>
    <mergeCell ref="Q1:Q14"/>
    <mergeCell ref="M5:P5"/>
    <mergeCell ref="M6:P6"/>
    <mergeCell ref="M7:P7"/>
    <mergeCell ref="M8:P8"/>
    <mergeCell ref="K12:P12"/>
    <mergeCell ref="Q16:Q29"/>
    <mergeCell ref="M20:P20"/>
    <mergeCell ref="M21:P21"/>
    <mergeCell ref="M22:P22"/>
    <mergeCell ref="M23:P23"/>
    <mergeCell ref="K27:P2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AA7247-98AE-4D84-9669-259648B8CEBF}">
          <x14:formula1>
            <xm:f>List!$D$2:$D$8</xm:f>
          </x14:formula1>
          <xm:sqref>D5 D20 M5 M20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87B1-A1F6-4C8F-A42E-4EC853EB448F}">
  <dimension ref="A1:AC205"/>
  <sheetViews>
    <sheetView topLeftCell="V1" workbookViewId="0">
      <selection activeCell="Y3" sqref="Y3"/>
    </sheetView>
  </sheetViews>
  <sheetFormatPr defaultRowHeight="14.4"/>
  <cols>
    <col min="1" max="1" width="14.109375" bestFit="1" customWidth="1"/>
    <col min="2" max="2" width="15.109375" bestFit="1" customWidth="1"/>
    <col min="3" max="3" width="11.21875" bestFit="1" customWidth="1"/>
    <col min="4" max="4" width="23.109375" bestFit="1" customWidth="1"/>
    <col min="5" max="5" width="17.88671875" bestFit="1" customWidth="1"/>
    <col min="6" max="6" width="9.33203125" bestFit="1" customWidth="1"/>
    <col min="7" max="7" width="29.44140625" bestFit="1" customWidth="1"/>
    <col min="8" max="8" width="14.77734375" bestFit="1" customWidth="1"/>
    <col min="9" max="9" width="12" bestFit="1" customWidth="1"/>
    <col min="10" max="10" width="8.77734375" bestFit="1" customWidth="1"/>
    <col min="11" max="11" width="10.33203125" bestFit="1" customWidth="1"/>
    <col min="12" max="12" width="9" bestFit="1" customWidth="1"/>
    <col min="13" max="13" width="19" bestFit="1" customWidth="1"/>
    <col min="14" max="14" width="16.109375" bestFit="1" customWidth="1"/>
    <col min="15" max="15" width="12.33203125" bestFit="1" customWidth="1"/>
    <col min="16" max="16" width="12.88671875" bestFit="1" customWidth="1"/>
    <col min="17" max="17" width="15.5546875" bestFit="1" customWidth="1"/>
    <col min="18" max="18" width="13.77734375" bestFit="1" customWidth="1"/>
    <col min="19" max="19" width="14.5546875" bestFit="1" customWidth="1"/>
    <col min="20" max="20" width="11.109375" bestFit="1" customWidth="1"/>
    <col min="21" max="21" width="12.44140625" bestFit="1" customWidth="1"/>
    <col min="22" max="22" width="18.21875" bestFit="1" customWidth="1"/>
    <col min="23" max="23" width="30" bestFit="1" customWidth="1"/>
    <col min="24" max="24" width="19.6640625" bestFit="1" customWidth="1"/>
    <col min="25" max="25" width="21.44140625" bestFit="1" customWidth="1"/>
    <col min="26" max="26" width="15.6640625" bestFit="1" customWidth="1"/>
    <col min="27" max="27" width="106.21875" bestFit="1" customWidth="1"/>
    <col min="28" max="28" width="12.5546875" bestFit="1" customWidth="1"/>
    <col min="29" max="29" width="16.44140625" bestFit="1" customWidth="1"/>
    <col min="30" max="36" width="12.109375" bestFit="1" customWidth="1"/>
    <col min="37" max="126" width="13" bestFit="1" customWidth="1"/>
    <col min="127" max="1026" width="13.88671875" bestFit="1" customWidth="1"/>
    <col min="1027" max="10026" width="14.77734375" bestFit="1" customWidth="1"/>
    <col min="10027" max="16384" width="15.77734375" bestFit="1" customWidth="1"/>
  </cols>
  <sheetData>
    <row r="1" spans="1:29" s="47" customFormat="1" ht="12.6">
      <c r="A1" s="47" t="s">
        <v>90</v>
      </c>
      <c r="B1" s="47" t="s">
        <v>91</v>
      </c>
      <c r="C1" s="47" t="s">
        <v>92</v>
      </c>
      <c r="D1" s="47" t="s">
        <v>93</v>
      </c>
      <c r="E1" s="47" t="s">
        <v>94</v>
      </c>
      <c r="F1" s="47" t="s">
        <v>95</v>
      </c>
      <c r="G1" s="47" t="s">
        <v>96</v>
      </c>
      <c r="H1" s="47" t="s">
        <v>97</v>
      </c>
      <c r="I1" s="47" t="s">
        <v>98</v>
      </c>
      <c r="J1" s="47" t="s">
        <v>99</v>
      </c>
      <c r="K1" s="47" t="s">
        <v>100</v>
      </c>
      <c r="L1" s="47" t="s">
        <v>101</v>
      </c>
      <c r="M1" s="47" t="s">
        <v>102</v>
      </c>
      <c r="N1" s="47" t="s">
        <v>103</v>
      </c>
      <c r="O1" s="47" t="s">
        <v>74</v>
      </c>
      <c r="P1" s="47" t="s">
        <v>116</v>
      </c>
      <c r="Q1" s="47" t="s">
        <v>104</v>
      </c>
      <c r="R1" s="47" t="s">
        <v>105</v>
      </c>
      <c r="S1" s="47" t="s">
        <v>106</v>
      </c>
      <c r="T1" s="47" t="s">
        <v>107</v>
      </c>
      <c r="U1" s="47" t="s">
        <v>108</v>
      </c>
      <c r="V1" s="47" t="s">
        <v>109</v>
      </c>
      <c r="W1" s="47" t="s">
        <v>110</v>
      </c>
      <c r="X1" s="47" t="s">
        <v>111</v>
      </c>
      <c r="Y1" s="47" t="s">
        <v>112</v>
      </c>
      <c r="Z1" s="47" t="s">
        <v>113</v>
      </c>
      <c r="AA1" s="47" t="s">
        <v>114</v>
      </c>
      <c r="AB1" s="47" t="s">
        <v>115</v>
      </c>
      <c r="AC1" s="125" t="s">
        <v>129</v>
      </c>
    </row>
    <row r="2" spans="1:29" s="48" customFormat="1" ht="25.2">
      <c r="A2" s="49" t="s">
        <v>167</v>
      </c>
      <c r="B2" s="50">
        <v>46</v>
      </c>
      <c r="C2" s="49" t="s">
        <v>168</v>
      </c>
      <c r="D2" s="49" t="s">
        <v>169</v>
      </c>
      <c r="E2" s="49" t="s">
        <v>170</v>
      </c>
      <c r="F2" s="49" t="s">
        <v>171</v>
      </c>
      <c r="G2" s="51" t="s">
        <v>172</v>
      </c>
      <c r="H2" s="51" t="s">
        <v>173</v>
      </c>
      <c r="I2" s="49" t="s">
        <v>174</v>
      </c>
      <c r="J2" s="49" t="s">
        <v>175</v>
      </c>
      <c r="K2" s="49" t="s">
        <v>176</v>
      </c>
      <c r="L2" s="49" t="s">
        <v>177</v>
      </c>
      <c r="M2" s="49" t="s">
        <v>178</v>
      </c>
      <c r="N2" s="49" t="s">
        <v>179</v>
      </c>
      <c r="O2" s="52">
        <v>42167.91</v>
      </c>
      <c r="P2" s="52">
        <v>42167.91</v>
      </c>
      <c r="Q2" s="49" t="s">
        <v>180</v>
      </c>
      <c r="R2" s="49">
        <v>1</v>
      </c>
      <c r="S2" s="49">
        <v>1</v>
      </c>
      <c r="T2" s="49">
        <v>0</v>
      </c>
      <c r="U2" s="49">
        <v>0</v>
      </c>
      <c r="V2" s="177">
        <v>44799</v>
      </c>
      <c r="W2" s="49" t="s">
        <v>166</v>
      </c>
      <c r="X2" s="49" t="s">
        <v>181</v>
      </c>
      <c r="Y2" s="49" t="s">
        <v>185</v>
      </c>
      <c r="Z2" s="49" t="s">
        <v>182</v>
      </c>
      <c r="AA2" s="122" t="s">
        <v>183</v>
      </c>
      <c r="AB2" s="49" t="s">
        <v>184</v>
      </c>
      <c r="AC2" s="183">
        <v>46058</v>
      </c>
    </row>
    <row r="3" spans="1:29" s="48" customFormat="1" ht="12.6">
      <c r="A3" s="49"/>
      <c r="B3" s="50"/>
      <c r="C3" s="49"/>
      <c r="D3" s="49"/>
      <c r="E3" s="49"/>
      <c r="F3" s="49"/>
      <c r="G3" s="51"/>
      <c r="H3" s="51"/>
      <c r="I3" s="49"/>
      <c r="J3" s="49"/>
      <c r="K3" s="49"/>
      <c r="L3" s="49"/>
      <c r="M3" s="49"/>
      <c r="N3" s="49"/>
      <c r="O3" s="52"/>
      <c r="P3" s="52"/>
      <c r="Q3" s="49"/>
      <c r="R3" s="49"/>
      <c r="S3" s="49"/>
      <c r="T3" s="49"/>
      <c r="U3" s="49"/>
      <c r="V3" s="177"/>
      <c r="W3" s="49"/>
      <c r="X3" s="49"/>
      <c r="Y3" s="49"/>
      <c r="Z3" s="49"/>
      <c r="AA3" s="122"/>
      <c r="AB3" s="49"/>
      <c r="AC3" s="183"/>
    </row>
    <row r="4" spans="1:29" s="48" customFormat="1" ht="12.6">
      <c r="A4" s="49"/>
      <c r="B4" s="50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52"/>
      <c r="P4" s="52"/>
      <c r="Q4" s="49"/>
      <c r="R4" s="49"/>
      <c r="S4" s="49"/>
      <c r="T4" s="49"/>
      <c r="U4" s="49"/>
      <c r="V4" s="177"/>
      <c r="W4" s="49"/>
      <c r="X4" s="49"/>
      <c r="Y4" s="49"/>
      <c r="Z4" s="49"/>
      <c r="AA4" s="122"/>
      <c r="AB4" s="49"/>
      <c r="AC4" s="183"/>
    </row>
    <row r="5" spans="1:29" s="48" customFormat="1" ht="12.6">
      <c r="A5" s="49"/>
      <c r="B5" s="50"/>
      <c r="C5" s="49"/>
      <c r="D5" s="49"/>
      <c r="E5" s="49"/>
      <c r="F5" s="49"/>
      <c r="G5" s="51"/>
      <c r="H5" s="51"/>
      <c r="I5" s="49"/>
      <c r="J5" s="49"/>
      <c r="K5" s="49"/>
      <c r="L5" s="49"/>
      <c r="M5" s="49"/>
      <c r="N5" s="49"/>
      <c r="O5" s="52"/>
      <c r="P5" s="52"/>
      <c r="Q5" s="49"/>
      <c r="R5" s="49"/>
      <c r="S5" s="49"/>
      <c r="T5" s="49"/>
      <c r="U5" s="49"/>
      <c r="V5" s="177"/>
      <c r="W5" s="49"/>
      <c r="X5" s="49"/>
      <c r="Y5" s="49"/>
      <c r="Z5" s="49"/>
      <c r="AA5" s="122"/>
      <c r="AB5" s="49"/>
      <c r="AC5" s="183"/>
    </row>
    <row r="6" spans="1:29" s="48" customFormat="1" ht="12.6">
      <c r="A6" s="49"/>
      <c r="B6" s="50"/>
      <c r="C6" s="49"/>
      <c r="D6" s="49"/>
      <c r="E6" s="49"/>
      <c r="F6" s="49"/>
      <c r="G6" s="51"/>
      <c r="H6" s="51"/>
      <c r="I6" s="49"/>
      <c r="J6" s="49"/>
      <c r="K6" s="49"/>
      <c r="L6" s="49"/>
      <c r="M6" s="49"/>
      <c r="N6" s="49"/>
      <c r="O6" s="52"/>
      <c r="P6" s="52"/>
      <c r="Q6" s="49"/>
      <c r="R6" s="49"/>
      <c r="S6" s="49"/>
      <c r="T6" s="49"/>
      <c r="U6" s="49"/>
      <c r="V6" s="177"/>
      <c r="W6" s="49"/>
      <c r="X6" s="49"/>
      <c r="Y6" s="49"/>
      <c r="Z6" s="49"/>
      <c r="AA6" s="122"/>
      <c r="AB6" s="49"/>
      <c r="AC6" s="183"/>
    </row>
    <row r="7" spans="1:29" s="48" customFormat="1" ht="12.6">
      <c r="A7" s="49"/>
      <c r="B7" s="50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52"/>
      <c r="P7" s="52"/>
      <c r="Q7" s="49"/>
      <c r="R7" s="49"/>
      <c r="S7" s="49"/>
      <c r="T7" s="49"/>
      <c r="U7" s="49"/>
      <c r="V7" s="177"/>
      <c r="W7" s="49"/>
      <c r="X7" s="49"/>
      <c r="Y7" s="49"/>
      <c r="Z7" s="49"/>
      <c r="AA7" s="122"/>
      <c r="AB7" s="49"/>
      <c r="AC7" s="183"/>
    </row>
    <row r="8" spans="1:29" s="48" customFormat="1" ht="12.6">
      <c r="A8" s="49"/>
      <c r="B8" s="50"/>
      <c r="C8" s="49"/>
      <c r="D8" s="49"/>
      <c r="E8" s="49"/>
      <c r="F8" s="49"/>
      <c r="G8" s="51"/>
      <c r="H8" s="51"/>
      <c r="I8" s="49"/>
      <c r="J8" s="49"/>
      <c r="K8" s="49"/>
      <c r="L8" s="49"/>
      <c r="M8" s="49"/>
      <c r="N8" s="49"/>
      <c r="O8" s="52"/>
      <c r="P8" s="52"/>
      <c r="Q8" s="49"/>
      <c r="R8" s="49"/>
      <c r="S8" s="49"/>
      <c r="T8" s="49"/>
      <c r="U8" s="49"/>
      <c r="V8" s="177"/>
      <c r="W8" s="49"/>
      <c r="X8" s="49"/>
      <c r="Y8" s="49"/>
      <c r="Z8" s="49"/>
      <c r="AA8" s="122"/>
      <c r="AB8" s="49"/>
      <c r="AC8" s="183"/>
    </row>
    <row r="9" spans="1:29" s="48" customFormat="1" ht="12.6">
      <c r="A9" s="49"/>
      <c r="B9" s="50"/>
      <c r="C9" s="49"/>
      <c r="D9" s="49"/>
      <c r="E9" s="49"/>
      <c r="F9" s="49"/>
      <c r="G9" s="51"/>
      <c r="H9" s="51"/>
      <c r="I9" s="49"/>
      <c r="J9" s="49"/>
      <c r="K9" s="49"/>
      <c r="L9" s="49"/>
      <c r="M9" s="49"/>
      <c r="N9" s="49"/>
      <c r="O9" s="52"/>
      <c r="P9" s="52"/>
      <c r="Q9" s="49"/>
      <c r="R9" s="49"/>
      <c r="S9" s="49"/>
      <c r="T9" s="49"/>
      <c r="U9" s="49"/>
      <c r="V9" s="177"/>
      <c r="W9" s="49"/>
      <c r="X9" s="49"/>
      <c r="Y9" s="49"/>
      <c r="Z9" s="49"/>
      <c r="AA9" s="122"/>
      <c r="AB9" s="49"/>
      <c r="AC9" s="183"/>
    </row>
    <row r="10" spans="1:29" s="48" customFormat="1" ht="12.6">
      <c r="A10" s="49"/>
      <c r="B10" s="50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52"/>
      <c r="P10" s="52"/>
      <c r="Q10" s="49"/>
      <c r="R10" s="49"/>
      <c r="S10" s="49"/>
      <c r="T10" s="49"/>
      <c r="U10" s="49"/>
      <c r="V10" s="177"/>
      <c r="W10" s="49"/>
      <c r="X10" s="49"/>
      <c r="Y10" s="49"/>
      <c r="Z10" s="49"/>
      <c r="AA10" s="122"/>
      <c r="AB10" s="49"/>
      <c r="AC10" s="183"/>
    </row>
    <row r="11" spans="1:29" s="48" customFormat="1" ht="12.6">
      <c r="A11" s="49"/>
      <c r="B11" s="50"/>
      <c r="C11" s="49"/>
      <c r="D11" s="49"/>
      <c r="E11" s="49"/>
      <c r="F11" s="49"/>
      <c r="G11" s="51"/>
      <c r="H11" s="51"/>
      <c r="I11" s="49"/>
      <c r="J11" s="49"/>
      <c r="K11" s="49"/>
      <c r="L11" s="49"/>
      <c r="M11" s="49"/>
      <c r="N11" s="49"/>
      <c r="O11" s="52"/>
      <c r="P11" s="52"/>
      <c r="Q11" s="49"/>
      <c r="R11" s="49"/>
      <c r="S11" s="49"/>
      <c r="T11" s="49"/>
      <c r="U11" s="49"/>
      <c r="V11" s="177"/>
      <c r="W11" s="49"/>
      <c r="X11" s="49"/>
      <c r="Y11" s="49"/>
      <c r="Z11" s="49"/>
      <c r="AA11" s="122"/>
      <c r="AB11" s="49"/>
      <c r="AC11" s="183"/>
    </row>
    <row r="12" spans="1:29" s="48" customFormat="1" ht="12.6">
      <c r="A12" s="49"/>
      <c r="B12" s="50"/>
      <c r="C12" s="49"/>
      <c r="D12" s="49"/>
      <c r="E12" s="49"/>
      <c r="F12" s="49"/>
      <c r="G12" s="51"/>
      <c r="H12" s="51"/>
      <c r="I12" s="49"/>
      <c r="J12" s="49"/>
      <c r="K12" s="49"/>
      <c r="L12" s="49"/>
      <c r="M12" s="49"/>
      <c r="N12" s="49"/>
      <c r="O12" s="52"/>
      <c r="P12" s="52"/>
      <c r="Q12" s="49"/>
      <c r="R12" s="49"/>
      <c r="S12" s="49"/>
      <c r="T12" s="49"/>
      <c r="U12" s="49"/>
      <c r="V12" s="177"/>
      <c r="W12" s="49"/>
      <c r="X12" s="49"/>
      <c r="Y12" s="49"/>
      <c r="Z12" s="49"/>
      <c r="AA12" s="122"/>
      <c r="AB12" s="49"/>
      <c r="AC12" s="183"/>
    </row>
    <row r="13" spans="1:29" s="48" customFormat="1" ht="12.6">
      <c r="A13" s="49"/>
      <c r="B13" s="50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2"/>
      <c r="P13" s="52"/>
      <c r="Q13" s="49"/>
      <c r="R13" s="49"/>
      <c r="S13" s="49"/>
      <c r="T13" s="49"/>
      <c r="U13" s="49"/>
      <c r="V13" s="177"/>
      <c r="W13" s="49"/>
      <c r="X13" s="49"/>
      <c r="Y13" s="49"/>
      <c r="Z13" s="49"/>
      <c r="AA13" s="122"/>
      <c r="AB13" s="49"/>
      <c r="AC13" s="183"/>
    </row>
    <row r="14" spans="1:29" s="48" customFormat="1" ht="12.6">
      <c r="A14" s="49"/>
      <c r="B14" s="50"/>
      <c r="C14" s="49"/>
      <c r="D14" s="49"/>
      <c r="E14" s="49"/>
      <c r="F14" s="49"/>
      <c r="G14" s="51"/>
      <c r="H14" s="51"/>
      <c r="I14" s="49"/>
      <c r="J14" s="49"/>
      <c r="K14" s="49"/>
      <c r="L14" s="49"/>
      <c r="M14" s="49"/>
      <c r="N14" s="49"/>
      <c r="O14" s="52"/>
      <c r="P14" s="52"/>
      <c r="Q14" s="49"/>
      <c r="R14" s="49"/>
      <c r="S14" s="49"/>
      <c r="T14" s="49"/>
      <c r="U14" s="49"/>
      <c r="V14" s="177"/>
      <c r="W14" s="49"/>
      <c r="X14" s="49"/>
      <c r="Y14" s="49"/>
      <c r="Z14" s="49"/>
      <c r="AA14" s="122"/>
      <c r="AB14" s="49"/>
      <c r="AC14" s="183"/>
    </row>
    <row r="15" spans="1:29">
      <c r="A15" s="49"/>
      <c r="B15" s="50"/>
      <c r="C15" s="49"/>
      <c r="D15" s="49"/>
      <c r="E15" s="49"/>
      <c r="F15" s="49"/>
      <c r="G15" s="51"/>
      <c r="H15" s="51"/>
      <c r="I15" s="49"/>
      <c r="J15" s="49"/>
      <c r="K15" s="49"/>
      <c r="L15" s="49"/>
      <c r="M15" s="49"/>
      <c r="N15" s="49"/>
      <c r="O15" s="52"/>
      <c r="P15" s="52"/>
      <c r="Q15" s="49"/>
      <c r="R15" s="49"/>
      <c r="S15" s="49"/>
      <c r="T15" s="49"/>
      <c r="U15" s="49"/>
      <c r="V15" s="177"/>
      <c r="W15" s="49"/>
      <c r="X15" s="49"/>
      <c r="Y15" s="49"/>
      <c r="Z15" s="49"/>
      <c r="AA15" s="122"/>
      <c r="AB15" s="49"/>
      <c r="AC15" s="183"/>
    </row>
    <row r="16" spans="1:29">
      <c r="A16" s="49"/>
      <c r="B16" s="50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52"/>
      <c r="P16" s="52"/>
      <c r="Q16" s="49"/>
      <c r="R16" s="49"/>
      <c r="S16" s="49"/>
      <c r="T16" s="49"/>
      <c r="U16" s="49"/>
      <c r="V16" s="177"/>
      <c r="W16" s="49"/>
      <c r="X16" s="49"/>
      <c r="Y16" s="49"/>
      <c r="Z16" s="49"/>
      <c r="AA16" s="122"/>
      <c r="AB16" s="49"/>
      <c r="AC16" s="183"/>
    </row>
    <row r="17" spans="1:29">
      <c r="A17" s="49"/>
      <c r="B17" s="50"/>
      <c r="C17" s="49"/>
      <c r="D17" s="49"/>
      <c r="E17" s="49"/>
      <c r="F17" s="49"/>
      <c r="G17" s="51"/>
      <c r="H17" s="51"/>
      <c r="I17" s="49"/>
      <c r="J17" s="49"/>
      <c r="K17" s="49"/>
      <c r="L17" s="49"/>
      <c r="M17" s="49"/>
      <c r="N17" s="49"/>
      <c r="O17" s="52"/>
      <c r="P17" s="52"/>
      <c r="Q17" s="49"/>
      <c r="R17" s="49"/>
      <c r="S17" s="49"/>
      <c r="T17" s="49"/>
      <c r="U17" s="49"/>
      <c r="V17" s="177"/>
      <c r="W17" s="49"/>
      <c r="X17" s="49"/>
      <c r="Y17" s="49"/>
      <c r="Z17" s="49"/>
      <c r="AA17" s="122"/>
      <c r="AB17" s="49"/>
      <c r="AC17" s="183"/>
    </row>
    <row r="18" spans="1:29">
      <c r="A18" s="49"/>
      <c r="B18" s="50"/>
      <c r="C18" s="49"/>
      <c r="D18" s="49"/>
      <c r="E18" s="49"/>
      <c r="F18" s="49"/>
      <c r="G18" s="51"/>
      <c r="H18" s="51"/>
      <c r="I18" s="49"/>
      <c r="J18" s="49"/>
      <c r="K18" s="49"/>
      <c r="L18" s="49"/>
      <c r="M18" s="49"/>
      <c r="N18" s="49"/>
      <c r="O18" s="52"/>
      <c r="P18" s="52"/>
      <c r="Q18" s="49"/>
      <c r="R18" s="49"/>
      <c r="S18" s="49"/>
      <c r="T18" s="49"/>
      <c r="U18" s="49"/>
      <c r="V18" s="177"/>
      <c r="W18" s="49"/>
      <c r="X18" s="49"/>
      <c r="Y18" s="49"/>
      <c r="Z18" s="49"/>
      <c r="AA18" s="122"/>
      <c r="AB18" s="49"/>
      <c r="AC18" s="183"/>
    </row>
    <row r="19" spans="1:29">
      <c r="A19" s="49"/>
      <c r="B19" s="50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2"/>
      <c r="P19" s="52"/>
      <c r="Q19" s="49"/>
      <c r="R19" s="49"/>
      <c r="S19" s="49"/>
      <c r="T19" s="49"/>
      <c r="U19" s="49"/>
      <c r="V19" s="177"/>
      <c r="W19" s="49"/>
      <c r="X19" s="49"/>
      <c r="Y19" s="49"/>
      <c r="Z19" s="49"/>
      <c r="AA19" s="122"/>
      <c r="AB19" s="49"/>
      <c r="AC19" s="183"/>
    </row>
    <row r="20" spans="1:29">
      <c r="A20" s="49"/>
      <c r="B20" s="50"/>
      <c r="C20" s="49"/>
      <c r="D20" s="49"/>
      <c r="E20" s="49"/>
      <c r="F20" s="49"/>
      <c r="G20" s="51"/>
      <c r="H20" s="51"/>
      <c r="I20" s="49"/>
      <c r="J20" s="49"/>
      <c r="K20" s="49"/>
      <c r="L20" s="49"/>
      <c r="M20" s="49"/>
      <c r="N20" s="49"/>
      <c r="O20" s="52"/>
      <c r="P20" s="52"/>
      <c r="Q20" s="49"/>
      <c r="R20" s="49"/>
      <c r="S20" s="49"/>
      <c r="T20" s="49"/>
      <c r="U20" s="49"/>
      <c r="V20" s="177"/>
      <c r="W20" s="49"/>
      <c r="X20" s="49"/>
      <c r="Y20" s="49"/>
      <c r="Z20" s="49"/>
      <c r="AA20" s="122"/>
      <c r="AB20" s="49"/>
      <c r="AC20" s="183"/>
    </row>
    <row r="21" spans="1:29">
      <c r="A21" s="49"/>
      <c r="B21" s="50"/>
      <c r="C21" s="49"/>
      <c r="D21" s="49"/>
      <c r="E21" s="49"/>
      <c r="F21" s="49"/>
      <c r="G21" s="51"/>
      <c r="H21" s="51"/>
      <c r="I21" s="49"/>
      <c r="J21" s="49"/>
      <c r="K21" s="49"/>
      <c r="L21" s="49"/>
      <c r="M21" s="49"/>
      <c r="N21" s="49"/>
      <c r="O21" s="52"/>
      <c r="P21" s="52"/>
      <c r="Q21" s="49"/>
      <c r="R21" s="49"/>
      <c r="S21" s="49"/>
      <c r="T21" s="49"/>
      <c r="U21" s="49"/>
      <c r="V21" s="177"/>
      <c r="W21" s="49"/>
      <c r="X21" s="49"/>
      <c r="Y21" s="49"/>
      <c r="Z21" s="49"/>
      <c r="AA21" s="122"/>
      <c r="AB21" s="49"/>
      <c r="AC21" s="183"/>
    </row>
    <row r="22" spans="1:29">
      <c r="A22" s="49"/>
      <c r="B22" s="50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2"/>
      <c r="P22" s="52"/>
      <c r="Q22" s="49"/>
      <c r="R22" s="49"/>
      <c r="S22" s="49"/>
      <c r="T22" s="49"/>
      <c r="U22" s="49"/>
      <c r="V22" s="177"/>
      <c r="W22" s="49"/>
      <c r="X22" s="49"/>
      <c r="Y22" s="49"/>
      <c r="Z22" s="49"/>
      <c r="AA22" s="122"/>
      <c r="AB22" s="49"/>
      <c r="AC22" s="183"/>
    </row>
    <row r="23" spans="1:29">
      <c r="A23" s="49"/>
      <c r="B23" s="50"/>
      <c r="C23" s="49"/>
      <c r="D23" s="49"/>
      <c r="E23" s="49"/>
      <c r="F23" s="49"/>
      <c r="G23" s="51"/>
      <c r="H23" s="51"/>
      <c r="I23" s="49"/>
      <c r="J23" s="49"/>
      <c r="K23" s="49"/>
      <c r="L23" s="49"/>
      <c r="M23" s="49"/>
      <c r="N23" s="49"/>
      <c r="O23" s="52"/>
      <c r="P23" s="52"/>
      <c r="Q23" s="49"/>
      <c r="R23" s="49"/>
      <c r="S23" s="49"/>
      <c r="T23" s="49"/>
      <c r="U23" s="49"/>
      <c r="V23" s="177"/>
      <c r="W23" s="49"/>
      <c r="X23" s="49"/>
      <c r="Y23" s="49"/>
      <c r="Z23" s="49"/>
      <c r="AA23" s="122"/>
      <c r="AB23" s="49"/>
      <c r="AC23" s="183"/>
    </row>
    <row r="24" spans="1:29">
      <c r="A24" s="49"/>
      <c r="B24" s="50"/>
      <c r="C24" s="49"/>
      <c r="D24" s="49"/>
      <c r="E24" s="49"/>
      <c r="F24" s="49"/>
      <c r="G24" s="51"/>
      <c r="H24" s="51"/>
      <c r="I24" s="49"/>
      <c r="J24" s="49"/>
      <c r="K24" s="49"/>
      <c r="L24" s="49"/>
      <c r="M24" s="49"/>
      <c r="N24" s="49"/>
      <c r="O24" s="52"/>
      <c r="P24" s="52"/>
      <c r="Q24" s="49"/>
      <c r="R24" s="49"/>
      <c r="S24" s="49"/>
      <c r="T24" s="49"/>
      <c r="U24" s="49"/>
      <c r="V24" s="177"/>
      <c r="W24" s="49"/>
      <c r="X24" s="49"/>
      <c r="Y24" s="49"/>
      <c r="Z24" s="49"/>
      <c r="AA24" s="122"/>
      <c r="AB24" s="49"/>
      <c r="AC24" s="183"/>
    </row>
    <row r="25" spans="1:29">
      <c r="A25" s="49"/>
      <c r="B25" s="50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2"/>
      <c r="P25" s="52"/>
      <c r="Q25" s="49"/>
      <c r="R25" s="49"/>
      <c r="S25" s="49"/>
      <c r="T25" s="49"/>
      <c r="U25" s="49"/>
      <c r="V25" s="177"/>
      <c r="W25" s="49"/>
      <c r="X25" s="49"/>
      <c r="Y25" s="49"/>
      <c r="Z25" s="49"/>
      <c r="AA25" s="122"/>
      <c r="AB25" s="49"/>
      <c r="AC25" s="183"/>
    </row>
    <row r="26" spans="1:29">
      <c r="A26" s="49"/>
      <c r="B26" s="50"/>
      <c r="C26" s="49"/>
      <c r="D26" s="49"/>
      <c r="E26" s="49"/>
      <c r="F26" s="49"/>
      <c r="G26" s="51"/>
      <c r="H26" s="51"/>
      <c r="I26" s="49"/>
      <c r="J26" s="49"/>
      <c r="K26" s="49"/>
      <c r="L26" s="49"/>
      <c r="M26" s="49"/>
      <c r="N26" s="49"/>
      <c r="O26" s="52"/>
      <c r="P26" s="52"/>
      <c r="Q26" s="49"/>
      <c r="R26" s="49"/>
      <c r="S26" s="49"/>
      <c r="T26" s="49"/>
      <c r="U26" s="49"/>
      <c r="V26" s="177"/>
      <c r="W26" s="49"/>
      <c r="X26" s="49"/>
      <c r="Y26" s="49"/>
      <c r="Z26" s="49"/>
      <c r="AA26" s="122"/>
      <c r="AB26" s="49"/>
      <c r="AC26" s="183"/>
    </row>
    <row r="27" spans="1:29">
      <c r="A27" s="49"/>
      <c r="B27" s="50"/>
      <c r="C27" s="49"/>
      <c r="D27" s="49"/>
      <c r="E27" s="49"/>
      <c r="F27" s="49"/>
      <c r="G27" s="51"/>
      <c r="H27" s="51"/>
      <c r="I27" s="49"/>
      <c r="J27" s="49"/>
      <c r="K27" s="49"/>
      <c r="L27" s="49"/>
      <c r="M27" s="49"/>
      <c r="N27" s="49"/>
      <c r="O27" s="52"/>
      <c r="P27" s="52"/>
      <c r="Q27" s="49"/>
      <c r="R27" s="49"/>
      <c r="S27" s="49"/>
      <c r="T27" s="49"/>
      <c r="U27" s="49"/>
      <c r="V27" s="177"/>
      <c r="W27" s="49"/>
      <c r="X27" s="49"/>
      <c r="Y27" s="49"/>
      <c r="Z27" s="49"/>
      <c r="AA27" s="122"/>
      <c r="AB27" s="49"/>
      <c r="AC27" s="183"/>
    </row>
    <row r="28" spans="1:29">
      <c r="A28" s="49"/>
      <c r="B28" s="50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2"/>
      <c r="P28" s="52"/>
      <c r="Q28" s="49"/>
      <c r="R28" s="49"/>
      <c r="S28" s="49"/>
      <c r="T28" s="49"/>
      <c r="U28" s="49"/>
      <c r="V28" s="177"/>
      <c r="W28" s="49"/>
      <c r="X28" s="49"/>
      <c r="Y28" s="49"/>
      <c r="Z28" s="49"/>
      <c r="AA28" s="122"/>
      <c r="AB28" s="49"/>
      <c r="AC28" s="183"/>
    </row>
    <row r="29" spans="1:29">
      <c r="A29" s="49"/>
      <c r="B29" s="50"/>
      <c r="C29" s="49"/>
      <c r="D29" s="49"/>
      <c r="E29" s="49"/>
      <c r="F29" s="49"/>
      <c r="G29" s="51"/>
      <c r="H29" s="51"/>
      <c r="I29" s="49"/>
      <c r="J29" s="49"/>
      <c r="K29" s="49"/>
      <c r="L29" s="49"/>
      <c r="M29" s="49"/>
      <c r="N29" s="49"/>
      <c r="O29" s="52"/>
      <c r="P29" s="52"/>
      <c r="Q29" s="49"/>
      <c r="R29" s="49"/>
      <c r="S29" s="49"/>
      <c r="T29" s="49"/>
      <c r="U29" s="49"/>
      <c r="V29" s="177"/>
      <c r="W29" s="49"/>
      <c r="X29" s="49"/>
      <c r="Y29" s="49"/>
      <c r="Z29" s="49"/>
      <c r="AA29" s="122"/>
      <c r="AB29" s="49"/>
      <c r="AC29" s="183"/>
    </row>
    <row r="30" spans="1:29">
      <c r="A30" s="49"/>
      <c r="B30" s="50"/>
      <c r="C30" s="49"/>
      <c r="D30" s="49"/>
      <c r="E30" s="49"/>
      <c r="F30" s="49"/>
      <c r="G30" s="51"/>
      <c r="H30" s="51"/>
      <c r="I30" s="49"/>
      <c r="J30" s="49"/>
      <c r="K30" s="49"/>
      <c r="L30" s="49"/>
      <c r="M30" s="49"/>
      <c r="N30" s="49"/>
      <c r="O30" s="52"/>
      <c r="P30" s="52"/>
      <c r="Q30" s="49"/>
      <c r="R30" s="49"/>
      <c r="S30" s="49"/>
      <c r="T30" s="49"/>
      <c r="U30" s="49"/>
      <c r="V30" s="177"/>
      <c r="W30" s="49"/>
      <c r="X30" s="49"/>
      <c r="Y30" s="49"/>
      <c r="Z30" s="49"/>
      <c r="AA30" s="122"/>
      <c r="AB30" s="49"/>
      <c r="AC30" s="183"/>
    </row>
    <row r="31" spans="1:29">
      <c r="A31" s="49"/>
      <c r="B31" s="50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2"/>
      <c r="P31" s="52"/>
      <c r="Q31" s="49"/>
      <c r="R31" s="49"/>
      <c r="S31" s="49"/>
      <c r="T31" s="49"/>
      <c r="U31" s="49"/>
      <c r="V31" s="177"/>
      <c r="W31" s="49"/>
      <c r="X31" s="49"/>
      <c r="Y31" s="49"/>
      <c r="Z31" s="49"/>
      <c r="AA31" s="122"/>
      <c r="AB31" s="49"/>
      <c r="AC31" s="183"/>
    </row>
    <row r="32" spans="1:29">
      <c r="A32" s="49"/>
      <c r="B32" s="50"/>
      <c r="C32" s="49"/>
      <c r="D32" s="49"/>
      <c r="E32" s="49"/>
      <c r="F32" s="49"/>
      <c r="G32" s="51"/>
      <c r="H32" s="51"/>
      <c r="I32" s="49"/>
      <c r="J32" s="49"/>
      <c r="K32" s="49"/>
      <c r="L32" s="49"/>
      <c r="M32" s="49"/>
      <c r="N32" s="49"/>
      <c r="O32" s="52"/>
      <c r="P32" s="52"/>
      <c r="Q32" s="49"/>
      <c r="R32" s="49"/>
      <c r="S32" s="49"/>
      <c r="T32" s="49"/>
      <c r="U32" s="49"/>
      <c r="V32" s="177"/>
      <c r="W32" s="49"/>
      <c r="X32" s="49"/>
      <c r="Y32" s="49"/>
      <c r="Z32" s="49"/>
      <c r="AA32" s="122"/>
      <c r="AB32" s="49"/>
      <c r="AC32" s="183"/>
    </row>
    <row r="33" spans="1:29">
      <c r="A33" s="49"/>
      <c r="B33" s="50"/>
      <c r="C33" s="49"/>
      <c r="D33" s="49"/>
      <c r="E33" s="49"/>
      <c r="F33" s="49"/>
      <c r="G33" s="51"/>
      <c r="H33" s="51"/>
      <c r="I33" s="49"/>
      <c r="J33" s="49"/>
      <c r="K33" s="49"/>
      <c r="L33" s="49"/>
      <c r="M33" s="49"/>
      <c r="N33" s="49"/>
      <c r="O33" s="52"/>
      <c r="P33" s="52"/>
      <c r="Q33" s="49"/>
      <c r="R33" s="49"/>
      <c r="S33" s="49"/>
      <c r="T33" s="49"/>
      <c r="U33" s="49"/>
      <c r="V33" s="177"/>
      <c r="W33" s="49"/>
      <c r="X33" s="49"/>
      <c r="Y33" s="49"/>
      <c r="Z33" s="49"/>
      <c r="AA33" s="122"/>
      <c r="AB33" s="49"/>
      <c r="AC33" s="183"/>
    </row>
    <row r="34" spans="1:29">
      <c r="A34" s="49"/>
      <c r="B34" s="50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2"/>
      <c r="P34" s="52"/>
      <c r="Q34" s="49"/>
      <c r="R34" s="49"/>
      <c r="S34" s="49"/>
      <c r="T34" s="49"/>
      <c r="U34" s="49"/>
      <c r="V34" s="177"/>
      <c r="W34" s="49"/>
      <c r="X34" s="49"/>
      <c r="Y34" s="49"/>
      <c r="Z34" s="49"/>
      <c r="AA34" s="122"/>
      <c r="AB34" s="49"/>
      <c r="AC34" s="183"/>
    </row>
    <row r="35" spans="1:29">
      <c r="A35" s="49"/>
      <c r="B35" s="50"/>
      <c r="C35" s="49"/>
      <c r="D35" s="49"/>
      <c r="E35" s="49"/>
      <c r="F35" s="49"/>
      <c r="G35" s="51"/>
      <c r="H35" s="51"/>
      <c r="I35" s="49"/>
      <c r="J35" s="49"/>
      <c r="K35" s="49"/>
      <c r="L35" s="49"/>
      <c r="M35" s="49"/>
      <c r="N35" s="49"/>
      <c r="O35" s="52"/>
      <c r="P35" s="52"/>
      <c r="Q35" s="49"/>
      <c r="R35" s="49"/>
      <c r="S35" s="49"/>
      <c r="T35" s="49"/>
      <c r="U35" s="49"/>
      <c r="V35" s="177"/>
      <c r="W35" s="49"/>
      <c r="X35" s="49"/>
      <c r="Y35" s="49"/>
      <c r="Z35" s="49"/>
      <c r="AA35" s="122"/>
      <c r="AB35" s="49"/>
      <c r="AC35" s="183"/>
    </row>
    <row r="36" spans="1:29">
      <c r="A36" s="49"/>
      <c r="B36" s="50"/>
      <c r="C36" s="49"/>
      <c r="D36" s="49"/>
      <c r="E36" s="49"/>
      <c r="F36" s="49"/>
      <c r="G36" s="51"/>
      <c r="H36" s="51"/>
      <c r="I36" s="49"/>
      <c r="J36" s="49"/>
      <c r="K36" s="49"/>
      <c r="L36" s="49"/>
      <c r="M36" s="49"/>
      <c r="N36" s="49"/>
      <c r="O36" s="52"/>
      <c r="P36" s="52"/>
      <c r="Q36" s="49"/>
      <c r="R36" s="49"/>
      <c r="S36" s="49"/>
      <c r="T36" s="49"/>
      <c r="U36" s="49"/>
      <c r="V36" s="177"/>
      <c r="W36" s="49"/>
      <c r="X36" s="49"/>
      <c r="Y36" s="49"/>
      <c r="Z36" s="49"/>
      <c r="AA36" s="122"/>
      <c r="AB36" s="49"/>
      <c r="AC36" s="183"/>
    </row>
    <row r="37" spans="1:29">
      <c r="A37" s="49"/>
      <c r="B37" s="50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52"/>
      <c r="P37" s="52"/>
      <c r="Q37" s="49"/>
      <c r="R37" s="49"/>
      <c r="S37" s="49"/>
      <c r="T37" s="49"/>
      <c r="U37" s="49"/>
      <c r="V37" s="177"/>
      <c r="W37" s="49"/>
      <c r="X37" s="49"/>
      <c r="Y37" s="49"/>
      <c r="Z37" s="49"/>
      <c r="AA37" s="122"/>
      <c r="AB37" s="49"/>
      <c r="AC37" s="183"/>
    </row>
    <row r="38" spans="1:29">
      <c r="A38" s="49"/>
      <c r="B38" s="50"/>
      <c r="C38" s="49"/>
      <c r="D38" s="49"/>
      <c r="E38" s="49"/>
      <c r="F38" s="49"/>
      <c r="G38" s="51"/>
      <c r="H38" s="51"/>
      <c r="I38" s="49"/>
      <c r="J38" s="49"/>
      <c r="K38" s="49"/>
      <c r="L38" s="49"/>
      <c r="M38" s="49"/>
      <c r="N38" s="49"/>
      <c r="O38" s="52"/>
      <c r="P38" s="52"/>
      <c r="Q38" s="49"/>
      <c r="R38" s="49"/>
      <c r="S38" s="49"/>
      <c r="T38" s="49"/>
      <c r="U38" s="49"/>
      <c r="V38" s="177"/>
      <c r="W38" s="49"/>
      <c r="X38" s="49"/>
      <c r="Y38" s="49"/>
      <c r="Z38" s="49"/>
      <c r="AA38" s="122"/>
      <c r="AB38" s="49"/>
      <c r="AC38" s="183"/>
    </row>
    <row r="39" spans="1:29">
      <c r="A39" s="49"/>
      <c r="B39" s="50"/>
      <c r="C39" s="49"/>
      <c r="D39" s="49"/>
      <c r="E39" s="49"/>
      <c r="F39" s="49"/>
      <c r="G39" s="51"/>
      <c r="H39" s="51"/>
      <c r="I39" s="49"/>
      <c r="J39" s="49"/>
      <c r="K39" s="49"/>
      <c r="L39" s="49"/>
      <c r="M39" s="49"/>
      <c r="N39" s="49"/>
      <c r="O39" s="52"/>
      <c r="P39" s="52"/>
      <c r="Q39" s="49"/>
      <c r="R39" s="49"/>
      <c r="S39" s="49"/>
      <c r="T39" s="49"/>
      <c r="U39" s="49"/>
      <c r="V39" s="177"/>
      <c r="W39" s="49"/>
      <c r="X39" s="49"/>
      <c r="Y39" s="49"/>
      <c r="Z39" s="49"/>
      <c r="AA39" s="122"/>
      <c r="AB39" s="49"/>
      <c r="AC39" s="183"/>
    </row>
    <row r="40" spans="1:29">
      <c r="A40" s="49"/>
      <c r="B40" s="50"/>
      <c r="C40" s="49"/>
      <c r="D40" s="49"/>
      <c r="E40" s="49"/>
      <c r="F40" s="49"/>
      <c r="G40" s="51"/>
      <c r="H40" s="51"/>
      <c r="I40" s="49"/>
      <c r="J40" s="49"/>
      <c r="K40" s="49"/>
      <c r="L40" s="49"/>
      <c r="M40" s="49"/>
      <c r="N40" s="49"/>
      <c r="O40" s="52"/>
      <c r="P40" s="52"/>
      <c r="Q40" s="49"/>
      <c r="R40" s="49"/>
      <c r="S40" s="49"/>
      <c r="T40" s="49"/>
      <c r="U40" s="49"/>
      <c r="V40" s="177"/>
      <c r="W40" s="49"/>
      <c r="X40" s="49"/>
      <c r="Y40" s="49"/>
      <c r="Z40" s="49"/>
      <c r="AA40" s="122"/>
      <c r="AB40" s="49"/>
      <c r="AC40" s="183"/>
    </row>
    <row r="41" spans="1:29">
      <c r="A41" s="49"/>
      <c r="B41" s="50"/>
      <c r="C41" s="49"/>
      <c r="D41" s="49"/>
      <c r="E41" s="49"/>
      <c r="F41" s="49"/>
      <c r="G41" s="51"/>
      <c r="H41" s="51"/>
      <c r="I41" s="49"/>
      <c r="J41" s="49"/>
      <c r="K41" s="49"/>
      <c r="L41" s="49"/>
      <c r="M41" s="49"/>
      <c r="N41" s="49"/>
      <c r="O41" s="52"/>
      <c r="P41" s="52"/>
      <c r="Q41" s="49"/>
      <c r="R41" s="49"/>
      <c r="S41" s="49"/>
      <c r="T41" s="49"/>
      <c r="U41" s="49"/>
      <c r="V41" s="177"/>
      <c r="W41" s="49"/>
      <c r="X41" s="49"/>
      <c r="Y41" s="49"/>
      <c r="Z41" s="49"/>
      <c r="AA41" s="122"/>
      <c r="AB41" s="49"/>
      <c r="AC41" s="183"/>
    </row>
    <row r="42" spans="1:29">
      <c r="A42" s="49"/>
      <c r="B42" s="50"/>
      <c r="C42" s="49"/>
      <c r="D42" s="49"/>
      <c r="E42" s="49"/>
      <c r="F42" s="49"/>
      <c r="G42" s="51"/>
      <c r="H42" s="51"/>
      <c r="I42" s="49"/>
      <c r="J42" s="49"/>
      <c r="K42" s="49"/>
      <c r="L42" s="49"/>
      <c r="M42" s="49"/>
      <c r="N42" s="49"/>
      <c r="O42" s="52"/>
      <c r="P42" s="52"/>
      <c r="Q42" s="49"/>
      <c r="R42" s="49"/>
      <c r="S42" s="49"/>
      <c r="T42" s="49"/>
      <c r="U42" s="49"/>
      <c r="V42" s="177"/>
      <c r="W42" s="49"/>
      <c r="X42" s="49"/>
      <c r="Y42" s="49"/>
      <c r="Z42" s="49"/>
      <c r="AA42" s="122"/>
      <c r="AB42" s="49"/>
      <c r="AC42" s="183"/>
    </row>
    <row r="43" spans="1:29">
      <c r="A43" s="49"/>
      <c r="B43" s="50"/>
      <c r="C43" s="49"/>
      <c r="D43" s="49"/>
      <c r="E43" s="49"/>
      <c r="F43" s="49"/>
      <c r="G43" s="51"/>
      <c r="H43" s="51"/>
      <c r="I43" s="49"/>
      <c r="J43" s="49"/>
      <c r="K43" s="49"/>
      <c r="L43" s="49"/>
      <c r="M43" s="49"/>
      <c r="N43" s="49"/>
      <c r="O43" s="52"/>
      <c r="P43" s="52"/>
      <c r="Q43" s="49"/>
      <c r="R43" s="49"/>
      <c r="S43" s="49"/>
      <c r="T43" s="49"/>
      <c r="U43" s="49"/>
      <c r="V43" s="177"/>
      <c r="W43" s="49"/>
      <c r="X43" s="49"/>
      <c r="Y43" s="49"/>
      <c r="Z43" s="49"/>
      <c r="AA43" s="122"/>
      <c r="AB43" s="49"/>
      <c r="AC43" s="183"/>
    </row>
    <row r="44" spans="1:29">
      <c r="A44" s="49"/>
      <c r="B44" s="50"/>
      <c r="C44" s="49"/>
      <c r="D44" s="49"/>
      <c r="E44" s="49"/>
      <c r="F44" s="49"/>
      <c r="G44" s="51"/>
      <c r="H44" s="51"/>
      <c r="I44" s="49"/>
      <c r="J44" s="49"/>
      <c r="K44" s="49"/>
      <c r="L44" s="182"/>
      <c r="M44" s="49"/>
      <c r="N44" s="49"/>
      <c r="O44" s="52"/>
      <c r="P44" s="52"/>
      <c r="Q44" s="49"/>
      <c r="R44" s="49"/>
      <c r="S44" s="49"/>
      <c r="T44" s="49"/>
      <c r="U44" s="123"/>
      <c r="V44" s="177"/>
      <c r="W44" s="49"/>
      <c r="X44" s="49"/>
      <c r="Y44" s="49"/>
      <c r="Z44" s="49"/>
      <c r="AA44" s="49"/>
      <c r="AB44" s="49"/>
      <c r="AC44" s="162"/>
    </row>
    <row r="45" spans="1:29">
      <c r="A45" s="49"/>
      <c r="B45" s="50"/>
      <c r="C45" s="49"/>
      <c r="D45" s="49"/>
      <c r="E45" s="49"/>
      <c r="F45" s="49"/>
      <c r="G45" s="51"/>
      <c r="H45" s="51"/>
      <c r="I45" s="49"/>
      <c r="J45" s="49"/>
      <c r="K45" s="49"/>
      <c r="L45" s="182"/>
      <c r="M45" s="49"/>
      <c r="N45" s="49"/>
      <c r="O45" s="52"/>
      <c r="P45" s="52"/>
      <c r="Q45" s="49"/>
      <c r="R45" s="49"/>
      <c r="S45" s="49"/>
      <c r="T45" s="49"/>
      <c r="U45" s="123"/>
      <c r="V45" s="177"/>
      <c r="W45" s="49"/>
      <c r="X45" s="49"/>
      <c r="Y45" s="49"/>
      <c r="Z45" s="49"/>
      <c r="AA45" s="49"/>
      <c r="AB45" s="49"/>
      <c r="AC45" s="162"/>
    </row>
    <row r="46" spans="1:29">
      <c r="A46" s="49"/>
      <c r="B46" s="50"/>
      <c r="C46" s="49"/>
      <c r="D46" s="49"/>
      <c r="E46" s="49"/>
      <c r="F46" s="49"/>
      <c r="G46" s="51"/>
      <c r="H46" s="51"/>
      <c r="I46" s="49"/>
      <c r="J46" s="49"/>
      <c r="K46" s="49"/>
      <c r="L46" s="182"/>
      <c r="M46" s="49"/>
      <c r="N46" s="49"/>
      <c r="O46" s="52"/>
      <c r="P46" s="52"/>
      <c r="Q46" s="49"/>
      <c r="R46" s="49"/>
      <c r="S46" s="49"/>
      <c r="T46" s="49"/>
      <c r="U46" s="123"/>
      <c r="V46" s="177"/>
      <c r="W46" s="49"/>
      <c r="X46" s="49"/>
      <c r="Y46" s="49"/>
      <c r="Z46" s="49"/>
      <c r="AA46" s="49"/>
      <c r="AB46" s="49"/>
      <c r="AC46" s="162"/>
    </row>
    <row r="47" spans="1:29">
      <c r="A47" s="49"/>
      <c r="B47" s="50"/>
      <c r="C47" s="49"/>
      <c r="D47" s="49"/>
      <c r="E47" s="49"/>
      <c r="F47" s="49"/>
      <c r="G47" s="51"/>
      <c r="H47" s="51"/>
      <c r="I47" s="49"/>
      <c r="J47" s="49"/>
      <c r="K47" s="49"/>
      <c r="L47" s="182"/>
      <c r="M47" s="49"/>
      <c r="N47" s="49"/>
      <c r="O47" s="52"/>
      <c r="P47" s="52"/>
      <c r="Q47" s="49"/>
      <c r="R47" s="49"/>
      <c r="S47" s="49"/>
      <c r="T47" s="49"/>
      <c r="U47" s="123"/>
      <c r="V47" s="177"/>
      <c r="W47" s="49"/>
      <c r="X47" s="49"/>
      <c r="Y47" s="49"/>
      <c r="Z47" s="49"/>
      <c r="AA47" s="49"/>
      <c r="AB47" s="49"/>
      <c r="AC47" s="162"/>
    </row>
    <row r="48" spans="1:29">
      <c r="A48" s="49"/>
      <c r="B48" s="50"/>
      <c r="C48" s="49"/>
      <c r="D48" s="49"/>
      <c r="E48" s="49"/>
      <c r="F48" s="49"/>
      <c r="G48" s="51"/>
      <c r="H48" s="51"/>
      <c r="I48" s="49"/>
      <c r="J48" s="49"/>
      <c r="K48" s="49"/>
      <c r="L48" s="182"/>
      <c r="M48" s="49"/>
      <c r="N48" s="49"/>
      <c r="O48" s="52"/>
      <c r="P48" s="52"/>
      <c r="Q48" s="49"/>
      <c r="R48" s="49"/>
      <c r="S48" s="49"/>
      <c r="T48" s="49"/>
      <c r="U48" s="123"/>
      <c r="V48" s="177"/>
      <c r="W48" s="49"/>
      <c r="X48" s="49"/>
      <c r="Y48" s="49"/>
      <c r="Z48" s="49"/>
      <c r="AA48" s="49"/>
      <c r="AB48" s="49"/>
      <c r="AC48" s="162"/>
    </row>
    <row r="49" spans="1:29">
      <c r="A49" s="49"/>
      <c r="B49" s="50"/>
      <c r="C49" s="49"/>
      <c r="D49" s="49"/>
      <c r="E49" s="49"/>
      <c r="F49" s="49"/>
      <c r="G49" s="51"/>
      <c r="H49" s="51"/>
      <c r="I49" s="49"/>
      <c r="J49" s="49"/>
      <c r="K49" s="49"/>
      <c r="L49" s="182"/>
      <c r="M49" s="49"/>
      <c r="N49" s="49"/>
      <c r="O49" s="52"/>
      <c r="P49" s="52"/>
      <c r="Q49" s="49"/>
      <c r="R49" s="49"/>
      <c r="S49" s="49"/>
      <c r="T49" s="49"/>
      <c r="U49" s="123"/>
      <c r="V49" s="177"/>
      <c r="W49" s="49"/>
      <c r="X49" s="49"/>
      <c r="Y49" s="49"/>
      <c r="Z49" s="49"/>
      <c r="AA49" s="49"/>
      <c r="AB49" s="49"/>
      <c r="AC49" s="162"/>
    </row>
    <row r="50" spans="1:29">
      <c r="A50" s="49"/>
      <c r="B50" s="50"/>
      <c r="C50" s="49"/>
      <c r="D50" s="49"/>
      <c r="E50" s="49"/>
      <c r="F50" s="49"/>
      <c r="G50" s="51"/>
      <c r="H50" s="51"/>
      <c r="I50" s="49"/>
      <c r="J50" s="49"/>
      <c r="K50" s="49"/>
      <c r="L50" s="182"/>
      <c r="M50" s="49"/>
      <c r="N50" s="49"/>
      <c r="O50" s="52"/>
      <c r="P50" s="52"/>
      <c r="Q50" s="49"/>
      <c r="R50" s="49"/>
      <c r="S50" s="49"/>
      <c r="T50" s="49"/>
      <c r="U50" s="123"/>
      <c r="V50" s="177"/>
      <c r="W50" s="49"/>
      <c r="X50" s="49"/>
      <c r="Y50" s="49"/>
      <c r="Z50" s="49"/>
      <c r="AA50" s="49"/>
      <c r="AB50" s="49"/>
      <c r="AC50" s="162"/>
    </row>
    <row r="51" spans="1:29">
      <c r="A51" s="49"/>
      <c r="B51" s="50"/>
      <c r="C51" s="49"/>
      <c r="D51" s="49"/>
      <c r="E51" s="49"/>
      <c r="F51" s="49"/>
      <c r="G51" s="51"/>
      <c r="H51" s="51"/>
      <c r="I51" s="49"/>
      <c r="J51" s="49"/>
      <c r="K51" s="49"/>
      <c r="L51" s="182"/>
      <c r="M51" s="49"/>
      <c r="N51" s="49"/>
      <c r="O51" s="52"/>
      <c r="P51" s="52"/>
      <c r="Q51" s="49"/>
      <c r="R51" s="49"/>
      <c r="S51" s="49"/>
      <c r="T51" s="49"/>
      <c r="U51" s="123"/>
      <c r="V51" s="177"/>
      <c r="W51" s="49"/>
      <c r="X51" s="49"/>
      <c r="Y51" s="49"/>
      <c r="Z51" s="49"/>
      <c r="AA51" s="49"/>
      <c r="AB51" s="49"/>
      <c r="AC51" s="162"/>
    </row>
    <row r="52" spans="1:29">
      <c r="A52" s="49"/>
      <c r="B52" s="50"/>
      <c r="C52" s="49"/>
      <c r="D52" s="49"/>
      <c r="E52" s="49"/>
      <c r="F52" s="49"/>
      <c r="G52" s="51"/>
      <c r="H52" s="51"/>
      <c r="I52" s="49"/>
      <c r="J52" s="49"/>
      <c r="K52" s="49"/>
      <c r="L52" s="182"/>
      <c r="M52" s="49"/>
      <c r="N52" s="49"/>
      <c r="O52" s="52"/>
      <c r="P52" s="52"/>
      <c r="Q52" s="49"/>
      <c r="R52" s="49"/>
      <c r="S52" s="49"/>
      <c r="T52" s="49"/>
      <c r="U52" s="123"/>
      <c r="V52" s="177"/>
      <c r="W52" s="49"/>
      <c r="X52" s="49"/>
      <c r="Y52" s="49"/>
      <c r="Z52" s="49"/>
      <c r="AA52" s="49"/>
      <c r="AB52" s="49"/>
      <c r="AC52" s="162"/>
    </row>
    <row r="53" spans="1:29">
      <c r="A53" s="49"/>
      <c r="B53" s="50"/>
      <c r="C53" s="49"/>
      <c r="D53" s="49"/>
      <c r="E53" s="49"/>
      <c r="F53" s="49"/>
      <c r="G53" s="51"/>
      <c r="H53" s="51"/>
      <c r="I53" s="49"/>
      <c r="J53" s="49"/>
      <c r="K53" s="49"/>
      <c r="L53" s="182"/>
      <c r="M53" s="49"/>
      <c r="N53" s="49"/>
      <c r="O53" s="52"/>
      <c r="P53" s="52"/>
      <c r="Q53" s="49"/>
      <c r="R53" s="49"/>
      <c r="S53" s="49"/>
      <c r="T53" s="49"/>
      <c r="U53" s="123"/>
      <c r="V53" s="177"/>
      <c r="W53" s="49"/>
      <c r="X53" s="49"/>
      <c r="Y53" s="49"/>
      <c r="Z53" s="49"/>
      <c r="AA53" s="49"/>
      <c r="AB53" s="49"/>
      <c r="AC53" s="162"/>
    </row>
    <row r="54" spans="1:29">
      <c r="A54" s="49"/>
      <c r="B54" s="50"/>
      <c r="C54" s="49"/>
      <c r="D54" s="49"/>
      <c r="E54" s="49"/>
      <c r="F54" s="49"/>
      <c r="G54" s="51"/>
      <c r="H54" s="51"/>
      <c r="I54" s="49"/>
      <c r="J54" s="49"/>
      <c r="K54" s="49"/>
      <c r="L54" s="182"/>
      <c r="M54" s="49"/>
      <c r="N54" s="49"/>
      <c r="O54" s="52"/>
      <c r="P54" s="52"/>
      <c r="Q54" s="49"/>
      <c r="R54" s="49"/>
      <c r="S54" s="49"/>
      <c r="T54" s="49"/>
      <c r="U54" s="123"/>
      <c r="V54" s="177"/>
      <c r="W54" s="49"/>
      <c r="X54" s="49"/>
      <c r="Y54" s="49"/>
      <c r="Z54" s="49"/>
      <c r="AA54" s="49"/>
      <c r="AB54" s="49"/>
      <c r="AC54" s="162"/>
    </row>
    <row r="55" spans="1:29">
      <c r="A55" s="49"/>
      <c r="B55" s="50"/>
      <c r="C55" s="49"/>
      <c r="D55" s="49"/>
      <c r="E55" s="49"/>
      <c r="F55" s="49"/>
      <c r="G55" s="51"/>
      <c r="H55" s="51"/>
      <c r="I55" s="49"/>
      <c r="J55" s="49"/>
      <c r="K55" s="49"/>
      <c r="L55" s="182"/>
      <c r="M55" s="49"/>
      <c r="N55" s="49"/>
      <c r="O55" s="52"/>
      <c r="P55" s="52"/>
      <c r="Q55" s="49"/>
      <c r="R55" s="49"/>
      <c r="S55" s="49"/>
      <c r="T55" s="49"/>
      <c r="U55" s="123"/>
      <c r="V55" s="177"/>
      <c r="W55" s="49"/>
      <c r="X55" s="49"/>
      <c r="Y55" s="49"/>
      <c r="Z55" s="49"/>
      <c r="AA55" s="49"/>
      <c r="AB55" s="49"/>
      <c r="AC55" s="162"/>
    </row>
    <row r="56" spans="1:29">
      <c r="A56" s="49"/>
      <c r="B56" s="50"/>
      <c r="C56" s="49"/>
      <c r="D56" s="49"/>
      <c r="E56" s="49"/>
      <c r="F56" s="49"/>
      <c r="G56" s="51"/>
      <c r="H56" s="51"/>
      <c r="I56" s="49"/>
      <c r="J56" s="49"/>
      <c r="K56" s="49"/>
      <c r="L56" s="182"/>
      <c r="M56" s="49"/>
      <c r="N56" s="49"/>
      <c r="O56" s="52"/>
      <c r="P56" s="52"/>
      <c r="Q56" s="49"/>
      <c r="R56" s="49"/>
      <c r="S56" s="49"/>
      <c r="T56" s="49"/>
      <c r="U56" s="123"/>
      <c r="V56" s="177"/>
      <c r="W56" s="49"/>
      <c r="X56" s="49"/>
      <c r="Y56" s="49"/>
      <c r="Z56" s="49"/>
      <c r="AA56" s="49"/>
      <c r="AB56" s="49"/>
      <c r="AC56" s="162"/>
    </row>
    <row r="57" spans="1:29">
      <c r="A57" s="49"/>
      <c r="B57" s="50"/>
      <c r="C57" s="49"/>
      <c r="D57" s="49"/>
      <c r="E57" s="49"/>
      <c r="F57" s="49"/>
      <c r="G57" s="51"/>
      <c r="H57" s="51"/>
      <c r="I57" s="49"/>
      <c r="J57" s="49"/>
      <c r="K57" s="49"/>
      <c r="L57" s="182"/>
      <c r="M57" s="49"/>
      <c r="N57" s="49"/>
      <c r="O57" s="52"/>
      <c r="P57" s="52"/>
      <c r="Q57" s="49"/>
      <c r="R57" s="49"/>
      <c r="S57" s="49"/>
      <c r="T57" s="49"/>
      <c r="U57" s="123"/>
      <c r="V57" s="177"/>
      <c r="W57" s="49"/>
      <c r="X57" s="49"/>
      <c r="Y57" s="49"/>
      <c r="Z57" s="49"/>
      <c r="AA57" s="49"/>
      <c r="AB57" s="49"/>
      <c r="AC57" s="162"/>
    </row>
    <row r="58" spans="1:29">
      <c r="A58" s="49"/>
      <c r="B58" s="50"/>
      <c r="C58" s="49"/>
      <c r="D58" s="49"/>
      <c r="E58" s="49"/>
      <c r="F58" s="49"/>
      <c r="G58" s="51"/>
      <c r="H58" s="51"/>
      <c r="I58" s="49"/>
      <c r="J58" s="49"/>
      <c r="K58" s="49"/>
      <c r="L58" s="182"/>
      <c r="M58" s="49"/>
      <c r="N58" s="49"/>
      <c r="O58" s="52"/>
      <c r="P58" s="52"/>
      <c r="Q58" s="49"/>
      <c r="R58" s="49"/>
      <c r="S58" s="49"/>
      <c r="T58" s="49"/>
      <c r="U58" s="123"/>
      <c r="V58" s="177"/>
      <c r="W58" s="49"/>
      <c r="X58" s="49"/>
      <c r="Y58" s="49"/>
      <c r="Z58" s="49"/>
      <c r="AA58" s="49"/>
      <c r="AB58" s="49"/>
      <c r="AC58" s="162"/>
    </row>
    <row r="59" spans="1:29">
      <c r="A59" s="49"/>
      <c r="B59" s="50"/>
      <c r="C59" s="49"/>
      <c r="D59" s="49"/>
      <c r="E59" s="49"/>
      <c r="F59" s="49"/>
      <c r="G59" s="51"/>
      <c r="H59" s="51"/>
      <c r="I59" s="49"/>
      <c r="J59" s="49"/>
      <c r="K59" s="49"/>
      <c r="L59" s="182"/>
      <c r="M59" s="49"/>
      <c r="N59" s="49"/>
      <c r="O59" s="52"/>
      <c r="P59" s="52"/>
      <c r="Q59" s="49"/>
      <c r="R59" s="49"/>
      <c r="S59" s="49"/>
      <c r="T59" s="49"/>
      <c r="U59" s="123"/>
      <c r="V59" s="177"/>
      <c r="W59" s="49"/>
      <c r="X59" s="49"/>
      <c r="Y59" s="49"/>
      <c r="Z59" s="49"/>
      <c r="AA59" s="49"/>
      <c r="AB59" s="49"/>
      <c r="AC59" s="162"/>
    </row>
    <row r="60" spans="1:29">
      <c r="A60" s="49"/>
      <c r="B60" s="50"/>
      <c r="C60" s="49"/>
      <c r="D60" s="49"/>
      <c r="E60" s="49"/>
      <c r="F60" s="49"/>
      <c r="G60" s="51"/>
      <c r="H60" s="51"/>
      <c r="I60" s="49"/>
      <c r="J60" s="49"/>
      <c r="K60" s="49"/>
      <c r="L60" s="182"/>
      <c r="M60" s="49"/>
      <c r="N60" s="49"/>
      <c r="O60" s="52"/>
      <c r="P60" s="52"/>
      <c r="Q60" s="49"/>
      <c r="R60" s="49"/>
      <c r="S60" s="49"/>
      <c r="T60" s="49"/>
      <c r="U60" s="123"/>
      <c r="V60" s="177"/>
      <c r="W60" s="49"/>
      <c r="X60" s="49"/>
      <c r="Y60" s="49"/>
      <c r="Z60" s="49"/>
      <c r="AA60" s="49"/>
      <c r="AB60" s="49"/>
      <c r="AC60" s="162"/>
    </row>
    <row r="61" spans="1:29">
      <c r="A61" s="49"/>
      <c r="B61" s="50"/>
      <c r="C61" s="49"/>
      <c r="D61" s="49"/>
      <c r="E61" s="49"/>
      <c r="F61" s="49"/>
      <c r="G61" s="51"/>
      <c r="H61" s="51"/>
      <c r="I61" s="49"/>
      <c r="J61" s="49"/>
      <c r="K61" s="49"/>
      <c r="L61" s="182"/>
      <c r="M61" s="49"/>
      <c r="N61" s="49"/>
      <c r="O61" s="52"/>
      <c r="P61" s="52"/>
      <c r="Q61" s="49"/>
      <c r="R61" s="49"/>
      <c r="S61" s="49"/>
      <c r="T61" s="49"/>
      <c r="U61" s="123"/>
      <c r="V61" s="177"/>
      <c r="W61" s="49"/>
      <c r="X61" s="49"/>
      <c r="Y61" s="49"/>
      <c r="Z61" s="49"/>
      <c r="AA61" s="49"/>
      <c r="AB61" s="49"/>
      <c r="AC61" s="162"/>
    </row>
    <row r="62" spans="1:29">
      <c r="A62" s="49"/>
      <c r="B62" s="50"/>
      <c r="C62" s="49"/>
      <c r="D62" s="49"/>
      <c r="E62" s="49"/>
      <c r="F62" s="49"/>
      <c r="G62" s="51"/>
      <c r="H62" s="51"/>
      <c r="I62" s="49"/>
      <c r="J62" s="49"/>
      <c r="K62" s="49"/>
      <c r="L62" s="182"/>
      <c r="M62" s="49"/>
      <c r="N62" s="49"/>
      <c r="O62" s="52"/>
      <c r="P62" s="52"/>
      <c r="Q62" s="49"/>
      <c r="R62" s="49"/>
      <c r="S62" s="49"/>
      <c r="T62" s="49"/>
      <c r="U62" s="123"/>
      <c r="V62" s="177"/>
      <c r="W62" s="49"/>
      <c r="X62" s="49"/>
      <c r="Y62" s="49"/>
      <c r="Z62" s="49"/>
      <c r="AA62" s="49"/>
      <c r="AB62" s="49"/>
      <c r="AC62" s="162"/>
    </row>
    <row r="63" spans="1:29">
      <c r="A63" s="49"/>
      <c r="B63" s="50"/>
      <c r="C63" s="49"/>
      <c r="D63" s="49"/>
      <c r="E63" s="49"/>
      <c r="F63" s="49"/>
      <c r="G63" s="51"/>
      <c r="H63" s="51"/>
      <c r="I63" s="49"/>
      <c r="J63" s="49"/>
      <c r="K63" s="49"/>
      <c r="L63" s="182"/>
      <c r="M63" s="49"/>
      <c r="N63" s="49"/>
      <c r="O63" s="52"/>
      <c r="P63" s="52"/>
      <c r="Q63" s="49"/>
      <c r="R63" s="49"/>
      <c r="S63" s="49"/>
      <c r="T63" s="49"/>
      <c r="U63" s="123"/>
      <c r="V63" s="177"/>
      <c r="W63" s="49"/>
      <c r="X63" s="49"/>
      <c r="Y63" s="49"/>
      <c r="Z63" s="49"/>
      <c r="AA63" s="49"/>
      <c r="AB63" s="49"/>
      <c r="AC63" s="162"/>
    </row>
    <row r="64" spans="1:29">
      <c r="A64" s="49"/>
      <c r="B64" s="50"/>
      <c r="C64" s="49"/>
      <c r="D64" s="49"/>
      <c r="E64" s="49"/>
      <c r="F64" s="49"/>
      <c r="G64" s="51"/>
      <c r="H64" s="51"/>
      <c r="I64" s="49"/>
      <c r="J64" s="49"/>
      <c r="K64" s="49"/>
      <c r="L64" s="182"/>
      <c r="M64" s="49"/>
      <c r="N64" s="49"/>
      <c r="O64" s="52"/>
      <c r="P64" s="52"/>
      <c r="Q64" s="49"/>
      <c r="R64" s="49"/>
      <c r="S64" s="49"/>
      <c r="T64" s="49"/>
      <c r="U64" s="123"/>
      <c r="V64" s="177"/>
      <c r="W64" s="49"/>
      <c r="X64" s="49"/>
      <c r="Y64" s="49"/>
      <c r="Z64" s="49"/>
      <c r="AA64" s="49"/>
      <c r="AB64" s="49"/>
      <c r="AC64" s="162"/>
    </row>
    <row r="65" spans="1:29">
      <c r="A65" s="49"/>
      <c r="B65" s="50"/>
      <c r="C65" s="49"/>
      <c r="D65" s="49"/>
      <c r="E65" s="49"/>
      <c r="F65" s="49"/>
      <c r="G65" s="51"/>
      <c r="H65" s="51"/>
      <c r="I65" s="49"/>
      <c r="J65" s="49"/>
      <c r="K65" s="49"/>
      <c r="L65" s="182"/>
      <c r="M65" s="49"/>
      <c r="N65" s="49"/>
      <c r="O65" s="52"/>
      <c r="P65" s="52"/>
      <c r="Q65" s="49"/>
      <c r="R65" s="49"/>
      <c r="S65" s="49"/>
      <c r="T65" s="49"/>
      <c r="U65" s="123"/>
      <c r="V65" s="177"/>
      <c r="W65" s="49"/>
      <c r="X65" s="49"/>
      <c r="Y65" s="49"/>
      <c r="Z65" s="49"/>
      <c r="AA65" s="49"/>
      <c r="AB65" s="49"/>
      <c r="AC65" s="162"/>
    </row>
    <row r="66" spans="1:29">
      <c r="A66" s="49"/>
      <c r="B66" s="50"/>
      <c r="C66" s="49"/>
      <c r="D66" s="49"/>
      <c r="E66" s="49"/>
      <c r="F66" s="49"/>
      <c r="G66" s="51"/>
      <c r="H66" s="51"/>
      <c r="I66" s="49"/>
      <c r="J66" s="49"/>
      <c r="K66" s="49"/>
      <c r="L66" s="182"/>
      <c r="M66" s="49"/>
      <c r="N66" s="49"/>
      <c r="O66" s="52"/>
      <c r="P66" s="52"/>
      <c r="Q66" s="49"/>
      <c r="R66" s="49"/>
      <c r="S66" s="49"/>
      <c r="T66" s="49"/>
      <c r="U66" s="123"/>
      <c r="V66" s="177"/>
      <c r="W66" s="49"/>
      <c r="X66" s="49"/>
      <c r="Y66" s="49"/>
      <c r="Z66" s="49"/>
      <c r="AA66" s="49"/>
      <c r="AB66" s="49"/>
      <c r="AC66" s="162"/>
    </row>
    <row r="67" spans="1:29">
      <c r="A67" s="49"/>
      <c r="B67" s="50"/>
      <c r="C67" s="49"/>
      <c r="D67" s="49"/>
      <c r="E67" s="49"/>
      <c r="F67" s="49"/>
      <c r="G67" s="51"/>
      <c r="H67" s="51"/>
      <c r="I67" s="49"/>
      <c r="J67" s="49"/>
      <c r="K67" s="49"/>
      <c r="L67" s="182"/>
      <c r="M67" s="49"/>
      <c r="N67" s="49"/>
      <c r="O67" s="52"/>
      <c r="P67" s="52"/>
      <c r="Q67" s="49"/>
      <c r="R67" s="49"/>
      <c r="S67" s="49"/>
      <c r="T67" s="49"/>
      <c r="U67" s="123"/>
      <c r="V67" s="177"/>
      <c r="W67" s="49"/>
      <c r="X67" s="49"/>
      <c r="Y67" s="49"/>
      <c r="Z67" s="49"/>
      <c r="AA67" s="49"/>
      <c r="AB67" s="49"/>
      <c r="AC67" s="162"/>
    </row>
    <row r="68" spans="1:29">
      <c r="A68" s="49"/>
      <c r="B68" s="50"/>
      <c r="C68" s="49"/>
      <c r="D68" s="49"/>
      <c r="E68" s="49"/>
      <c r="F68" s="49"/>
      <c r="G68" s="51"/>
      <c r="H68" s="51"/>
      <c r="I68" s="49"/>
      <c r="J68" s="49"/>
      <c r="K68" s="49"/>
      <c r="L68" s="182"/>
      <c r="M68" s="49"/>
      <c r="N68" s="49"/>
      <c r="O68" s="52"/>
      <c r="P68" s="52"/>
      <c r="Q68" s="49"/>
      <c r="R68" s="49"/>
      <c r="S68" s="49"/>
      <c r="T68" s="49"/>
      <c r="U68" s="123"/>
      <c r="V68" s="177"/>
      <c r="W68" s="49"/>
      <c r="X68" s="49"/>
      <c r="Y68" s="49"/>
      <c r="Z68" s="49"/>
      <c r="AA68" s="49"/>
      <c r="AB68" s="49"/>
      <c r="AC68" s="162"/>
    </row>
    <row r="69" spans="1:29">
      <c r="A69" s="49"/>
      <c r="B69" s="50"/>
      <c r="C69" s="49"/>
      <c r="D69" s="49"/>
      <c r="E69" s="49"/>
      <c r="F69" s="49"/>
      <c r="G69" s="51"/>
      <c r="H69" s="51"/>
      <c r="I69" s="49"/>
      <c r="J69" s="49"/>
      <c r="K69" s="49"/>
      <c r="L69" s="182"/>
      <c r="M69" s="49"/>
      <c r="N69" s="49"/>
      <c r="O69" s="52"/>
      <c r="P69" s="52"/>
      <c r="Q69" s="49"/>
      <c r="R69" s="49"/>
      <c r="S69" s="49"/>
      <c r="T69" s="49"/>
      <c r="U69" s="53"/>
      <c r="V69" s="177"/>
      <c r="W69" s="49"/>
      <c r="X69" s="49"/>
      <c r="Y69" s="49"/>
      <c r="Z69" s="49"/>
      <c r="AA69" s="49"/>
      <c r="AB69" s="49"/>
      <c r="AC69" s="162"/>
    </row>
    <row r="70" spans="1:29">
      <c r="A70" s="49"/>
      <c r="B70" s="50"/>
      <c r="C70" s="49"/>
      <c r="D70" s="49"/>
      <c r="E70" s="49"/>
      <c r="F70" s="49"/>
      <c r="G70" s="51"/>
      <c r="H70" s="51"/>
      <c r="I70" s="49"/>
      <c r="J70" s="49"/>
      <c r="K70" s="49"/>
      <c r="L70" s="182"/>
      <c r="M70" s="49"/>
      <c r="N70" s="49"/>
      <c r="O70" s="52"/>
      <c r="P70" s="52"/>
      <c r="Q70" s="49"/>
      <c r="R70" s="49"/>
      <c r="S70" s="49"/>
      <c r="T70" s="49"/>
      <c r="U70" s="53"/>
      <c r="V70" s="177"/>
      <c r="W70" s="49"/>
      <c r="X70" s="49"/>
      <c r="Y70" s="49"/>
      <c r="Z70" s="49"/>
      <c r="AA70" s="49"/>
      <c r="AB70" s="49"/>
      <c r="AC70" s="162"/>
    </row>
    <row r="71" spans="1:29">
      <c r="A71" s="49"/>
      <c r="B71" s="50"/>
      <c r="C71" s="49"/>
      <c r="D71" s="49"/>
      <c r="E71" s="49"/>
      <c r="F71" s="49"/>
      <c r="G71" s="51"/>
      <c r="H71" s="51"/>
      <c r="I71" s="49"/>
      <c r="J71" s="49"/>
      <c r="K71" s="49"/>
      <c r="L71" s="182"/>
      <c r="M71" s="49"/>
      <c r="N71" s="49"/>
      <c r="O71" s="52"/>
      <c r="P71" s="52"/>
      <c r="Q71" s="49"/>
      <c r="R71" s="49"/>
      <c r="S71" s="49"/>
      <c r="T71" s="49"/>
      <c r="U71" s="53"/>
      <c r="V71" s="177"/>
      <c r="W71" s="49"/>
      <c r="X71" s="49"/>
      <c r="Y71" s="49"/>
      <c r="Z71" s="49"/>
      <c r="AA71" s="49"/>
      <c r="AB71" s="49"/>
      <c r="AC71" s="162"/>
    </row>
    <row r="72" spans="1:29">
      <c r="A72" s="49"/>
      <c r="B72" s="50"/>
      <c r="C72" s="49"/>
      <c r="D72" s="49"/>
      <c r="E72" s="49"/>
      <c r="F72" s="49"/>
      <c r="G72" s="51"/>
      <c r="H72" s="51"/>
      <c r="I72" s="49"/>
      <c r="J72" s="49"/>
      <c r="K72" s="49"/>
      <c r="L72" s="182"/>
      <c r="M72" s="49"/>
      <c r="N72" s="49"/>
      <c r="O72" s="52"/>
      <c r="P72" s="52"/>
      <c r="Q72" s="49"/>
      <c r="R72" s="49"/>
      <c r="S72" s="49"/>
      <c r="T72" s="49"/>
      <c r="U72" s="53"/>
      <c r="V72" s="177"/>
      <c r="W72" s="49"/>
      <c r="X72" s="49"/>
      <c r="Y72" s="49"/>
      <c r="Z72" s="49"/>
      <c r="AA72" s="49"/>
      <c r="AB72" s="49"/>
      <c r="AC72" s="162"/>
    </row>
    <row r="73" spans="1:29">
      <c r="A73" s="49"/>
      <c r="B73" s="50"/>
      <c r="C73" s="49"/>
      <c r="D73" s="49"/>
      <c r="E73" s="49"/>
      <c r="F73" s="49"/>
      <c r="G73" s="51"/>
      <c r="H73" s="51"/>
      <c r="I73" s="49"/>
      <c r="J73" s="49"/>
      <c r="K73" s="49"/>
      <c r="L73" s="182"/>
      <c r="M73" s="49"/>
      <c r="N73" s="49"/>
      <c r="O73" s="52"/>
      <c r="P73" s="52"/>
      <c r="Q73" s="49"/>
      <c r="R73" s="49"/>
      <c r="S73" s="49"/>
      <c r="T73" s="49"/>
      <c r="U73" s="53"/>
      <c r="V73" s="177"/>
      <c r="W73" s="49"/>
      <c r="X73" s="49"/>
      <c r="Y73" s="49"/>
      <c r="Z73" s="49"/>
      <c r="AA73" s="49"/>
      <c r="AB73" s="49"/>
      <c r="AC73" s="162"/>
    </row>
    <row r="74" spans="1:29">
      <c r="A74" s="49"/>
      <c r="B74" s="50"/>
      <c r="C74" s="49"/>
      <c r="D74" s="49"/>
      <c r="E74" s="49"/>
      <c r="F74" s="49"/>
      <c r="G74" s="51"/>
      <c r="H74" s="51"/>
      <c r="I74" s="49"/>
      <c r="J74" s="49"/>
      <c r="K74" s="49"/>
      <c r="L74" s="182"/>
      <c r="M74" s="49"/>
      <c r="N74" s="49"/>
      <c r="O74" s="52"/>
      <c r="P74" s="52"/>
      <c r="Q74" s="49"/>
      <c r="R74" s="49"/>
      <c r="S74" s="49"/>
      <c r="T74" s="49"/>
      <c r="U74" s="53"/>
      <c r="V74" s="177"/>
      <c r="W74" s="49"/>
      <c r="X74" s="49"/>
      <c r="Y74" s="49"/>
      <c r="Z74" s="49"/>
      <c r="AA74" s="49"/>
      <c r="AB74" s="49"/>
      <c r="AC74" s="162"/>
    </row>
    <row r="75" spans="1:29">
      <c r="A75" s="49"/>
      <c r="B75" s="50"/>
      <c r="C75" s="49"/>
      <c r="D75" s="49"/>
      <c r="E75" s="49"/>
      <c r="F75" s="49"/>
      <c r="G75" s="51"/>
      <c r="H75" s="51"/>
      <c r="I75" s="49"/>
      <c r="J75" s="49"/>
      <c r="K75" s="49"/>
      <c r="L75" s="182"/>
      <c r="M75" s="49"/>
      <c r="N75" s="49"/>
      <c r="O75" s="52"/>
      <c r="P75" s="52"/>
      <c r="Q75" s="49"/>
      <c r="R75" s="49"/>
      <c r="S75" s="49"/>
      <c r="T75" s="49"/>
      <c r="U75" s="53"/>
      <c r="V75" s="177"/>
      <c r="W75" s="49"/>
      <c r="X75" s="49"/>
      <c r="Y75" s="49"/>
      <c r="Z75" s="49"/>
      <c r="AA75" s="49"/>
      <c r="AB75" s="49"/>
      <c r="AC75" s="162"/>
    </row>
    <row r="76" spans="1:29">
      <c r="A76" s="49"/>
      <c r="B76" s="50"/>
      <c r="C76" s="49"/>
      <c r="D76" s="49"/>
      <c r="E76" s="49"/>
      <c r="F76" s="49"/>
      <c r="G76" s="51"/>
      <c r="H76" s="51"/>
      <c r="I76" s="49"/>
      <c r="J76" s="49"/>
      <c r="K76" s="49"/>
      <c r="L76" s="182"/>
      <c r="M76" s="49"/>
      <c r="N76" s="49"/>
      <c r="O76" s="52"/>
      <c r="P76" s="52"/>
      <c r="Q76" s="49"/>
      <c r="R76" s="49"/>
      <c r="S76" s="49"/>
      <c r="T76" s="49"/>
      <c r="U76" s="53"/>
      <c r="V76" s="177"/>
      <c r="W76" s="49"/>
      <c r="X76" s="49"/>
      <c r="Y76" s="49"/>
      <c r="Z76" s="49"/>
      <c r="AA76" s="49"/>
      <c r="AB76" s="49"/>
      <c r="AC76" s="162"/>
    </row>
    <row r="77" spans="1:29">
      <c r="A77" s="49"/>
      <c r="B77" s="50"/>
      <c r="C77" s="49"/>
      <c r="D77" s="49"/>
      <c r="E77" s="49"/>
      <c r="F77" s="49"/>
      <c r="G77" s="51"/>
      <c r="H77" s="51"/>
      <c r="I77" s="49"/>
      <c r="J77" s="49"/>
      <c r="K77" s="49"/>
      <c r="L77" s="182"/>
      <c r="M77" s="49"/>
      <c r="N77" s="49"/>
      <c r="O77" s="52"/>
      <c r="P77" s="52"/>
      <c r="Q77" s="49"/>
      <c r="R77" s="49"/>
      <c r="S77" s="49"/>
      <c r="T77" s="49"/>
      <c r="U77" s="53"/>
      <c r="V77" s="177"/>
      <c r="W77" s="49"/>
      <c r="X77" s="49"/>
      <c r="Y77" s="49"/>
      <c r="Z77" s="49"/>
      <c r="AA77" s="49"/>
      <c r="AB77" s="49"/>
      <c r="AC77" s="162"/>
    </row>
    <row r="78" spans="1:29">
      <c r="A78" s="49"/>
      <c r="B78" s="50"/>
      <c r="C78" s="49"/>
      <c r="D78" s="49"/>
      <c r="E78" s="49"/>
      <c r="F78" s="49"/>
      <c r="G78" s="51"/>
      <c r="H78" s="51"/>
      <c r="I78" s="49"/>
      <c r="J78" s="49"/>
      <c r="K78" s="49"/>
      <c r="L78" s="182"/>
      <c r="M78" s="49"/>
      <c r="N78" s="49"/>
      <c r="O78" s="52"/>
      <c r="P78" s="52"/>
      <c r="Q78" s="49"/>
      <c r="R78" s="49"/>
      <c r="S78" s="49"/>
      <c r="T78" s="49"/>
      <c r="U78" s="53"/>
      <c r="V78" s="177"/>
      <c r="W78" s="49"/>
      <c r="X78" s="49"/>
      <c r="Y78" s="49"/>
      <c r="Z78" s="49"/>
      <c r="AA78" s="49"/>
      <c r="AB78" s="49"/>
      <c r="AC78" s="162"/>
    </row>
    <row r="79" spans="1:29">
      <c r="A79" s="49"/>
      <c r="B79" s="50"/>
      <c r="C79" s="49"/>
      <c r="D79" s="49"/>
      <c r="E79" s="49"/>
      <c r="F79" s="49"/>
      <c r="G79" s="51"/>
      <c r="H79" s="51"/>
      <c r="I79" s="49"/>
      <c r="J79" s="49"/>
      <c r="K79" s="49"/>
      <c r="L79" s="182"/>
      <c r="M79" s="49"/>
      <c r="N79" s="49"/>
      <c r="O79" s="52"/>
      <c r="P79" s="52"/>
      <c r="Q79" s="49"/>
      <c r="R79" s="49"/>
      <c r="S79" s="49"/>
      <c r="T79" s="49"/>
      <c r="U79" s="53"/>
      <c r="V79" s="177"/>
      <c r="W79" s="49"/>
      <c r="X79" s="49"/>
      <c r="Y79" s="49"/>
      <c r="Z79" s="49"/>
      <c r="AA79" s="49"/>
      <c r="AB79" s="49"/>
      <c r="AC79" s="162"/>
    </row>
    <row r="80" spans="1:29">
      <c r="A80" s="49"/>
      <c r="B80" s="50"/>
      <c r="C80" s="49"/>
      <c r="D80" s="49"/>
      <c r="E80" s="49"/>
      <c r="F80" s="49"/>
      <c r="G80" s="51"/>
      <c r="H80" s="51"/>
      <c r="I80" s="49"/>
      <c r="J80" s="49"/>
      <c r="K80" s="49"/>
      <c r="L80" s="182"/>
      <c r="M80" s="49"/>
      <c r="N80" s="49"/>
      <c r="O80" s="52"/>
      <c r="P80" s="52"/>
      <c r="Q80" s="49"/>
      <c r="R80" s="49"/>
      <c r="S80" s="49"/>
      <c r="T80" s="49"/>
      <c r="U80" s="53"/>
      <c r="V80" s="177"/>
      <c r="W80" s="49"/>
      <c r="X80" s="49"/>
      <c r="Y80" s="49"/>
      <c r="Z80" s="49"/>
      <c r="AA80" s="49"/>
      <c r="AB80" s="49"/>
      <c r="AC80" s="162"/>
    </row>
    <row r="81" spans="1:29">
      <c r="A81" s="49"/>
      <c r="B81" s="50"/>
      <c r="C81" s="49"/>
      <c r="D81" s="49"/>
      <c r="E81" s="49"/>
      <c r="F81" s="49"/>
      <c r="G81" s="51"/>
      <c r="H81" s="51"/>
      <c r="I81" s="49"/>
      <c r="J81" s="49"/>
      <c r="K81" s="49"/>
      <c r="L81" s="182"/>
      <c r="M81" s="49"/>
      <c r="N81" s="49"/>
      <c r="O81" s="52"/>
      <c r="P81" s="52"/>
      <c r="Q81" s="49"/>
      <c r="R81" s="49"/>
      <c r="S81" s="49"/>
      <c r="T81" s="49"/>
      <c r="U81" s="53"/>
      <c r="V81" s="177"/>
      <c r="W81" s="49"/>
      <c r="X81" s="49"/>
      <c r="Y81" s="49"/>
      <c r="Z81" s="49"/>
      <c r="AA81" s="49"/>
      <c r="AB81" s="49"/>
      <c r="AC81" s="162"/>
    </row>
    <row r="82" spans="1:29">
      <c r="A82" s="49"/>
      <c r="B82" s="50"/>
      <c r="C82" s="49"/>
      <c r="D82" s="49"/>
      <c r="E82" s="49"/>
      <c r="F82" s="49"/>
      <c r="G82" s="51"/>
      <c r="H82" s="51"/>
      <c r="I82" s="49"/>
      <c r="J82" s="49"/>
      <c r="K82" s="49"/>
      <c r="L82" s="182"/>
      <c r="M82" s="49"/>
      <c r="N82" s="49"/>
      <c r="O82" s="52"/>
      <c r="P82" s="52"/>
      <c r="Q82" s="49"/>
      <c r="R82" s="49"/>
      <c r="S82" s="49"/>
      <c r="T82" s="49"/>
      <c r="U82" s="53"/>
      <c r="V82" s="177"/>
      <c r="W82" s="49"/>
      <c r="X82" s="49"/>
      <c r="Y82" s="49"/>
      <c r="Z82" s="49"/>
      <c r="AA82" s="49"/>
      <c r="AB82" s="49"/>
      <c r="AC82" s="162"/>
    </row>
    <row r="83" spans="1:29">
      <c r="A83" s="49"/>
      <c r="B83" s="50"/>
      <c r="C83" s="49"/>
      <c r="D83" s="49"/>
      <c r="E83" s="49"/>
      <c r="F83" s="49"/>
      <c r="G83" s="51"/>
      <c r="H83" s="51"/>
      <c r="I83" s="49"/>
      <c r="J83" s="49"/>
      <c r="K83" s="49"/>
      <c r="L83" s="182"/>
      <c r="M83" s="49"/>
      <c r="N83" s="49"/>
      <c r="O83" s="52"/>
      <c r="P83" s="52"/>
      <c r="Q83" s="49"/>
      <c r="R83" s="49"/>
      <c r="S83" s="49"/>
      <c r="T83" s="49"/>
      <c r="U83" s="53"/>
      <c r="V83" s="177"/>
      <c r="W83" s="49"/>
      <c r="X83" s="49"/>
      <c r="Y83" s="49"/>
      <c r="Z83" s="49"/>
      <c r="AA83" s="49"/>
      <c r="AB83" s="49"/>
      <c r="AC83" s="162"/>
    </row>
    <row r="84" spans="1:29">
      <c r="A84" s="49"/>
      <c r="B84" s="50"/>
      <c r="C84" s="49"/>
      <c r="D84" s="49"/>
      <c r="E84" s="49"/>
      <c r="F84" s="49"/>
      <c r="G84" s="51"/>
      <c r="H84" s="51"/>
      <c r="I84" s="49"/>
      <c r="J84" s="49"/>
      <c r="K84" s="49"/>
      <c r="L84" s="182"/>
      <c r="M84" s="49"/>
      <c r="N84" s="49"/>
      <c r="O84" s="52"/>
      <c r="P84" s="52"/>
      <c r="Q84" s="49"/>
      <c r="R84" s="49"/>
      <c r="S84" s="49"/>
      <c r="T84" s="49"/>
      <c r="U84" s="53"/>
      <c r="V84" s="177"/>
      <c r="W84" s="49"/>
      <c r="X84" s="49"/>
      <c r="Y84" s="49"/>
      <c r="Z84" s="49"/>
      <c r="AA84" s="49"/>
      <c r="AB84" s="49"/>
      <c r="AC84" s="162"/>
    </row>
    <row r="85" spans="1:29">
      <c r="A85" s="49"/>
      <c r="B85" s="50"/>
      <c r="C85" s="49"/>
      <c r="D85" s="49"/>
      <c r="E85" s="49"/>
      <c r="F85" s="49"/>
      <c r="G85" s="51"/>
      <c r="H85" s="51"/>
      <c r="I85" s="49"/>
      <c r="J85" s="49"/>
      <c r="K85" s="49"/>
      <c r="L85" s="182"/>
      <c r="M85" s="49"/>
      <c r="N85" s="49"/>
      <c r="O85" s="52"/>
      <c r="P85" s="52"/>
      <c r="Q85" s="49"/>
      <c r="R85" s="49"/>
      <c r="S85" s="49"/>
      <c r="T85" s="49"/>
      <c r="U85" s="53"/>
      <c r="V85" s="177"/>
      <c r="W85" s="49"/>
      <c r="X85" s="49"/>
      <c r="Y85" s="49"/>
      <c r="Z85" s="49"/>
      <c r="AA85" s="49"/>
      <c r="AB85" s="49"/>
      <c r="AC85" s="162"/>
    </row>
    <row r="86" spans="1:29">
      <c r="A86" s="49"/>
      <c r="B86" s="50"/>
      <c r="C86" s="49"/>
      <c r="D86" s="49"/>
      <c r="E86" s="49"/>
      <c r="F86" s="49"/>
      <c r="G86" s="51"/>
      <c r="H86" s="51"/>
      <c r="I86" s="49"/>
      <c r="J86" s="49"/>
      <c r="K86" s="49"/>
      <c r="L86" s="182"/>
      <c r="M86" s="49"/>
      <c r="N86" s="49"/>
      <c r="O86" s="52"/>
      <c r="P86" s="52"/>
      <c r="Q86" s="49"/>
      <c r="R86" s="49"/>
      <c r="S86" s="49"/>
      <c r="T86" s="49"/>
      <c r="U86" s="53"/>
      <c r="V86" s="177"/>
      <c r="W86" s="49"/>
      <c r="X86" s="49"/>
      <c r="Y86" s="49"/>
      <c r="Z86" s="49"/>
      <c r="AA86" s="49"/>
      <c r="AB86" s="49"/>
      <c r="AC86" s="162"/>
    </row>
    <row r="87" spans="1:29">
      <c r="A87" s="49"/>
      <c r="B87" s="50"/>
      <c r="C87" s="49"/>
      <c r="D87" s="49"/>
      <c r="E87" s="49"/>
      <c r="F87" s="49"/>
      <c r="G87" s="51"/>
      <c r="H87" s="51"/>
      <c r="I87" s="49"/>
      <c r="J87" s="49"/>
      <c r="K87" s="49"/>
      <c r="L87" s="182"/>
      <c r="M87" s="49"/>
      <c r="N87" s="49"/>
      <c r="O87" s="52"/>
      <c r="P87" s="52"/>
      <c r="Q87" s="49"/>
      <c r="R87" s="49"/>
      <c r="S87" s="49"/>
      <c r="T87" s="49"/>
      <c r="U87" s="53"/>
      <c r="V87" s="177"/>
      <c r="W87" s="49"/>
      <c r="X87" s="49"/>
      <c r="Y87" s="49"/>
      <c r="Z87" s="49"/>
      <c r="AA87" s="49"/>
      <c r="AB87" s="49"/>
      <c r="AC87" s="162"/>
    </row>
    <row r="88" spans="1:29">
      <c r="A88" s="49"/>
      <c r="B88" s="50"/>
      <c r="C88" s="49"/>
      <c r="D88" s="49"/>
      <c r="E88" s="49"/>
      <c r="F88" s="49"/>
      <c r="G88" s="51"/>
      <c r="H88" s="51"/>
      <c r="I88" s="49"/>
      <c r="J88" s="49"/>
      <c r="K88" s="49"/>
      <c r="L88" s="182"/>
      <c r="M88" s="49"/>
      <c r="N88" s="49"/>
      <c r="O88" s="52"/>
      <c r="P88" s="52"/>
      <c r="Q88" s="49"/>
      <c r="R88" s="49"/>
      <c r="S88" s="49"/>
      <c r="T88" s="49"/>
      <c r="U88" s="53"/>
      <c r="V88" s="177"/>
      <c r="W88" s="49"/>
      <c r="X88" s="49"/>
      <c r="Y88" s="49"/>
      <c r="Z88" s="49"/>
      <c r="AA88" s="49"/>
      <c r="AB88" s="49"/>
      <c r="AC88" s="162"/>
    </row>
    <row r="89" spans="1:29">
      <c r="A89" s="49"/>
      <c r="B89" s="50"/>
      <c r="C89" s="49"/>
      <c r="D89" s="49"/>
      <c r="E89" s="49"/>
      <c r="F89" s="49"/>
      <c r="G89" s="51"/>
      <c r="H89" s="51"/>
      <c r="I89" s="49"/>
      <c r="J89" s="49"/>
      <c r="K89" s="49"/>
      <c r="L89" s="182"/>
      <c r="M89" s="49"/>
      <c r="N89" s="49"/>
      <c r="O89" s="52"/>
      <c r="P89" s="52"/>
      <c r="Q89" s="49"/>
      <c r="R89" s="49"/>
      <c r="S89" s="49"/>
      <c r="T89" s="49"/>
      <c r="U89" s="53"/>
      <c r="V89" s="177"/>
      <c r="W89" s="49"/>
      <c r="X89" s="49"/>
      <c r="Y89" s="49"/>
      <c r="Z89" s="49"/>
      <c r="AA89" s="49"/>
      <c r="AB89" s="49"/>
      <c r="AC89" s="162"/>
    </row>
    <row r="90" spans="1:29">
      <c r="A90" s="49"/>
      <c r="B90" s="50"/>
      <c r="C90" s="49"/>
      <c r="D90" s="49"/>
      <c r="E90" s="49"/>
      <c r="F90" s="49"/>
      <c r="G90" s="51"/>
      <c r="H90" s="51"/>
      <c r="I90" s="49"/>
      <c r="J90" s="49"/>
      <c r="K90" s="49"/>
      <c r="L90" s="182"/>
      <c r="M90" s="49"/>
      <c r="N90" s="49"/>
      <c r="O90" s="52"/>
      <c r="P90" s="52"/>
      <c r="Q90" s="49"/>
      <c r="R90" s="49"/>
      <c r="S90" s="49"/>
      <c r="T90" s="49"/>
      <c r="U90" s="53"/>
      <c r="V90" s="177"/>
      <c r="W90" s="49"/>
      <c r="X90" s="49"/>
      <c r="Y90" s="49"/>
      <c r="Z90" s="49"/>
      <c r="AA90" s="49"/>
      <c r="AB90" s="49"/>
      <c r="AC90" s="162"/>
    </row>
    <row r="91" spans="1:29">
      <c r="A91" s="49"/>
      <c r="B91" s="50"/>
      <c r="C91" s="49"/>
      <c r="D91" s="49"/>
      <c r="E91" s="49"/>
      <c r="F91" s="49"/>
      <c r="G91" s="51"/>
      <c r="H91" s="51"/>
      <c r="I91" s="49"/>
      <c r="J91" s="49"/>
      <c r="K91" s="49"/>
      <c r="L91" s="182"/>
      <c r="M91" s="49"/>
      <c r="N91" s="49"/>
      <c r="O91" s="52"/>
      <c r="P91" s="52"/>
      <c r="Q91" s="49"/>
      <c r="R91" s="49"/>
      <c r="S91" s="49"/>
      <c r="T91" s="49"/>
      <c r="U91" s="53"/>
      <c r="V91" s="177"/>
      <c r="W91" s="49"/>
      <c r="X91" s="49"/>
      <c r="Y91" s="49"/>
      <c r="Z91" s="49"/>
      <c r="AA91" s="49"/>
      <c r="AB91" s="49"/>
      <c r="AC91" s="162"/>
    </row>
    <row r="92" spans="1:29">
      <c r="A92" s="49"/>
      <c r="B92" s="50"/>
      <c r="C92" s="49"/>
      <c r="D92" s="49"/>
      <c r="E92" s="49"/>
      <c r="F92" s="49"/>
      <c r="G92" s="51"/>
      <c r="H92" s="51"/>
      <c r="I92" s="49"/>
      <c r="J92" s="49"/>
      <c r="K92" s="49"/>
      <c r="L92" s="182"/>
      <c r="M92" s="49"/>
      <c r="N92" s="49"/>
      <c r="O92" s="52"/>
      <c r="P92" s="52"/>
      <c r="Q92" s="49"/>
      <c r="R92" s="49"/>
      <c r="S92" s="49"/>
      <c r="T92" s="49"/>
      <c r="U92" s="53"/>
      <c r="V92" s="177"/>
      <c r="W92" s="49"/>
      <c r="X92" s="49"/>
      <c r="Y92" s="49"/>
      <c r="Z92" s="49"/>
      <c r="AA92" s="49"/>
      <c r="AB92" s="49"/>
      <c r="AC92" s="162"/>
    </row>
    <row r="93" spans="1:29">
      <c r="A93" s="49"/>
      <c r="B93" s="50"/>
      <c r="C93" s="49"/>
      <c r="D93" s="49"/>
      <c r="E93" s="49"/>
      <c r="F93" s="49"/>
      <c r="G93" s="51"/>
      <c r="H93" s="51"/>
      <c r="I93" s="49"/>
      <c r="J93" s="49"/>
      <c r="K93" s="49"/>
      <c r="L93" s="182"/>
      <c r="M93" s="49"/>
      <c r="N93" s="49"/>
      <c r="O93" s="52"/>
      <c r="P93" s="52"/>
      <c r="Q93" s="49"/>
      <c r="R93" s="49"/>
      <c r="S93" s="49"/>
      <c r="T93" s="49"/>
      <c r="U93" s="53"/>
      <c r="V93" s="177"/>
      <c r="W93" s="49"/>
      <c r="X93" s="49"/>
      <c r="Y93" s="49"/>
      <c r="Z93" s="49"/>
      <c r="AA93" s="49"/>
      <c r="AB93" s="49"/>
      <c r="AC93" s="162"/>
    </row>
    <row r="94" spans="1:29">
      <c r="A94" s="49"/>
      <c r="B94" s="50"/>
      <c r="C94" s="49"/>
      <c r="D94" s="49"/>
      <c r="E94" s="49"/>
      <c r="F94" s="49"/>
      <c r="G94" s="51"/>
      <c r="H94" s="51"/>
      <c r="I94" s="49"/>
      <c r="J94" s="49"/>
      <c r="K94" s="49"/>
      <c r="L94" s="182"/>
      <c r="M94" s="49"/>
      <c r="N94" s="49"/>
      <c r="O94" s="52"/>
      <c r="P94" s="52"/>
      <c r="Q94" s="49"/>
      <c r="R94" s="49"/>
      <c r="S94" s="49"/>
      <c r="T94" s="49"/>
      <c r="U94" s="53"/>
      <c r="V94" s="177"/>
      <c r="W94" s="49"/>
      <c r="X94" s="49"/>
      <c r="Y94" s="49"/>
      <c r="Z94" s="49"/>
      <c r="AA94" s="49"/>
      <c r="AB94" s="49"/>
      <c r="AC94" s="162"/>
    </row>
    <row r="95" spans="1:29">
      <c r="A95" s="49"/>
      <c r="B95" s="50"/>
      <c r="C95" s="49"/>
      <c r="D95" s="49"/>
      <c r="E95" s="49"/>
      <c r="F95" s="49"/>
      <c r="G95" s="51"/>
      <c r="H95" s="51"/>
      <c r="I95" s="49"/>
      <c r="J95" s="49"/>
      <c r="K95" s="49"/>
      <c r="L95" s="182"/>
      <c r="M95" s="49"/>
      <c r="N95" s="49"/>
      <c r="O95" s="52"/>
      <c r="P95" s="52"/>
      <c r="Q95" s="49"/>
      <c r="R95" s="49"/>
      <c r="S95" s="49"/>
      <c r="T95" s="49"/>
      <c r="U95" s="53"/>
      <c r="V95" s="177"/>
      <c r="W95" s="49"/>
      <c r="X95" s="49"/>
      <c r="Y95" s="49"/>
      <c r="Z95" s="49"/>
      <c r="AA95" s="49"/>
      <c r="AB95" s="49"/>
      <c r="AC95" s="162"/>
    </row>
    <row r="96" spans="1:29">
      <c r="A96" s="49"/>
      <c r="B96" s="50"/>
      <c r="C96" s="49"/>
      <c r="D96" s="49"/>
      <c r="E96" s="49"/>
      <c r="F96" s="49"/>
      <c r="G96" s="51"/>
      <c r="H96" s="51"/>
      <c r="I96" s="49"/>
      <c r="J96" s="49"/>
      <c r="K96" s="49"/>
      <c r="L96" s="182"/>
      <c r="M96" s="49"/>
      <c r="N96" s="49"/>
      <c r="O96" s="52"/>
      <c r="P96" s="52"/>
      <c r="Q96" s="49"/>
      <c r="R96" s="49"/>
      <c r="S96" s="49"/>
      <c r="T96" s="49"/>
      <c r="U96" s="53"/>
      <c r="V96" s="177"/>
      <c r="W96" s="49"/>
      <c r="X96" s="49"/>
      <c r="Y96" s="49"/>
      <c r="Z96" s="49"/>
      <c r="AA96" s="49"/>
      <c r="AB96" s="49"/>
      <c r="AC96" s="162"/>
    </row>
    <row r="97" spans="1:29">
      <c r="A97" s="49"/>
      <c r="B97" s="50"/>
      <c r="C97" s="49"/>
      <c r="D97" s="49"/>
      <c r="E97" s="49"/>
      <c r="F97" s="49"/>
      <c r="G97" s="51"/>
      <c r="H97" s="51"/>
      <c r="I97" s="49"/>
      <c r="J97" s="49"/>
      <c r="K97" s="49"/>
      <c r="L97" s="182"/>
      <c r="M97" s="49"/>
      <c r="N97" s="49"/>
      <c r="O97" s="52"/>
      <c r="P97" s="52"/>
      <c r="Q97" s="49"/>
      <c r="R97" s="49"/>
      <c r="S97" s="49"/>
      <c r="T97" s="49"/>
      <c r="U97" s="53"/>
      <c r="V97" s="177"/>
      <c r="W97" s="49"/>
      <c r="X97" s="49"/>
      <c r="Y97" s="49"/>
      <c r="Z97" s="49"/>
      <c r="AA97" s="49"/>
      <c r="AB97" s="49"/>
      <c r="AC97" s="162"/>
    </row>
    <row r="98" spans="1:29">
      <c r="A98" s="49"/>
      <c r="B98" s="50"/>
      <c r="C98" s="49"/>
      <c r="D98" s="49"/>
      <c r="E98" s="49"/>
      <c r="F98" s="49"/>
      <c r="G98" s="51"/>
      <c r="H98" s="51"/>
      <c r="I98" s="49"/>
      <c r="J98" s="49"/>
      <c r="K98" s="49"/>
      <c r="L98" s="182"/>
      <c r="M98" s="49"/>
      <c r="N98" s="49"/>
      <c r="O98" s="52"/>
      <c r="P98" s="52"/>
      <c r="Q98" s="49"/>
      <c r="R98" s="49"/>
      <c r="S98" s="49"/>
      <c r="T98" s="49"/>
      <c r="U98" s="53"/>
      <c r="V98" s="177"/>
      <c r="W98" s="49"/>
      <c r="X98" s="49"/>
      <c r="Y98" s="49"/>
      <c r="Z98" s="49"/>
      <c r="AA98" s="49"/>
      <c r="AB98" s="49"/>
      <c r="AC98" s="162"/>
    </row>
    <row r="99" spans="1:29">
      <c r="A99" s="49"/>
      <c r="B99" s="50"/>
      <c r="C99" s="49"/>
      <c r="D99" s="49"/>
      <c r="E99" s="49"/>
      <c r="F99" s="49"/>
      <c r="G99" s="51"/>
      <c r="H99" s="51"/>
      <c r="I99" s="49"/>
      <c r="J99" s="49"/>
      <c r="K99" s="49"/>
      <c r="L99" s="182"/>
      <c r="M99" s="49"/>
      <c r="N99" s="49"/>
      <c r="O99" s="52"/>
      <c r="P99" s="52"/>
      <c r="Q99" s="49"/>
      <c r="R99" s="49"/>
      <c r="S99" s="49"/>
      <c r="T99" s="49"/>
      <c r="U99" s="53"/>
      <c r="V99" s="177"/>
      <c r="W99" s="49"/>
      <c r="X99" s="49"/>
      <c r="Y99" s="49"/>
      <c r="Z99" s="49"/>
      <c r="AA99" s="49"/>
      <c r="AB99" s="49"/>
      <c r="AC99" s="162"/>
    </row>
    <row r="100" spans="1:29">
      <c r="A100" s="49"/>
      <c r="B100" s="50"/>
      <c r="C100" s="49"/>
      <c r="D100" s="49"/>
      <c r="E100" s="49"/>
      <c r="F100" s="49"/>
      <c r="G100" s="51"/>
      <c r="H100" s="51"/>
      <c r="I100" s="49"/>
      <c r="J100" s="49"/>
      <c r="K100" s="49"/>
      <c r="L100" s="182"/>
      <c r="M100" s="49"/>
      <c r="N100" s="49"/>
      <c r="O100" s="52"/>
      <c r="P100" s="52"/>
      <c r="Q100" s="49"/>
      <c r="R100" s="49"/>
      <c r="S100" s="49"/>
      <c r="T100" s="49"/>
      <c r="U100" s="53"/>
      <c r="V100" s="177"/>
      <c r="W100" s="49"/>
      <c r="X100" s="49"/>
      <c r="Y100" s="49"/>
      <c r="Z100" s="49"/>
      <c r="AA100" s="49"/>
      <c r="AB100" s="49"/>
      <c r="AC100" s="162"/>
    </row>
    <row r="101" spans="1:29">
      <c r="A101" s="49"/>
      <c r="B101" s="50"/>
      <c r="C101" s="49"/>
      <c r="D101" s="49"/>
      <c r="E101" s="49"/>
      <c r="F101" s="49"/>
      <c r="G101" s="51"/>
      <c r="H101" s="51"/>
      <c r="I101" s="49"/>
      <c r="J101" s="49"/>
      <c r="K101" s="49"/>
      <c r="L101" s="182"/>
      <c r="M101" s="49"/>
      <c r="N101" s="49"/>
      <c r="O101" s="52"/>
      <c r="P101" s="52"/>
      <c r="Q101" s="49"/>
      <c r="R101" s="49"/>
      <c r="S101" s="49"/>
      <c r="T101" s="49"/>
      <c r="U101" s="53"/>
      <c r="V101" s="177"/>
      <c r="W101" s="49"/>
      <c r="X101" s="49"/>
      <c r="Y101" s="49"/>
      <c r="Z101" s="49"/>
      <c r="AA101" s="49"/>
      <c r="AB101" s="49"/>
      <c r="AC101" s="162"/>
    </row>
    <row r="102" spans="1:29">
      <c r="A102" s="49"/>
      <c r="B102" s="50"/>
      <c r="C102" s="49"/>
      <c r="D102" s="49"/>
      <c r="E102" s="49"/>
      <c r="F102" s="49"/>
      <c r="G102" s="51"/>
      <c r="H102" s="51"/>
      <c r="I102" s="49"/>
      <c r="J102" s="49"/>
      <c r="K102" s="49"/>
      <c r="L102" s="182"/>
      <c r="M102" s="49"/>
      <c r="N102" s="49"/>
      <c r="O102" s="52"/>
      <c r="P102" s="52"/>
      <c r="Q102" s="49"/>
      <c r="R102" s="49"/>
      <c r="S102" s="49"/>
      <c r="T102" s="49"/>
      <c r="U102" s="53"/>
      <c r="V102" s="177"/>
      <c r="W102" s="49"/>
      <c r="X102" s="49"/>
      <c r="Y102" s="49"/>
      <c r="Z102" s="49"/>
      <c r="AA102" s="49"/>
      <c r="AB102" s="49"/>
      <c r="AC102" s="162"/>
    </row>
    <row r="103" spans="1:29">
      <c r="A103" s="49"/>
      <c r="B103" s="50"/>
      <c r="C103" s="49"/>
      <c r="D103" s="49"/>
      <c r="E103" s="49"/>
      <c r="F103" s="49"/>
      <c r="G103" s="51"/>
      <c r="H103" s="51"/>
      <c r="I103" s="49"/>
      <c r="J103" s="49"/>
      <c r="K103" s="49"/>
      <c r="L103" s="182"/>
      <c r="M103" s="49"/>
      <c r="N103" s="49"/>
      <c r="O103" s="52"/>
      <c r="P103" s="52"/>
      <c r="Q103" s="49"/>
      <c r="R103" s="49"/>
      <c r="S103" s="49"/>
      <c r="T103" s="49"/>
      <c r="U103" s="53"/>
      <c r="V103" s="177"/>
      <c r="W103" s="49"/>
      <c r="X103" s="49"/>
      <c r="Y103" s="49"/>
      <c r="Z103" s="49"/>
      <c r="AA103" s="49"/>
      <c r="AB103" s="49"/>
      <c r="AC103" s="162"/>
    </row>
    <row r="104" spans="1:29">
      <c r="A104" s="49"/>
      <c r="B104" s="50"/>
      <c r="C104" s="49"/>
      <c r="D104" s="49"/>
      <c r="E104" s="49"/>
      <c r="F104" s="49"/>
      <c r="G104" s="51"/>
      <c r="H104" s="51"/>
      <c r="I104" s="49"/>
      <c r="J104" s="49"/>
      <c r="K104" s="49"/>
      <c r="L104" s="182"/>
      <c r="M104" s="49"/>
      <c r="N104" s="49"/>
      <c r="O104" s="52"/>
      <c r="P104" s="52"/>
      <c r="Q104" s="49"/>
      <c r="R104" s="49"/>
      <c r="S104" s="49"/>
      <c r="T104" s="49"/>
      <c r="U104" s="53"/>
      <c r="V104" s="177"/>
      <c r="W104" s="49"/>
      <c r="X104" s="49"/>
      <c r="Y104" s="49"/>
      <c r="Z104" s="49"/>
      <c r="AA104" s="49"/>
      <c r="AB104" s="49"/>
      <c r="AC104" s="162"/>
    </row>
    <row r="105" spans="1:29">
      <c r="A105" s="49"/>
      <c r="B105" s="50"/>
      <c r="C105" s="49"/>
      <c r="D105" s="49"/>
      <c r="E105" s="49"/>
      <c r="F105" s="49"/>
      <c r="G105" s="51"/>
      <c r="H105" s="51"/>
      <c r="I105" s="49"/>
      <c r="J105" s="49"/>
      <c r="K105" s="49"/>
      <c r="L105" s="182"/>
      <c r="M105" s="49"/>
      <c r="N105" s="49"/>
      <c r="O105" s="52"/>
      <c r="P105" s="52"/>
      <c r="Q105" s="49"/>
      <c r="R105" s="49"/>
      <c r="S105" s="49"/>
      <c r="T105" s="49"/>
      <c r="U105" s="53"/>
      <c r="V105" s="177"/>
      <c r="W105" s="49"/>
      <c r="X105" s="49"/>
      <c r="Y105" s="49"/>
      <c r="Z105" s="49"/>
      <c r="AA105" s="49"/>
      <c r="AB105" s="49"/>
      <c r="AC105" s="162"/>
    </row>
    <row r="106" spans="1:29">
      <c r="A106" s="49"/>
      <c r="B106" s="50"/>
      <c r="C106" s="49"/>
      <c r="D106" s="49"/>
      <c r="E106" s="49"/>
      <c r="F106" s="49"/>
      <c r="G106" s="51"/>
      <c r="H106" s="51"/>
      <c r="I106" s="49"/>
      <c r="J106" s="49"/>
      <c r="K106" s="49"/>
      <c r="L106" s="182"/>
      <c r="M106" s="49"/>
      <c r="N106" s="49"/>
      <c r="O106" s="52"/>
      <c r="P106" s="52"/>
      <c r="Q106" s="49"/>
      <c r="R106" s="49"/>
      <c r="S106" s="49"/>
      <c r="T106" s="49"/>
      <c r="U106" s="53"/>
      <c r="V106" s="177"/>
      <c r="W106" s="49"/>
      <c r="X106" s="49"/>
      <c r="Y106" s="49"/>
      <c r="Z106" s="49"/>
      <c r="AA106" s="49"/>
      <c r="AB106" s="49"/>
      <c r="AC106" s="162"/>
    </row>
    <row r="107" spans="1:29">
      <c r="A107" s="49"/>
      <c r="B107" s="50"/>
      <c r="C107" s="49"/>
      <c r="D107" s="49"/>
      <c r="E107" s="49"/>
      <c r="F107" s="49"/>
      <c r="G107" s="51"/>
      <c r="H107" s="51"/>
      <c r="I107" s="49"/>
      <c r="J107" s="49"/>
      <c r="K107" s="49"/>
      <c r="L107" s="182"/>
      <c r="M107" s="49"/>
      <c r="N107" s="49"/>
      <c r="O107" s="52"/>
      <c r="P107" s="52"/>
      <c r="Q107" s="49"/>
      <c r="R107" s="49"/>
      <c r="S107" s="49"/>
      <c r="T107" s="49"/>
      <c r="U107" s="53"/>
      <c r="V107" s="177"/>
      <c r="W107" s="49"/>
      <c r="X107" s="49"/>
      <c r="Y107" s="49"/>
      <c r="Z107" s="49"/>
      <c r="AA107" s="49"/>
      <c r="AB107" s="49"/>
      <c r="AC107" s="162"/>
    </row>
    <row r="108" spans="1:29">
      <c r="A108" s="49"/>
      <c r="B108" s="50"/>
      <c r="C108" s="49"/>
      <c r="D108" s="49"/>
      <c r="E108" s="49"/>
      <c r="F108" s="49"/>
      <c r="G108" s="51"/>
      <c r="H108" s="51"/>
      <c r="I108" s="49"/>
      <c r="J108" s="49"/>
      <c r="K108" s="49"/>
      <c r="L108" s="182"/>
      <c r="M108" s="49"/>
      <c r="N108" s="49"/>
      <c r="O108" s="52"/>
      <c r="P108" s="52"/>
      <c r="Q108" s="49"/>
      <c r="R108" s="49"/>
      <c r="S108" s="49"/>
      <c r="T108" s="49"/>
      <c r="U108" s="53"/>
      <c r="V108" s="177"/>
      <c r="W108" s="49"/>
      <c r="X108" s="49"/>
      <c r="Y108" s="49"/>
      <c r="Z108" s="49"/>
      <c r="AA108" s="49"/>
      <c r="AB108" s="49"/>
      <c r="AC108" s="162"/>
    </row>
    <row r="109" spans="1:29">
      <c r="A109" s="49"/>
      <c r="B109" s="50"/>
      <c r="C109" s="49"/>
      <c r="D109" s="49"/>
      <c r="E109" s="49"/>
      <c r="F109" s="49"/>
      <c r="G109" s="51"/>
      <c r="H109" s="51"/>
      <c r="I109" s="49"/>
      <c r="J109" s="49"/>
      <c r="K109" s="49"/>
      <c r="L109" s="182"/>
      <c r="M109" s="49"/>
      <c r="N109" s="49"/>
      <c r="O109" s="52"/>
      <c r="P109" s="52"/>
      <c r="Q109" s="49"/>
      <c r="R109" s="49"/>
      <c r="S109" s="49"/>
      <c r="T109" s="49"/>
      <c r="U109" s="53"/>
      <c r="V109" s="177"/>
      <c r="W109" s="49"/>
      <c r="X109" s="49"/>
      <c r="Y109" s="49"/>
      <c r="Z109" s="49"/>
      <c r="AA109" s="49"/>
      <c r="AB109" s="49"/>
      <c r="AC109" s="162"/>
    </row>
    <row r="110" spans="1:29">
      <c r="A110" s="49"/>
      <c r="B110" s="50"/>
      <c r="C110" s="49"/>
      <c r="D110" s="49"/>
      <c r="E110" s="49"/>
      <c r="F110" s="49"/>
      <c r="G110" s="51"/>
      <c r="H110" s="51"/>
      <c r="I110" s="49"/>
      <c r="J110" s="49"/>
      <c r="K110" s="49"/>
      <c r="L110" s="182"/>
      <c r="M110" s="49"/>
      <c r="N110" s="49"/>
      <c r="O110" s="52"/>
      <c r="P110" s="52"/>
      <c r="Q110" s="49"/>
      <c r="R110" s="49"/>
      <c r="S110" s="49"/>
      <c r="T110" s="49"/>
      <c r="U110" s="53"/>
      <c r="V110" s="177"/>
      <c r="W110" s="49"/>
      <c r="X110" s="49"/>
      <c r="Y110" s="49"/>
      <c r="Z110" s="49"/>
      <c r="AA110" s="49"/>
      <c r="AB110" s="49"/>
      <c r="AC110" s="162"/>
    </row>
    <row r="111" spans="1:29">
      <c r="A111" s="49"/>
      <c r="B111" s="50"/>
      <c r="C111" s="49"/>
      <c r="D111" s="49"/>
      <c r="E111" s="49"/>
      <c r="F111" s="49"/>
      <c r="G111" s="51"/>
      <c r="H111" s="51"/>
      <c r="I111" s="49"/>
      <c r="J111" s="49"/>
      <c r="K111" s="49"/>
      <c r="L111" s="182"/>
      <c r="M111" s="49"/>
      <c r="N111" s="49"/>
      <c r="O111" s="52"/>
      <c r="P111" s="52"/>
      <c r="Q111" s="49"/>
      <c r="R111" s="49"/>
      <c r="S111" s="49"/>
      <c r="T111" s="49"/>
      <c r="U111" s="53"/>
      <c r="V111" s="177"/>
      <c r="W111" s="49"/>
      <c r="X111" s="49"/>
      <c r="Y111" s="49"/>
      <c r="Z111" s="49"/>
      <c r="AA111" s="49"/>
      <c r="AB111" s="49"/>
      <c r="AC111" s="162"/>
    </row>
    <row r="112" spans="1:29">
      <c r="A112" s="49"/>
      <c r="B112" s="50"/>
      <c r="C112" s="49"/>
      <c r="D112" s="49"/>
      <c r="E112" s="49"/>
      <c r="F112" s="49"/>
      <c r="G112" s="51"/>
      <c r="H112" s="51"/>
      <c r="I112" s="49"/>
      <c r="J112" s="49"/>
      <c r="K112" s="49"/>
      <c r="L112" s="182"/>
      <c r="M112" s="49"/>
      <c r="N112" s="49"/>
      <c r="O112" s="52"/>
      <c r="P112" s="52"/>
      <c r="Q112" s="49"/>
      <c r="R112" s="49"/>
      <c r="S112" s="49"/>
      <c r="T112" s="49"/>
      <c r="U112" s="53"/>
      <c r="V112" s="177"/>
      <c r="W112" s="49"/>
      <c r="X112" s="49"/>
      <c r="Y112" s="49"/>
      <c r="Z112" s="49"/>
      <c r="AA112" s="49"/>
      <c r="AB112" s="49"/>
      <c r="AC112" s="162"/>
    </row>
    <row r="113" spans="1:29">
      <c r="A113" s="49"/>
      <c r="B113" s="50"/>
      <c r="C113" s="49"/>
      <c r="D113" s="49"/>
      <c r="E113" s="49"/>
      <c r="F113" s="49"/>
      <c r="G113" s="51"/>
      <c r="H113" s="51"/>
      <c r="I113" s="49"/>
      <c r="J113" s="49"/>
      <c r="K113" s="49"/>
      <c r="L113" s="182"/>
      <c r="M113" s="49"/>
      <c r="N113" s="49"/>
      <c r="O113" s="52"/>
      <c r="P113" s="52"/>
      <c r="Q113" s="49"/>
      <c r="R113" s="49"/>
      <c r="S113" s="49"/>
      <c r="T113" s="49"/>
      <c r="U113" s="53"/>
      <c r="V113" s="177"/>
      <c r="W113" s="49"/>
      <c r="X113" s="49"/>
      <c r="Y113" s="49"/>
      <c r="Z113" s="49"/>
      <c r="AA113" s="49"/>
      <c r="AB113" s="49"/>
      <c r="AC113" s="162"/>
    </row>
    <row r="114" spans="1:29">
      <c r="A114" s="49"/>
      <c r="B114" s="50"/>
      <c r="C114" s="49"/>
      <c r="D114" s="49"/>
      <c r="E114" s="49"/>
      <c r="F114" s="49"/>
      <c r="G114" s="51"/>
      <c r="H114" s="51"/>
      <c r="I114" s="49"/>
      <c r="J114" s="49"/>
      <c r="K114" s="49"/>
      <c r="L114" s="182"/>
      <c r="M114" s="49"/>
      <c r="N114" s="49"/>
      <c r="O114" s="52"/>
      <c r="P114" s="52"/>
      <c r="Q114" s="49"/>
      <c r="R114" s="49"/>
      <c r="S114" s="49"/>
      <c r="T114" s="49"/>
      <c r="U114" s="53"/>
      <c r="V114" s="177"/>
      <c r="W114" s="49"/>
      <c r="X114" s="49"/>
      <c r="Y114" s="49"/>
      <c r="Z114" s="49"/>
      <c r="AA114" s="49"/>
      <c r="AB114" s="49"/>
      <c r="AC114" s="162"/>
    </row>
    <row r="115" spans="1:29">
      <c r="A115" s="49"/>
      <c r="B115" s="50"/>
      <c r="C115" s="49"/>
      <c r="D115" s="49"/>
      <c r="E115" s="49"/>
      <c r="F115" s="49"/>
      <c r="G115" s="51"/>
      <c r="H115" s="51"/>
      <c r="I115" s="49"/>
      <c r="J115" s="49"/>
      <c r="K115" s="49"/>
      <c r="L115" s="182"/>
      <c r="M115" s="49"/>
      <c r="N115" s="49"/>
      <c r="O115" s="52"/>
      <c r="P115" s="52"/>
      <c r="Q115" s="49"/>
      <c r="R115" s="49"/>
      <c r="S115" s="49"/>
      <c r="T115" s="49"/>
      <c r="U115" s="53"/>
      <c r="V115" s="177"/>
      <c r="W115" s="49"/>
      <c r="X115" s="49"/>
      <c r="Y115" s="49"/>
      <c r="Z115" s="49"/>
      <c r="AA115" s="49"/>
      <c r="AB115" s="49"/>
      <c r="AC115" s="162"/>
    </row>
    <row r="116" spans="1:29">
      <c r="A116" s="49"/>
      <c r="B116" s="50"/>
      <c r="C116" s="49"/>
      <c r="D116" s="49"/>
      <c r="E116" s="49"/>
      <c r="F116" s="49"/>
      <c r="G116" s="51"/>
      <c r="H116" s="51"/>
      <c r="I116" s="49"/>
      <c r="J116" s="49"/>
      <c r="K116" s="49"/>
      <c r="L116" s="182"/>
      <c r="M116" s="49"/>
      <c r="N116" s="49"/>
      <c r="O116" s="52"/>
      <c r="P116" s="52"/>
      <c r="Q116" s="49"/>
      <c r="R116" s="49"/>
      <c r="S116" s="49"/>
      <c r="T116" s="49"/>
      <c r="U116" s="53"/>
      <c r="V116" s="177"/>
      <c r="W116" s="49"/>
      <c r="X116" s="49"/>
      <c r="Y116" s="49"/>
      <c r="Z116" s="49"/>
      <c r="AA116" s="49"/>
      <c r="AB116" s="49"/>
      <c r="AC116" s="162"/>
    </row>
    <row r="117" spans="1:29">
      <c r="A117" s="49"/>
      <c r="B117" s="50"/>
      <c r="C117" s="49"/>
      <c r="D117" s="49"/>
      <c r="E117" s="49"/>
      <c r="F117" s="49"/>
      <c r="G117" s="51"/>
      <c r="H117" s="51"/>
      <c r="I117" s="49"/>
      <c r="J117" s="49"/>
      <c r="K117" s="49"/>
      <c r="L117" s="182"/>
      <c r="M117" s="49"/>
      <c r="N117" s="49"/>
      <c r="O117" s="52"/>
      <c r="P117" s="52"/>
      <c r="Q117" s="49"/>
      <c r="R117" s="49"/>
      <c r="S117" s="49"/>
      <c r="T117" s="49"/>
      <c r="U117" s="53"/>
      <c r="V117" s="177"/>
      <c r="W117" s="49"/>
      <c r="X117" s="49"/>
      <c r="Y117" s="49"/>
      <c r="Z117" s="49"/>
      <c r="AA117" s="49"/>
      <c r="AB117" s="49"/>
      <c r="AC117" s="162"/>
    </row>
    <row r="118" spans="1:29">
      <c r="A118" s="49"/>
      <c r="B118" s="50"/>
      <c r="C118" s="49"/>
      <c r="D118" s="49"/>
      <c r="E118" s="49"/>
      <c r="F118" s="49"/>
      <c r="G118" s="51"/>
      <c r="H118" s="51"/>
      <c r="I118" s="49"/>
      <c r="J118" s="49"/>
      <c r="K118" s="49"/>
      <c r="L118" s="182"/>
      <c r="M118" s="49"/>
      <c r="N118" s="49"/>
      <c r="O118" s="52"/>
      <c r="P118" s="52"/>
      <c r="Q118" s="49"/>
      <c r="R118" s="49"/>
      <c r="S118" s="49"/>
      <c r="T118" s="49"/>
      <c r="U118" s="53"/>
      <c r="V118" s="177"/>
      <c r="W118" s="49"/>
      <c r="X118" s="49"/>
      <c r="Y118" s="49"/>
      <c r="Z118" s="49"/>
      <c r="AA118" s="49"/>
      <c r="AB118" s="49"/>
      <c r="AC118" s="162"/>
    </row>
    <row r="119" spans="1:29">
      <c r="A119" s="49"/>
      <c r="B119" s="50"/>
      <c r="C119" s="49"/>
      <c r="D119" s="49"/>
      <c r="E119" s="49"/>
      <c r="F119" s="49"/>
      <c r="G119" s="51"/>
      <c r="H119" s="51"/>
      <c r="I119" s="49"/>
      <c r="J119" s="49"/>
      <c r="K119" s="49"/>
      <c r="L119" s="182"/>
      <c r="M119" s="49"/>
      <c r="N119" s="49"/>
      <c r="O119" s="52"/>
      <c r="P119" s="52"/>
      <c r="Q119" s="49"/>
      <c r="R119" s="49"/>
      <c r="S119" s="49"/>
      <c r="T119" s="49"/>
      <c r="U119" s="53"/>
      <c r="V119" s="177"/>
      <c r="W119" s="49"/>
      <c r="X119" s="49"/>
      <c r="Y119" s="49"/>
      <c r="Z119" s="49"/>
      <c r="AA119" s="49"/>
      <c r="AB119" s="49"/>
      <c r="AC119" s="162"/>
    </row>
    <row r="120" spans="1:29">
      <c r="A120" s="49"/>
      <c r="B120" s="50"/>
      <c r="C120" s="49"/>
      <c r="D120" s="49"/>
      <c r="E120" s="49"/>
      <c r="F120" s="49"/>
      <c r="G120" s="51"/>
      <c r="H120" s="51"/>
      <c r="I120" s="49"/>
      <c r="J120" s="49"/>
      <c r="K120" s="49"/>
      <c r="L120" s="182"/>
      <c r="M120" s="49"/>
      <c r="N120" s="49"/>
      <c r="O120" s="52"/>
      <c r="P120" s="52"/>
      <c r="Q120" s="49"/>
      <c r="R120" s="49"/>
      <c r="S120" s="49"/>
      <c r="T120" s="49"/>
      <c r="U120" s="53"/>
      <c r="V120" s="177"/>
      <c r="W120" s="49"/>
      <c r="X120" s="49"/>
      <c r="Y120" s="49"/>
      <c r="Z120" s="49"/>
      <c r="AA120" s="49"/>
      <c r="AB120" s="49"/>
      <c r="AC120" s="162"/>
    </row>
    <row r="121" spans="1:29">
      <c r="A121" s="49"/>
      <c r="B121" s="50"/>
      <c r="C121" s="49"/>
      <c r="D121" s="49"/>
      <c r="E121" s="49"/>
      <c r="F121" s="49"/>
      <c r="G121" s="51"/>
      <c r="H121" s="51"/>
      <c r="I121" s="49"/>
      <c r="J121" s="49"/>
      <c r="K121" s="49"/>
      <c r="L121" s="182"/>
      <c r="M121" s="49"/>
      <c r="N121" s="49"/>
      <c r="O121" s="52"/>
      <c r="P121" s="52"/>
      <c r="Q121" s="49"/>
      <c r="R121" s="49"/>
      <c r="S121" s="49"/>
      <c r="T121" s="49"/>
      <c r="U121" s="53"/>
      <c r="V121" s="177"/>
      <c r="W121" s="49"/>
      <c r="X121" s="49"/>
      <c r="Y121" s="49"/>
      <c r="Z121" s="49"/>
      <c r="AA121" s="49"/>
      <c r="AB121" s="49"/>
      <c r="AC121" s="162"/>
    </row>
    <row r="122" spans="1:29">
      <c r="A122" s="49"/>
      <c r="B122" s="50"/>
      <c r="C122" s="49"/>
      <c r="D122" s="49"/>
      <c r="E122" s="49"/>
      <c r="F122" s="49"/>
      <c r="G122" s="51"/>
      <c r="H122" s="51"/>
      <c r="I122" s="49"/>
      <c r="J122" s="49"/>
      <c r="K122" s="49"/>
      <c r="L122" s="182"/>
      <c r="M122" s="49"/>
      <c r="N122" s="49"/>
      <c r="O122" s="52"/>
      <c r="P122" s="52"/>
      <c r="Q122" s="49"/>
      <c r="R122" s="49"/>
      <c r="S122" s="49"/>
      <c r="T122" s="49"/>
      <c r="U122" s="53"/>
      <c r="V122" s="177"/>
      <c r="W122" s="49"/>
      <c r="X122" s="49"/>
      <c r="Y122" s="49"/>
      <c r="Z122" s="49"/>
      <c r="AA122" s="49"/>
      <c r="AB122" s="49"/>
      <c r="AC122" s="162"/>
    </row>
    <row r="123" spans="1:29">
      <c r="A123" s="49"/>
      <c r="B123" s="50"/>
      <c r="C123" s="49"/>
      <c r="D123" s="49"/>
      <c r="E123" s="49"/>
      <c r="F123" s="49"/>
      <c r="G123" s="51"/>
      <c r="H123" s="51"/>
      <c r="I123" s="49"/>
      <c r="J123" s="49"/>
      <c r="K123" s="49"/>
      <c r="L123" s="182"/>
      <c r="M123" s="49"/>
      <c r="N123" s="49"/>
      <c r="O123" s="52"/>
      <c r="P123" s="52"/>
      <c r="Q123" s="49"/>
      <c r="R123" s="49"/>
      <c r="S123" s="49"/>
      <c r="T123" s="49"/>
      <c r="U123" s="53"/>
      <c r="V123" s="177"/>
      <c r="W123" s="49"/>
      <c r="X123" s="49"/>
      <c r="Y123" s="49"/>
      <c r="Z123" s="49"/>
      <c r="AA123" s="49"/>
      <c r="AB123" s="49"/>
      <c r="AC123" s="162"/>
    </row>
    <row r="124" spans="1:29">
      <c r="A124" s="49"/>
      <c r="B124" s="50"/>
      <c r="C124" s="49"/>
      <c r="D124" s="49"/>
      <c r="E124" s="49"/>
      <c r="F124" s="49"/>
      <c r="G124" s="51"/>
      <c r="H124" s="51"/>
      <c r="I124" s="49"/>
      <c r="J124" s="49"/>
      <c r="K124" s="49"/>
      <c r="L124" s="182"/>
      <c r="M124" s="49"/>
      <c r="N124" s="49"/>
      <c r="O124" s="52"/>
      <c r="P124" s="52"/>
      <c r="Q124" s="49"/>
      <c r="R124" s="49"/>
      <c r="S124" s="49"/>
      <c r="T124" s="49"/>
      <c r="U124" s="53"/>
      <c r="V124" s="177"/>
      <c r="W124" s="49"/>
      <c r="X124" s="49"/>
      <c r="Y124" s="49"/>
      <c r="Z124" s="49"/>
      <c r="AA124" s="49"/>
      <c r="AB124" s="49"/>
      <c r="AC124" s="162"/>
    </row>
    <row r="125" spans="1:29">
      <c r="A125" s="49"/>
      <c r="B125" s="50"/>
      <c r="C125" s="49"/>
      <c r="D125" s="49"/>
      <c r="E125" s="49"/>
      <c r="F125" s="49"/>
      <c r="G125" s="51"/>
      <c r="H125" s="51"/>
      <c r="I125" s="49"/>
      <c r="J125" s="49"/>
      <c r="K125" s="49"/>
      <c r="L125" s="182"/>
      <c r="M125" s="49"/>
      <c r="N125" s="49"/>
      <c r="O125" s="52"/>
      <c r="P125" s="52"/>
      <c r="Q125" s="49"/>
      <c r="R125" s="49"/>
      <c r="S125" s="49"/>
      <c r="T125" s="49"/>
      <c r="U125" s="53"/>
      <c r="V125" s="177"/>
      <c r="W125" s="49"/>
      <c r="X125" s="49"/>
      <c r="Y125" s="49"/>
      <c r="Z125" s="49"/>
      <c r="AA125" s="49"/>
      <c r="AB125" s="49"/>
      <c r="AC125" s="162"/>
    </row>
    <row r="126" spans="1:29">
      <c r="A126" s="49"/>
      <c r="B126" s="50"/>
      <c r="C126" s="49"/>
      <c r="D126" s="49"/>
      <c r="E126" s="49"/>
      <c r="F126" s="49"/>
      <c r="G126" s="51"/>
      <c r="H126" s="51"/>
      <c r="I126" s="49"/>
      <c r="J126" s="49"/>
      <c r="K126" s="49"/>
      <c r="L126" s="182"/>
      <c r="M126" s="49"/>
      <c r="N126" s="49"/>
      <c r="O126" s="52"/>
      <c r="P126" s="52"/>
      <c r="Q126" s="49"/>
      <c r="R126" s="49"/>
      <c r="S126" s="49"/>
      <c r="T126" s="49"/>
      <c r="U126" s="53"/>
      <c r="V126" s="177"/>
      <c r="W126" s="49"/>
      <c r="X126" s="49"/>
      <c r="Y126" s="49"/>
      <c r="Z126" s="49"/>
      <c r="AA126" s="49"/>
      <c r="AB126" s="49"/>
      <c r="AC126" s="162"/>
    </row>
    <row r="127" spans="1:29">
      <c r="A127" s="49"/>
      <c r="B127" s="50"/>
      <c r="C127" s="49"/>
      <c r="D127" s="49"/>
      <c r="E127" s="49"/>
      <c r="F127" s="49"/>
      <c r="G127" s="51"/>
      <c r="H127" s="51"/>
      <c r="I127" s="49"/>
      <c r="J127" s="49"/>
      <c r="K127" s="49"/>
      <c r="L127" s="182"/>
      <c r="M127" s="49"/>
      <c r="N127" s="49"/>
      <c r="O127" s="52"/>
      <c r="P127" s="52"/>
      <c r="Q127" s="49"/>
      <c r="R127" s="49"/>
      <c r="S127" s="49"/>
      <c r="T127" s="49"/>
      <c r="U127" s="53"/>
      <c r="V127" s="177"/>
      <c r="W127" s="49"/>
      <c r="X127" s="49"/>
      <c r="Y127" s="49"/>
      <c r="Z127" s="49"/>
      <c r="AA127" s="49"/>
      <c r="AB127" s="49"/>
      <c r="AC127" s="162"/>
    </row>
    <row r="128" spans="1:29">
      <c r="A128" s="49"/>
      <c r="B128" s="50"/>
      <c r="C128" s="49"/>
      <c r="D128" s="49"/>
      <c r="E128" s="49"/>
      <c r="F128" s="49"/>
      <c r="G128" s="51"/>
      <c r="H128" s="51"/>
      <c r="I128" s="49"/>
      <c r="J128" s="49"/>
      <c r="K128" s="49"/>
      <c r="L128" s="182"/>
      <c r="M128" s="49"/>
      <c r="N128" s="49"/>
      <c r="O128" s="52"/>
      <c r="P128" s="52"/>
      <c r="Q128" s="49"/>
      <c r="R128" s="49"/>
      <c r="S128" s="49"/>
      <c r="T128" s="49"/>
      <c r="U128" s="53"/>
      <c r="V128" s="177"/>
      <c r="W128" s="49"/>
      <c r="X128" s="49"/>
      <c r="Y128" s="49"/>
      <c r="Z128" s="49"/>
      <c r="AA128" s="49"/>
      <c r="AB128" s="49"/>
      <c r="AC128" s="162"/>
    </row>
    <row r="129" spans="1:29">
      <c r="A129" s="49"/>
      <c r="B129" s="50"/>
      <c r="C129" s="49"/>
      <c r="D129" s="49"/>
      <c r="E129" s="49"/>
      <c r="F129" s="49"/>
      <c r="G129" s="51"/>
      <c r="H129" s="51"/>
      <c r="I129" s="49"/>
      <c r="J129" s="49"/>
      <c r="K129" s="49"/>
      <c r="L129" s="182"/>
      <c r="M129" s="49"/>
      <c r="N129" s="49"/>
      <c r="O129" s="52"/>
      <c r="P129" s="52"/>
      <c r="Q129" s="49"/>
      <c r="R129" s="49"/>
      <c r="S129" s="49"/>
      <c r="T129" s="49"/>
      <c r="U129" s="53"/>
      <c r="V129" s="177"/>
      <c r="W129" s="49"/>
      <c r="X129" s="49"/>
      <c r="Y129" s="49"/>
      <c r="Z129" s="49"/>
      <c r="AA129" s="49"/>
      <c r="AB129" s="49"/>
      <c r="AC129" s="162"/>
    </row>
    <row r="130" spans="1:29">
      <c r="A130" s="49"/>
      <c r="B130" s="50"/>
      <c r="C130" s="49"/>
      <c r="D130" s="49"/>
      <c r="E130" s="49"/>
      <c r="F130" s="49"/>
      <c r="G130" s="51"/>
      <c r="H130" s="51"/>
      <c r="I130" s="49"/>
      <c r="J130" s="49"/>
      <c r="K130" s="49"/>
      <c r="L130" s="182"/>
      <c r="M130" s="49"/>
      <c r="N130" s="49"/>
      <c r="O130" s="52"/>
      <c r="P130" s="52"/>
      <c r="Q130" s="49"/>
      <c r="R130" s="49"/>
      <c r="S130" s="49"/>
      <c r="T130" s="49"/>
      <c r="U130" s="53"/>
      <c r="V130" s="177"/>
      <c r="W130" s="49"/>
      <c r="X130" s="49"/>
      <c r="Y130" s="49"/>
      <c r="Z130" s="49"/>
      <c r="AA130" s="49"/>
      <c r="AB130" s="49"/>
      <c r="AC130" s="162"/>
    </row>
    <row r="131" spans="1:29">
      <c r="A131" s="49"/>
      <c r="B131" s="50"/>
      <c r="C131" s="49"/>
      <c r="D131" s="49"/>
      <c r="E131" s="49"/>
      <c r="F131" s="49"/>
      <c r="G131" s="51"/>
      <c r="H131" s="51"/>
      <c r="I131" s="49"/>
      <c r="J131" s="49"/>
      <c r="K131" s="49"/>
      <c r="L131" s="182"/>
      <c r="M131" s="49"/>
      <c r="N131" s="49"/>
      <c r="O131" s="52"/>
      <c r="P131" s="52"/>
      <c r="Q131" s="49"/>
      <c r="R131" s="49"/>
      <c r="S131" s="49"/>
      <c r="T131" s="49"/>
      <c r="U131" s="53"/>
      <c r="V131" s="177"/>
      <c r="W131" s="49"/>
      <c r="X131" s="49"/>
      <c r="Y131" s="49"/>
      <c r="Z131" s="49"/>
      <c r="AA131" s="49"/>
      <c r="AB131" s="49"/>
      <c r="AC131" s="162"/>
    </row>
    <row r="132" spans="1:29">
      <c r="A132" s="49"/>
      <c r="B132" s="50"/>
      <c r="C132" s="49"/>
      <c r="D132" s="49"/>
      <c r="E132" s="49"/>
      <c r="F132" s="49"/>
      <c r="G132" s="51"/>
      <c r="H132" s="51"/>
      <c r="I132" s="49"/>
      <c r="J132" s="49"/>
      <c r="K132" s="49"/>
      <c r="L132" s="182"/>
      <c r="M132" s="49"/>
      <c r="N132" s="49"/>
      <c r="O132" s="52"/>
      <c r="P132" s="52"/>
      <c r="Q132" s="49"/>
      <c r="R132" s="49"/>
      <c r="S132" s="49"/>
      <c r="T132" s="49"/>
      <c r="U132" s="53"/>
      <c r="V132" s="177"/>
      <c r="W132" s="49"/>
      <c r="X132" s="49"/>
      <c r="Y132" s="49"/>
      <c r="Z132" s="49"/>
      <c r="AA132" s="49"/>
      <c r="AB132" s="49"/>
      <c r="AC132" s="162"/>
    </row>
    <row r="133" spans="1:29">
      <c r="A133" s="49"/>
      <c r="B133" s="50"/>
      <c r="C133" s="49"/>
      <c r="D133" s="49"/>
      <c r="E133" s="49"/>
      <c r="F133" s="49"/>
      <c r="G133" s="51"/>
      <c r="H133" s="51"/>
      <c r="I133" s="49"/>
      <c r="J133" s="49"/>
      <c r="K133" s="49"/>
      <c r="L133" s="182"/>
      <c r="M133" s="49"/>
      <c r="N133" s="49"/>
      <c r="O133" s="52"/>
      <c r="P133" s="52"/>
      <c r="Q133" s="49"/>
      <c r="R133" s="49"/>
      <c r="S133" s="49"/>
      <c r="T133" s="49"/>
      <c r="U133" s="53"/>
      <c r="V133" s="177"/>
      <c r="W133" s="49"/>
      <c r="X133" s="49"/>
      <c r="Y133" s="49"/>
      <c r="Z133" s="49"/>
      <c r="AA133" s="49"/>
      <c r="AB133" s="49"/>
      <c r="AC133" s="162"/>
    </row>
    <row r="134" spans="1:29">
      <c r="A134" s="49"/>
      <c r="B134" s="50"/>
      <c r="C134" s="49"/>
      <c r="D134" s="49"/>
      <c r="E134" s="49"/>
      <c r="F134" s="49"/>
      <c r="G134" s="51"/>
      <c r="H134" s="51"/>
      <c r="I134" s="49"/>
      <c r="J134" s="49"/>
      <c r="K134" s="49"/>
      <c r="L134" s="182"/>
      <c r="M134" s="49"/>
      <c r="N134" s="49"/>
      <c r="O134" s="52"/>
      <c r="P134" s="52"/>
      <c r="Q134" s="49"/>
      <c r="R134" s="49"/>
      <c r="S134" s="49"/>
      <c r="T134" s="49"/>
      <c r="U134" s="53"/>
      <c r="V134" s="177"/>
      <c r="W134" s="49"/>
      <c r="X134" s="49"/>
      <c r="Y134" s="49"/>
      <c r="Z134" s="49"/>
      <c r="AA134" s="49"/>
      <c r="AB134" s="49"/>
      <c r="AC134" s="162"/>
    </row>
    <row r="135" spans="1:29">
      <c r="A135" s="49"/>
      <c r="B135" s="50"/>
      <c r="C135" s="49"/>
      <c r="D135" s="49"/>
      <c r="E135" s="49"/>
      <c r="F135" s="49"/>
      <c r="G135" s="51"/>
      <c r="H135" s="51"/>
      <c r="I135" s="49"/>
      <c r="J135" s="49"/>
      <c r="K135" s="49"/>
      <c r="L135" s="182"/>
      <c r="M135" s="49"/>
      <c r="N135" s="49"/>
      <c r="O135" s="52"/>
      <c r="P135" s="52"/>
      <c r="Q135" s="49"/>
      <c r="R135" s="49"/>
      <c r="S135" s="49"/>
      <c r="T135" s="49"/>
      <c r="U135" s="53"/>
      <c r="V135" s="177"/>
      <c r="W135" s="49"/>
      <c r="X135" s="49"/>
      <c r="Y135" s="49"/>
      <c r="Z135" s="49"/>
      <c r="AA135" s="49"/>
      <c r="AB135" s="49"/>
      <c r="AC135" s="162"/>
    </row>
    <row r="136" spans="1:29">
      <c r="A136" s="49"/>
      <c r="B136" s="50"/>
      <c r="C136" s="49"/>
      <c r="D136" s="49"/>
      <c r="E136" s="49"/>
      <c r="F136" s="49"/>
      <c r="G136" s="51"/>
      <c r="H136" s="51"/>
      <c r="I136" s="49"/>
      <c r="J136" s="49"/>
      <c r="K136" s="49"/>
      <c r="L136" s="182"/>
      <c r="M136" s="49"/>
      <c r="N136" s="49"/>
      <c r="O136" s="52"/>
      <c r="P136" s="52"/>
      <c r="Q136" s="49"/>
      <c r="R136" s="49"/>
      <c r="S136" s="49"/>
      <c r="T136" s="49"/>
      <c r="U136" s="53"/>
      <c r="V136" s="177"/>
      <c r="W136" s="49"/>
      <c r="X136" s="49"/>
      <c r="Y136" s="49"/>
      <c r="Z136" s="49"/>
      <c r="AA136" s="49"/>
      <c r="AB136" s="49"/>
      <c r="AC136" s="162"/>
    </row>
    <row r="137" spans="1:29">
      <c r="A137" s="49"/>
      <c r="B137" s="50"/>
      <c r="C137" s="49"/>
      <c r="D137" s="49"/>
      <c r="E137" s="49"/>
      <c r="F137" s="49"/>
      <c r="G137" s="51"/>
      <c r="H137" s="51"/>
      <c r="I137" s="49"/>
      <c r="J137" s="49"/>
      <c r="K137" s="49"/>
      <c r="L137" s="182"/>
      <c r="M137" s="49"/>
      <c r="N137" s="49"/>
      <c r="O137" s="52"/>
      <c r="P137" s="52"/>
      <c r="Q137" s="49"/>
      <c r="R137" s="49"/>
      <c r="S137" s="49"/>
      <c r="T137" s="49"/>
      <c r="U137" s="53"/>
      <c r="V137" s="177"/>
      <c r="W137" s="49"/>
      <c r="X137" s="49"/>
      <c r="Y137" s="49"/>
      <c r="Z137" s="49"/>
      <c r="AA137" s="49"/>
      <c r="AB137" s="49"/>
      <c r="AC137" s="162"/>
    </row>
    <row r="138" spans="1:29">
      <c r="A138" s="49"/>
      <c r="B138" s="50"/>
      <c r="C138" s="49"/>
      <c r="D138" s="49"/>
      <c r="E138" s="49"/>
      <c r="F138" s="49"/>
      <c r="G138" s="51"/>
      <c r="H138" s="51"/>
      <c r="I138" s="49"/>
      <c r="J138" s="49"/>
      <c r="K138" s="49"/>
      <c r="L138" s="182"/>
      <c r="M138" s="49"/>
      <c r="N138" s="49"/>
      <c r="O138" s="52"/>
      <c r="P138" s="52"/>
      <c r="Q138" s="49"/>
      <c r="R138" s="49"/>
      <c r="S138" s="49"/>
      <c r="T138" s="49"/>
      <c r="U138" s="53"/>
      <c r="V138" s="177"/>
      <c r="W138" s="49"/>
      <c r="X138" s="49"/>
      <c r="Y138" s="49"/>
      <c r="Z138" s="49"/>
      <c r="AA138" s="49"/>
      <c r="AB138" s="49"/>
      <c r="AC138" s="162"/>
    </row>
    <row r="139" spans="1:29">
      <c r="A139" s="49"/>
      <c r="B139" s="50"/>
      <c r="C139" s="49"/>
      <c r="D139" s="49"/>
      <c r="E139" s="49"/>
      <c r="F139" s="49"/>
      <c r="G139" s="51"/>
      <c r="H139" s="51"/>
      <c r="I139" s="49"/>
      <c r="J139" s="49"/>
      <c r="K139" s="49"/>
      <c r="L139" s="182"/>
      <c r="M139" s="49"/>
      <c r="N139" s="49"/>
      <c r="O139" s="52"/>
      <c r="P139" s="52"/>
      <c r="Q139" s="49"/>
      <c r="R139" s="49"/>
      <c r="S139" s="49"/>
      <c r="T139" s="49"/>
      <c r="U139" s="53"/>
      <c r="V139" s="177"/>
      <c r="W139" s="49"/>
      <c r="X139" s="49"/>
      <c r="Y139" s="49"/>
      <c r="Z139" s="49"/>
      <c r="AA139" s="49"/>
      <c r="AB139" s="49"/>
      <c r="AC139" s="162"/>
    </row>
    <row r="140" spans="1:29">
      <c r="A140" s="49"/>
      <c r="B140" s="50"/>
      <c r="C140" s="49"/>
      <c r="D140" s="49"/>
      <c r="E140" s="49"/>
      <c r="F140" s="49"/>
      <c r="G140" s="51"/>
      <c r="H140" s="51"/>
      <c r="I140" s="49"/>
      <c r="J140" s="49"/>
      <c r="K140" s="49"/>
      <c r="L140" s="182"/>
      <c r="M140" s="49"/>
      <c r="N140" s="49"/>
      <c r="O140" s="52"/>
      <c r="P140" s="52"/>
      <c r="Q140" s="49"/>
      <c r="R140" s="49"/>
      <c r="S140" s="49"/>
      <c r="T140" s="49"/>
      <c r="U140" s="53"/>
      <c r="V140" s="177"/>
      <c r="W140" s="49"/>
      <c r="X140" s="49"/>
      <c r="Y140" s="49"/>
      <c r="Z140" s="49"/>
      <c r="AA140" s="49"/>
      <c r="AB140" s="49"/>
      <c r="AC140" s="162"/>
    </row>
    <row r="141" spans="1:29">
      <c r="A141" s="49"/>
      <c r="B141" s="50"/>
      <c r="C141" s="49"/>
      <c r="D141" s="49"/>
      <c r="E141" s="49"/>
      <c r="F141" s="49"/>
      <c r="G141" s="51"/>
      <c r="H141" s="51"/>
      <c r="I141" s="49"/>
      <c r="J141" s="49"/>
      <c r="K141" s="49"/>
      <c r="L141" s="182"/>
      <c r="M141" s="49"/>
      <c r="N141" s="49"/>
      <c r="O141" s="52"/>
      <c r="P141" s="52"/>
      <c r="Q141" s="49"/>
      <c r="R141" s="49"/>
      <c r="S141" s="49"/>
      <c r="T141" s="49"/>
      <c r="U141" s="53"/>
      <c r="V141" s="177"/>
      <c r="W141" s="49"/>
      <c r="X141" s="49"/>
      <c r="Y141" s="49"/>
      <c r="Z141" s="49"/>
      <c r="AA141" s="49"/>
      <c r="AB141" s="49"/>
      <c r="AC141" s="162"/>
    </row>
    <row r="142" spans="1:29">
      <c r="A142" s="49"/>
      <c r="B142" s="50"/>
      <c r="C142" s="49"/>
      <c r="D142" s="49"/>
      <c r="E142" s="49"/>
      <c r="F142" s="49"/>
      <c r="G142" s="51"/>
      <c r="H142" s="51"/>
      <c r="I142" s="49"/>
      <c r="J142" s="49"/>
      <c r="K142" s="49"/>
      <c r="L142" s="182"/>
      <c r="M142" s="49"/>
      <c r="N142" s="49"/>
      <c r="O142" s="52"/>
      <c r="P142" s="52"/>
      <c r="Q142" s="49"/>
      <c r="R142" s="49"/>
      <c r="S142" s="49"/>
      <c r="T142" s="49"/>
      <c r="U142" s="53"/>
      <c r="V142" s="177"/>
      <c r="W142" s="49"/>
      <c r="X142" s="49"/>
      <c r="Y142" s="49"/>
      <c r="Z142" s="49"/>
      <c r="AA142" s="49"/>
      <c r="AB142" s="49"/>
      <c r="AC142" s="162"/>
    </row>
    <row r="143" spans="1:29">
      <c r="A143" s="49"/>
      <c r="B143" s="50"/>
      <c r="C143" s="49"/>
      <c r="D143" s="49"/>
      <c r="E143" s="49"/>
      <c r="F143" s="49"/>
      <c r="G143" s="51"/>
      <c r="H143" s="51"/>
      <c r="I143" s="49"/>
      <c r="J143" s="49"/>
      <c r="K143" s="49"/>
      <c r="L143" s="182"/>
      <c r="M143" s="49"/>
      <c r="N143" s="49"/>
      <c r="O143" s="52"/>
      <c r="P143" s="52"/>
      <c r="Q143" s="49"/>
      <c r="R143" s="49"/>
      <c r="S143" s="49"/>
      <c r="T143" s="49"/>
      <c r="U143" s="53"/>
      <c r="V143" s="177"/>
      <c r="W143" s="49"/>
      <c r="X143" s="49"/>
      <c r="Y143" s="49"/>
      <c r="Z143" s="49"/>
      <c r="AA143" s="49"/>
      <c r="AB143" s="49"/>
      <c r="AC143" s="162"/>
    </row>
    <row r="144" spans="1:29">
      <c r="A144" s="49"/>
      <c r="B144" s="50"/>
      <c r="C144" s="49"/>
      <c r="D144" s="49"/>
      <c r="E144" s="49"/>
      <c r="F144" s="49"/>
      <c r="G144" s="51"/>
      <c r="H144" s="51"/>
      <c r="I144" s="49"/>
      <c r="J144" s="49"/>
      <c r="K144" s="49"/>
      <c r="L144" s="182"/>
      <c r="M144" s="49"/>
      <c r="N144" s="49"/>
      <c r="O144" s="52"/>
      <c r="P144" s="52"/>
      <c r="Q144" s="49"/>
      <c r="R144" s="49"/>
      <c r="S144" s="49"/>
      <c r="T144" s="49"/>
      <c r="U144" s="53"/>
      <c r="V144" s="177"/>
      <c r="W144" s="49"/>
      <c r="X144" s="49"/>
      <c r="Y144" s="49"/>
      <c r="Z144" s="49"/>
      <c r="AA144" s="49"/>
      <c r="AB144" s="49"/>
      <c r="AC144" s="162"/>
    </row>
    <row r="145" spans="1:29">
      <c r="A145" s="49"/>
      <c r="B145" s="50"/>
      <c r="C145" s="49"/>
      <c r="D145" s="49"/>
      <c r="E145" s="49"/>
      <c r="F145" s="49"/>
      <c r="G145" s="51"/>
      <c r="H145" s="51"/>
      <c r="I145" s="49"/>
      <c r="J145" s="49"/>
      <c r="K145" s="49"/>
      <c r="L145" s="182"/>
      <c r="M145" s="49"/>
      <c r="N145" s="49"/>
      <c r="O145" s="52"/>
      <c r="P145" s="52"/>
      <c r="Q145" s="49"/>
      <c r="R145" s="49"/>
      <c r="S145" s="49"/>
      <c r="T145" s="49"/>
      <c r="U145" s="53"/>
      <c r="V145" s="177"/>
      <c r="W145" s="49"/>
      <c r="X145" s="49"/>
      <c r="Y145" s="49"/>
      <c r="Z145" s="49"/>
      <c r="AA145" s="49"/>
      <c r="AB145" s="49"/>
      <c r="AC145" s="162"/>
    </row>
    <row r="146" spans="1:29">
      <c r="A146" s="49"/>
      <c r="B146" s="50"/>
      <c r="C146" s="49"/>
      <c r="D146" s="49"/>
      <c r="E146" s="49"/>
      <c r="F146" s="49"/>
      <c r="G146" s="51"/>
      <c r="H146" s="51"/>
      <c r="I146" s="49"/>
      <c r="J146" s="49"/>
      <c r="K146" s="49"/>
      <c r="L146" s="182"/>
      <c r="M146" s="49"/>
      <c r="N146" s="49"/>
      <c r="O146" s="52"/>
      <c r="P146" s="52"/>
      <c r="Q146" s="49"/>
      <c r="R146" s="49"/>
      <c r="S146" s="49"/>
      <c r="T146" s="49"/>
      <c r="U146" s="53"/>
      <c r="V146" s="177"/>
      <c r="W146" s="49"/>
      <c r="X146" s="49"/>
      <c r="Y146" s="49"/>
      <c r="Z146" s="49"/>
      <c r="AA146" s="49"/>
      <c r="AB146" s="49"/>
      <c r="AC146" s="162"/>
    </row>
    <row r="147" spans="1:29">
      <c r="A147" s="49"/>
      <c r="B147" s="50"/>
      <c r="C147" s="49"/>
      <c r="D147" s="49"/>
      <c r="E147" s="49"/>
      <c r="F147" s="49"/>
      <c r="G147" s="51"/>
      <c r="H147" s="51"/>
      <c r="I147" s="49"/>
      <c r="J147" s="49"/>
      <c r="K147" s="49"/>
      <c r="L147" s="182"/>
      <c r="M147" s="49"/>
      <c r="N147" s="49"/>
      <c r="O147" s="52"/>
      <c r="P147" s="52"/>
      <c r="Q147" s="49"/>
      <c r="R147" s="49"/>
      <c r="S147" s="49"/>
      <c r="T147" s="49"/>
      <c r="U147" s="53"/>
      <c r="V147" s="177"/>
      <c r="W147" s="49"/>
      <c r="X147" s="49"/>
      <c r="Y147" s="49"/>
      <c r="Z147" s="49"/>
      <c r="AA147" s="49"/>
      <c r="AB147" s="49"/>
      <c r="AC147" s="162"/>
    </row>
    <row r="148" spans="1:29">
      <c r="A148" s="49"/>
      <c r="B148" s="50"/>
      <c r="C148" s="49"/>
      <c r="D148" s="49"/>
      <c r="E148" s="49"/>
      <c r="F148" s="49"/>
      <c r="G148" s="51"/>
      <c r="H148" s="51"/>
      <c r="I148" s="49"/>
      <c r="J148" s="49"/>
      <c r="K148" s="49"/>
      <c r="L148" s="182"/>
      <c r="M148" s="49"/>
      <c r="N148" s="49"/>
      <c r="O148" s="52"/>
      <c r="P148" s="52"/>
      <c r="Q148" s="49"/>
      <c r="R148" s="49"/>
      <c r="S148" s="49"/>
      <c r="T148" s="49"/>
      <c r="U148" s="53"/>
      <c r="V148" s="177"/>
      <c r="W148" s="49"/>
      <c r="X148" s="49"/>
      <c r="Y148" s="49"/>
      <c r="Z148" s="49"/>
      <c r="AA148" s="49"/>
      <c r="AB148" s="49"/>
      <c r="AC148" s="162"/>
    </row>
    <row r="149" spans="1:29">
      <c r="A149" s="49"/>
      <c r="B149" s="50"/>
      <c r="C149" s="49"/>
      <c r="D149" s="49"/>
      <c r="E149" s="49"/>
      <c r="F149" s="49"/>
      <c r="G149" s="51"/>
      <c r="H149" s="51"/>
      <c r="I149" s="49"/>
      <c r="J149" s="49"/>
      <c r="K149" s="49"/>
      <c r="L149" s="182"/>
      <c r="M149" s="49"/>
      <c r="N149" s="49"/>
      <c r="O149" s="52"/>
      <c r="P149" s="52"/>
      <c r="Q149" s="49"/>
      <c r="R149" s="49"/>
      <c r="S149" s="49"/>
      <c r="T149" s="49"/>
      <c r="U149" s="53"/>
      <c r="V149" s="177"/>
      <c r="W149" s="49"/>
      <c r="X149" s="49"/>
      <c r="Y149" s="49"/>
      <c r="Z149" s="49"/>
      <c r="AA149" s="49"/>
      <c r="AB149" s="49"/>
      <c r="AC149" s="162"/>
    </row>
    <row r="150" spans="1:29">
      <c r="A150" s="49"/>
      <c r="B150" s="50"/>
      <c r="C150" s="49"/>
      <c r="D150" s="49"/>
      <c r="E150" s="49"/>
      <c r="F150" s="49"/>
      <c r="G150" s="51"/>
      <c r="H150" s="51"/>
      <c r="I150" s="49"/>
      <c r="J150" s="49"/>
      <c r="K150" s="49"/>
      <c r="L150" s="182"/>
      <c r="M150" s="49"/>
      <c r="N150" s="49"/>
      <c r="O150" s="52"/>
      <c r="P150" s="52"/>
      <c r="Q150" s="49"/>
      <c r="R150" s="49"/>
      <c r="S150" s="49"/>
      <c r="T150" s="49"/>
      <c r="U150" s="53"/>
      <c r="V150" s="177"/>
      <c r="W150" s="49"/>
      <c r="X150" s="49"/>
      <c r="Y150" s="49"/>
      <c r="Z150" s="49"/>
      <c r="AA150" s="49"/>
      <c r="AB150" s="49"/>
      <c r="AC150" s="162"/>
    </row>
    <row r="151" spans="1:29">
      <c r="A151" s="49"/>
      <c r="B151" s="50"/>
      <c r="C151" s="49"/>
      <c r="D151" s="49"/>
      <c r="E151" s="49"/>
      <c r="F151" s="49"/>
      <c r="G151" s="51"/>
      <c r="H151" s="51"/>
      <c r="I151" s="49"/>
      <c r="J151" s="49"/>
      <c r="K151" s="49"/>
      <c r="L151" s="182"/>
      <c r="M151" s="49"/>
      <c r="N151" s="49"/>
      <c r="O151" s="52"/>
      <c r="P151" s="52"/>
      <c r="Q151" s="49"/>
      <c r="R151" s="49"/>
      <c r="S151" s="49"/>
      <c r="T151" s="49"/>
      <c r="U151" s="53"/>
      <c r="V151" s="177"/>
      <c r="W151" s="49"/>
      <c r="X151" s="49"/>
      <c r="Y151" s="49"/>
      <c r="Z151" s="49"/>
      <c r="AA151" s="49"/>
      <c r="AB151" s="49"/>
      <c r="AC151" s="162"/>
    </row>
    <row r="152" spans="1:29">
      <c r="A152" s="49"/>
      <c r="B152" s="50"/>
      <c r="C152" s="49"/>
      <c r="D152" s="49"/>
      <c r="E152" s="49"/>
      <c r="F152" s="49"/>
      <c r="G152" s="51"/>
      <c r="H152" s="51"/>
      <c r="I152" s="49"/>
      <c r="J152" s="49"/>
      <c r="K152" s="49"/>
      <c r="L152" s="182"/>
      <c r="M152" s="49"/>
      <c r="N152" s="49"/>
      <c r="O152" s="52"/>
      <c r="P152" s="52"/>
      <c r="Q152" s="49"/>
      <c r="R152" s="49"/>
      <c r="S152" s="49"/>
      <c r="T152" s="49"/>
      <c r="U152" s="53"/>
      <c r="V152" s="177"/>
      <c r="W152" s="49"/>
      <c r="X152" s="49"/>
      <c r="Y152" s="49"/>
      <c r="Z152" s="49"/>
      <c r="AA152" s="49"/>
      <c r="AB152" s="49"/>
      <c r="AC152" s="162"/>
    </row>
    <row r="153" spans="1:29">
      <c r="A153" s="49"/>
      <c r="B153" s="50"/>
      <c r="C153" s="49"/>
      <c r="D153" s="49"/>
      <c r="E153" s="49"/>
      <c r="F153" s="49"/>
      <c r="G153" s="51"/>
      <c r="H153" s="51"/>
      <c r="I153" s="49"/>
      <c r="J153" s="49"/>
      <c r="K153" s="49"/>
      <c r="L153" s="182"/>
      <c r="M153" s="49"/>
      <c r="N153" s="49"/>
      <c r="O153" s="52"/>
      <c r="P153" s="52"/>
      <c r="Q153" s="49"/>
      <c r="R153" s="49"/>
      <c r="S153" s="49"/>
      <c r="T153" s="49"/>
      <c r="U153" s="53"/>
      <c r="V153" s="177"/>
      <c r="W153" s="49"/>
      <c r="X153" s="49"/>
      <c r="Y153" s="49"/>
      <c r="Z153" s="49"/>
      <c r="AA153" s="49"/>
      <c r="AB153" s="49"/>
      <c r="AC153" s="162"/>
    </row>
    <row r="154" spans="1:29">
      <c r="A154" s="49"/>
      <c r="B154" s="50"/>
      <c r="C154" s="49"/>
      <c r="D154" s="49"/>
      <c r="E154" s="49"/>
      <c r="F154" s="49"/>
      <c r="G154" s="51"/>
      <c r="H154" s="51"/>
      <c r="I154" s="49"/>
      <c r="J154" s="49"/>
      <c r="K154" s="49"/>
      <c r="L154" s="182"/>
      <c r="M154" s="49"/>
      <c r="N154" s="49"/>
      <c r="O154" s="52"/>
      <c r="P154" s="52"/>
      <c r="Q154" s="49"/>
      <c r="R154" s="49"/>
      <c r="S154" s="49"/>
      <c r="T154" s="49"/>
      <c r="U154" s="53"/>
      <c r="V154" s="177"/>
      <c r="W154" s="49"/>
      <c r="X154" s="49"/>
      <c r="Y154" s="49"/>
      <c r="Z154" s="49"/>
      <c r="AA154" s="49"/>
      <c r="AB154" s="49"/>
      <c r="AC154" s="162"/>
    </row>
    <row r="155" spans="1:29">
      <c r="A155" s="49"/>
      <c r="B155" s="50"/>
      <c r="C155" s="49"/>
      <c r="D155" s="49"/>
      <c r="E155" s="49"/>
      <c r="F155" s="49"/>
      <c r="G155" s="51"/>
      <c r="H155" s="51"/>
      <c r="I155" s="49"/>
      <c r="J155" s="49"/>
      <c r="K155" s="49"/>
      <c r="L155" s="182"/>
      <c r="M155" s="49"/>
      <c r="N155" s="49"/>
      <c r="O155" s="52"/>
      <c r="P155" s="52"/>
      <c r="Q155" s="49"/>
      <c r="R155" s="49"/>
      <c r="S155" s="49"/>
      <c r="T155" s="49"/>
      <c r="U155" s="53"/>
      <c r="V155" s="177"/>
      <c r="W155" s="49"/>
      <c r="X155" s="49"/>
      <c r="Y155" s="49"/>
      <c r="Z155" s="49"/>
      <c r="AA155" s="49"/>
      <c r="AB155" s="49"/>
      <c r="AC155" s="162"/>
    </row>
    <row r="156" spans="1:29">
      <c r="A156" s="49"/>
      <c r="B156" s="50"/>
      <c r="C156" s="49"/>
      <c r="D156" s="49"/>
      <c r="E156" s="49"/>
      <c r="F156" s="49"/>
      <c r="G156" s="51"/>
      <c r="H156" s="51"/>
      <c r="I156" s="49"/>
      <c r="J156" s="49"/>
      <c r="K156" s="49"/>
      <c r="L156" s="182"/>
      <c r="M156" s="49"/>
      <c r="N156" s="49"/>
      <c r="O156" s="52"/>
      <c r="P156" s="52"/>
      <c r="Q156" s="49"/>
      <c r="R156" s="49"/>
      <c r="S156" s="49"/>
      <c r="T156" s="49"/>
      <c r="U156" s="53"/>
      <c r="V156" s="177"/>
      <c r="W156" s="49"/>
      <c r="X156" s="49"/>
      <c r="Y156" s="49"/>
      <c r="Z156" s="49"/>
      <c r="AA156" s="49"/>
      <c r="AB156" s="49"/>
      <c r="AC156" s="162"/>
    </row>
    <row r="157" spans="1:29">
      <c r="A157" s="49"/>
      <c r="B157" s="50"/>
      <c r="C157" s="49"/>
      <c r="D157" s="49"/>
      <c r="E157" s="49"/>
      <c r="F157" s="49"/>
      <c r="G157" s="51"/>
      <c r="H157" s="51"/>
      <c r="I157" s="49"/>
      <c r="J157" s="49"/>
      <c r="K157" s="49"/>
      <c r="L157" s="182"/>
      <c r="M157" s="49"/>
      <c r="N157" s="49"/>
      <c r="O157" s="52"/>
      <c r="P157" s="52"/>
      <c r="Q157" s="49"/>
      <c r="R157" s="49"/>
      <c r="S157" s="49"/>
      <c r="T157" s="49"/>
      <c r="U157" s="53"/>
      <c r="V157" s="177"/>
      <c r="W157" s="49"/>
      <c r="X157" s="49"/>
      <c r="Y157" s="49"/>
      <c r="Z157" s="49"/>
      <c r="AA157" s="49"/>
      <c r="AB157" s="49"/>
      <c r="AC157" s="162"/>
    </row>
    <row r="158" spans="1:29">
      <c r="A158" s="49"/>
      <c r="B158" s="50"/>
      <c r="C158" s="49"/>
      <c r="D158" s="49"/>
      <c r="E158" s="49"/>
      <c r="F158" s="49"/>
      <c r="G158" s="51"/>
      <c r="H158" s="51"/>
      <c r="I158" s="49"/>
      <c r="J158" s="49"/>
      <c r="K158" s="49"/>
      <c r="L158" s="182"/>
      <c r="M158" s="49"/>
      <c r="N158" s="49"/>
      <c r="O158" s="52"/>
      <c r="P158" s="52"/>
      <c r="Q158" s="49"/>
      <c r="R158" s="49"/>
      <c r="S158" s="49"/>
      <c r="T158" s="49"/>
      <c r="U158" s="53"/>
      <c r="V158" s="177"/>
      <c r="W158" s="49"/>
      <c r="X158" s="49"/>
      <c r="Y158" s="49"/>
      <c r="Z158" s="49"/>
      <c r="AA158" s="49"/>
      <c r="AB158" s="49"/>
      <c r="AC158" s="162"/>
    </row>
    <row r="159" spans="1:29">
      <c r="A159" s="49"/>
      <c r="B159" s="50"/>
      <c r="C159" s="49"/>
      <c r="D159" s="49"/>
      <c r="E159" s="49"/>
      <c r="F159" s="49"/>
      <c r="G159" s="51"/>
      <c r="H159" s="51"/>
      <c r="I159" s="49"/>
      <c r="J159" s="49"/>
      <c r="K159" s="49"/>
      <c r="L159" s="182"/>
      <c r="M159" s="49"/>
      <c r="N159" s="49"/>
      <c r="O159" s="52"/>
      <c r="P159" s="52"/>
      <c r="Q159" s="49"/>
      <c r="R159" s="49"/>
      <c r="S159" s="49"/>
      <c r="T159" s="49"/>
      <c r="U159" s="53"/>
      <c r="V159" s="177"/>
      <c r="W159" s="49"/>
      <c r="X159" s="49"/>
      <c r="Y159" s="49"/>
      <c r="Z159" s="49"/>
      <c r="AA159" s="49"/>
      <c r="AB159" s="49"/>
      <c r="AC159" s="162"/>
    </row>
    <row r="160" spans="1:29">
      <c r="A160" s="49"/>
      <c r="B160" s="50"/>
      <c r="C160" s="49"/>
      <c r="D160" s="49"/>
      <c r="E160" s="49"/>
      <c r="F160" s="49"/>
      <c r="G160" s="51"/>
      <c r="H160" s="51"/>
      <c r="I160" s="49"/>
      <c r="J160" s="49"/>
      <c r="K160" s="49"/>
      <c r="L160" s="182"/>
      <c r="M160" s="49"/>
      <c r="N160" s="49"/>
      <c r="O160" s="52"/>
      <c r="P160" s="52"/>
      <c r="Q160" s="49"/>
      <c r="R160" s="49"/>
      <c r="S160" s="49"/>
      <c r="T160" s="49"/>
      <c r="U160" s="53"/>
      <c r="V160" s="177"/>
      <c r="W160" s="49"/>
      <c r="X160" s="49"/>
      <c r="Y160" s="49"/>
      <c r="Z160" s="49"/>
      <c r="AA160" s="49"/>
      <c r="AB160" s="49"/>
      <c r="AC160" s="162"/>
    </row>
    <row r="161" spans="1:29">
      <c r="A161" s="49"/>
      <c r="B161" s="50"/>
      <c r="C161" s="49"/>
      <c r="D161" s="49"/>
      <c r="E161" s="49"/>
      <c r="F161" s="49"/>
      <c r="G161" s="51"/>
      <c r="H161" s="51"/>
      <c r="I161" s="49"/>
      <c r="J161" s="49"/>
      <c r="K161" s="49"/>
      <c r="L161" s="182"/>
      <c r="M161" s="49"/>
      <c r="N161" s="49"/>
      <c r="O161" s="52"/>
      <c r="P161" s="52"/>
      <c r="Q161" s="49"/>
      <c r="R161" s="49"/>
      <c r="S161" s="49"/>
      <c r="T161" s="49"/>
      <c r="U161" s="53"/>
      <c r="V161" s="177"/>
      <c r="W161" s="49"/>
      <c r="X161" s="49"/>
      <c r="Y161" s="49"/>
      <c r="Z161" s="49"/>
      <c r="AA161" s="49"/>
      <c r="AB161" s="49"/>
      <c r="AC161" s="162"/>
    </row>
    <row r="162" spans="1:29">
      <c r="A162" s="49"/>
      <c r="B162" s="50"/>
      <c r="C162" s="49"/>
      <c r="D162" s="49"/>
      <c r="E162" s="49"/>
      <c r="F162" s="49"/>
      <c r="G162" s="51"/>
      <c r="H162" s="51"/>
      <c r="I162" s="49"/>
      <c r="J162" s="49"/>
      <c r="K162" s="49"/>
      <c r="L162" s="182"/>
      <c r="M162" s="49"/>
      <c r="N162" s="49"/>
      <c r="O162" s="52"/>
      <c r="P162" s="52"/>
      <c r="Q162" s="49"/>
      <c r="R162" s="49"/>
      <c r="S162" s="49"/>
      <c r="T162" s="49"/>
      <c r="U162" s="53"/>
      <c r="V162" s="177"/>
      <c r="W162" s="49"/>
      <c r="X162" s="49"/>
      <c r="Y162" s="49"/>
      <c r="Z162" s="49"/>
      <c r="AA162" s="49"/>
      <c r="AB162" s="49"/>
      <c r="AC162" s="162"/>
    </row>
    <row r="163" spans="1:29">
      <c r="A163" s="49"/>
      <c r="B163" s="50"/>
      <c r="C163" s="49"/>
      <c r="D163" s="49"/>
      <c r="E163" s="49"/>
      <c r="F163" s="49"/>
      <c r="G163" s="51"/>
      <c r="H163" s="51"/>
      <c r="I163" s="49"/>
      <c r="J163" s="49"/>
      <c r="K163" s="49"/>
      <c r="L163" s="182"/>
      <c r="M163" s="49"/>
      <c r="N163" s="49"/>
      <c r="O163" s="52"/>
      <c r="P163" s="52"/>
      <c r="Q163" s="49"/>
      <c r="R163" s="49"/>
      <c r="S163" s="49"/>
      <c r="T163" s="49"/>
      <c r="U163" s="53"/>
      <c r="V163" s="177"/>
      <c r="W163" s="49"/>
      <c r="X163" s="49"/>
      <c r="Y163" s="49"/>
      <c r="Z163" s="49"/>
      <c r="AA163" s="49"/>
      <c r="AB163" s="49"/>
      <c r="AC163" s="162"/>
    </row>
    <row r="164" spans="1:29">
      <c r="A164" s="49"/>
      <c r="B164" s="50"/>
      <c r="C164" s="49"/>
      <c r="D164" s="49"/>
      <c r="E164" s="49"/>
      <c r="F164" s="49"/>
      <c r="G164" s="51"/>
      <c r="H164" s="51"/>
      <c r="I164" s="49"/>
      <c r="J164" s="49"/>
      <c r="K164" s="49"/>
      <c r="L164" s="182"/>
      <c r="M164" s="49"/>
      <c r="N164" s="49"/>
      <c r="O164" s="52"/>
      <c r="P164" s="52"/>
      <c r="Q164" s="49"/>
      <c r="R164" s="49"/>
      <c r="S164" s="49"/>
      <c r="T164" s="49"/>
      <c r="U164" s="53"/>
      <c r="V164" s="177"/>
      <c r="W164" s="49"/>
      <c r="X164" s="49"/>
      <c r="Y164" s="49"/>
      <c r="Z164" s="49"/>
      <c r="AA164" s="49"/>
      <c r="AB164" s="49"/>
      <c r="AC164" s="162"/>
    </row>
    <row r="165" spans="1:29">
      <c r="A165" s="49"/>
      <c r="B165" s="50"/>
      <c r="C165" s="49"/>
      <c r="D165" s="49"/>
      <c r="E165" s="49"/>
      <c r="F165" s="49"/>
      <c r="G165" s="51"/>
      <c r="H165" s="51"/>
      <c r="I165" s="49"/>
      <c r="J165" s="49"/>
      <c r="K165" s="49"/>
      <c r="L165" s="182"/>
      <c r="M165" s="49"/>
      <c r="N165" s="49"/>
      <c r="O165" s="52"/>
      <c r="P165" s="52"/>
      <c r="Q165" s="49"/>
      <c r="R165" s="49"/>
      <c r="S165" s="49"/>
      <c r="T165" s="49"/>
      <c r="U165" s="53"/>
      <c r="V165" s="177"/>
      <c r="W165" s="49"/>
      <c r="X165" s="49"/>
      <c r="Y165" s="49"/>
      <c r="Z165" s="49"/>
      <c r="AA165" s="49"/>
      <c r="AB165" s="49"/>
      <c r="AC165" s="162"/>
    </row>
    <row r="166" spans="1:29">
      <c r="A166" s="49"/>
      <c r="B166" s="50"/>
      <c r="C166" s="49"/>
      <c r="D166" s="49"/>
      <c r="E166" s="49"/>
      <c r="F166" s="49"/>
      <c r="G166" s="51"/>
      <c r="H166" s="51"/>
      <c r="I166" s="49"/>
      <c r="J166" s="49"/>
      <c r="K166" s="49"/>
      <c r="L166" s="182"/>
      <c r="M166" s="49"/>
      <c r="N166" s="49"/>
      <c r="O166" s="52"/>
      <c r="P166" s="52"/>
      <c r="Q166" s="49"/>
      <c r="R166" s="49"/>
      <c r="S166" s="49"/>
      <c r="T166" s="49"/>
      <c r="U166" s="53"/>
      <c r="V166" s="177"/>
      <c r="W166" s="49"/>
      <c r="X166" s="49"/>
      <c r="Y166" s="49"/>
      <c r="Z166" s="49"/>
      <c r="AA166" s="49"/>
      <c r="AB166" s="49"/>
      <c r="AC166" s="162"/>
    </row>
    <row r="167" spans="1:29">
      <c r="A167" s="49"/>
      <c r="B167" s="50"/>
      <c r="C167" s="49"/>
      <c r="D167" s="49"/>
      <c r="E167" s="49"/>
      <c r="F167" s="49"/>
      <c r="G167" s="51"/>
      <c r="H167" s="51"/>
      <c r="I167" s="49"/>
      <c r="J167" s="49"/>
      <c r="K167" s="49"/>
      <c r="L167" s="182"/>
      <c r="M167" s="49"/>
      <c r="N167" s="49"/>
      <c r="O167" s="52"/>
      <c r="P167" s="52"/>
      <c r="Q167" s="49"/>
      <c r="R167" s="49"/>
      <c r="S167" s="49"/>
      <c r="T167" s="49"/>
      <c r="U167" s="53"/>
      <c r="V167" s="177"/>
      <c r="W167" s="49"/>
      <c r="X167" s="49"/>
      <c r="Y167" s="49"/>
      <c r="Z167" s="49"/>
      <c r="AA167" s="49"/>
      <c r="AB167" s="49"/>
      <c r="AC167" s="162"/>
    </row>
    <row r="168" spans="1:29">
      <c r="A168" s="49"/>
      <c r="B168" s="50"/>
      <c r="C168" s="49"/>
      <c r="D168" s="49"/>
      <c r="E168" s="49"/>
      <c r="F168" s="49"/>
      <c r="G168" s="51"/>
      <c r="H168" s="51"/>
      <c r="I168" s="49"/>
      <c r="J168" s="49"/>
      <c r="K168" s="49"/>
      <c r="L168" s="182"/>
      <c r="M168" s="49"/>
      <c r="N168" s="49"/>
      <c r="O168" s="52"/>
      <c r="P168" s="52"/>
      <c r="Q168" s="49"/>
      <c r="R168" s="49"/>
      <c r="S168" s="49"/>
      <c r="T168" s="49"/>
      <c r="U168" s="53"/>
      <c r="V168" s="177"/>
      <c r="W168" s="49"/>
      <c r="X168" s="49"/>
      <c r="Y168" s="49"/>
      <c r="Z168" s="49"/>
      <c r="AA168" s="49"/>
      <c r="AB168" s="49"/>
      <c r="AC168" s="162"/>
    </row>
    <row r="169" spans="1:29">
      <c r="A169" s="49"/>
      <c r="B169" s="50"/>
      <c r="C169" s="49"/>
      <c r="D169" s="49"/>
      <c r="E169" s="49"/>
      <c r="F169" s="49"/>
      <c r="G169" s="51"/>
      <c r="H169" s="51"/>
      <c r="I169" s="49"/>
      <c r="J169" s="49"/>
      <c r="K169" s="49"/>
      <c r="L169" s="182"/>
      <c r="M169" s="49"/>
      <c r="N169" s="49"/>
      <c r="O169" s="52"/>
      <c r="P169" s="52"/>
      <c r="Q169" s="49"/>
      <c r="R169" s="49"/>
      <c r="S169" s="49"/>
      <c r="T169" s="49"/>
      <c r="U169" s="53"/>
      <c r="V169" s="177"/>
      <c r="W169" s="49"/>
      <c r="X169" s="49"/>
      <c r="Y169" s="49"/>
      <c r="Z169" s="49"/>
      <c r="AA169" s="49"/>
      <c r="AB169" s="49"/>
      <c r="AC169" s="162"/>
    </row>
    <row r="170" spans="1:29">
      <c r="A170" s="49"/>
      <c r="B170" s="50"/>
      <c r="C170" s="49"/>
      <c r="D170" s="49"/>
      <c r="E170" s="49"/>
      <c r="F170" s="49"/>
      <c r="G170" s="51"/>
      <c r="H170" s="51"/>
      <c r="I170" s="49"/>
      <c r="J170" s="49"/>
      <c r="K170" s="49"/>
      <c r="L170" s="182"/>
      <c r="M170" s="49"/>
      <c r="N170" s="49"/>
      <c r="O170" s="52"/>
      <c r="P170" s="52"/>
      <c r="Q170" s="49"/>
      <c r="R170" s="49"/>
      <c r="S170" s="49"/>
      <c r="T170" s="49"/>
      <c r="U170" s="53"/>
      <c r="V170" s="177"/>
      <c r="W170" s="49"/>
      <c r="X170" s="49"/>
      <c r="Y170" s="49"/>
      <c r="Z170" s="49"/>
      <c r="AA170" s="49"/>
      <c r="AB170" s="49"/>
      <c r="AC170" s="162"/>
    </row>
    <row r="171" spans="1:29">
      <c r="A171" s="49"/>
      <c r="B171" s="50"/>
      <c r="C171" s="49"/>
      <c r="D171" s="49"/>
      <c r="E171" s="49"/>
      <c r="F171" s="49"/>
      <c r="G171" s="51"/>
      <c r="H171" s="51"/>
      <c r="I171" s="49"/>
      <c r="J171" s="49"/>
      <c r="K171" s="49"/>
      <c r="L171" s="182"/>
      <c r="M171" s="49"/>
      <c r="N171" s="49"/>
      <c r="O171" s="52"/>
      <c r="P171" s="52"/>
      <c r="Q171" s="49"/>
      <c r="R171" s="49"/>
      <c r="S171" s="49"/>
      <c r="T171" s="49"/>
      <c r="U171" s="53"/>
      <c r="V171" s="177"/>
      <c r="W171" s="49"/>
      <c r="X171" s="49"/>
      <c r="Y171" s="49"/>
      <c r="Z171" s="49"/>
      <c r="AA171" s="49"/>
      <c r="AB171" s="49"/>
      <c r="AC171" s="162"/>
    </row>
    <row r="172" spans="1:29">
      <c r="A172" s="49"/>
      <c r="B172" s="50"/>
      <c r="C172" s="49"/>
      <c r="D172" s="49"/>
      <c r="E172" s="49"/>
      <c r="F172" s="49"/>
      <c r="G172" s="51"/>
      <c r="H172" s="51"/>
      <c r="I172" s="49"/>
      <c r="J172" s="49"/>
      <c r="K172" s="49"/>
      <c r="L172" s="182"/>
      <c r="M172" s="49"/>
      <c r="N172" s="49"/>
      <c r="O172" s="52"/>
      <c r="P172" s="52"/>
      <c r="Q172" s="49"/>
      <c r="R172" s="49"/>
      <c r="S172" s="49"/>
      <c r="T172" s="49"/>
      <c r="U172" s="53"/>
      <c r="V172" s="177"/>
      <c r="W172" s="49"/>
      <c r="X172" s="49"/>
      <c r="Y172" s="49"/>
      <c r="Z172" s="49"/>
      <c r="AA172" s="49"/>
      <c r="AB172" s="49"/>
      <c r="AC172" s="162"/>
    </row>
    <row r="173" spans="1:29">
      <c r="A173" s="49"/>
      <c r="B173" s="50"/>
      <c r="C173" s="49"/>
      <c r="D173" s="49"/>
      <c r="E173" s="49"/>
      <c r="F173" s="49"/>
      <c r="G173" s="51"/>
      <c r="H173" s="51"/>
      <c r="I173" s="49"/>
      <c r="J173" s="49"/>
      <c r="K173" s="49"/>
      <c r="L173" s="182"/>
      <c r="M173" s="49"/>
      <c r="N173" s="49"/>
      <c r="O173" s="52"/>
      <c r="P173" s="52"/>
      <c r="Q173" s="49"/>
      <c r="R173" s="49"/>
      <c r="S173" s="49"/>
      <c r="T173" s="49"/>
      <c r="U173" s="53"/>
      <c r="V173" s="177"/>
      <c r="W173" s="49"/>
      <c r="X173" s="49"/>
      <c r="Y173" s="49"/>
      <c r="Z173" s="49"/>
      <c r="AA173" s="49"/>
      <c r="AB173" s="49"/>
      <c r="AC173" s="162"/>
    </row>
    <row r="174" spans="1:29">
      <c r="A174" s="49"/>
      <c r="B174" s="50"/>
      <c r="C174" s="49"/>
      <c r="D174" s="49"/>
      <c r="E174" s="49"/>
      <c r="F174" s="49"/>
      <c r="G174" s="51"/>
      <c r="H174" s="51"/>
      <c r="I174" s="49"/>
      <c r="J174" s="49"/>
      <c r="K174" s="49"/>
      <c r="L174" s="182"/>
      <c r="M174" s="49"/>
      <c r="N174" s="49"/>
      <c r="O174" s="52"/>
      <c r="P174" s="52"/>
      <c r="Q174" s="49"/>
      <c r="R174" s="49"/>
      <c r="S174" s="49"/>
      <c r="T174" s="49"/>
      <c r="U174" s="53"/>
      <c r="V174" s="177"/>
      <c r="W174" s="49"/>
      <c r="X174" s="49"/>
      <c r="Y174" s="49"/>
      <c r="Z174" s="49"/>
      <c r="AA174" s="49"/>
      <c r="AB174" s="49"/>
      <c r="AC174" s="162"/>
    </row>
    <row r="175" spans="1:29">
      <c r="A175" s="49"/>
      <c r="B175" s="50"/>
      <c r="C175" s="49"/>
      <c r="D175" s="49"/>
      <c r="E175" s="49"/>
      <c r="F175" s="49"/>
      <c r="G175" s="51"/>
      <c r="H175" s="51"/>
      <c r="I175" s="49"/>
      <c r="J175" s="49"/>
      <c r="K175" s="49"/>
      <c r="L175" s="182"/>
      <c r="M175" s="49"/>
      <c r="N175" s="49"/>
      <c r="O175" s="52"/>
      <c r="P175" s="52"/>
      <c r="Q175" s="49"/>
      <c r="R175" s="49"/>
      <c r="S175" s="49"/>
      <c r="T175" s="49"/>
      <c r="U175" s="53"/>
      <c r="V175" s="177"/>
      <c r="W175" s="49"/>
      <c r="X175" s="49"/>
      <c r="Y175" s="49"/>
      <c r="Z175" s="49"/>
      <c r="AA175" s="49"/>
      <c r="AB175" s="49"/>
      <c r="AC175" s="162"/>
    </row>
    <row r="176" spans="1:29">
      <c r="A176" s="49"/>
      <c r="B176" s="50"/>
      <c r="C176" s="49"/>
      <c r="D176" s="49"/>
      <c r="E176" s="49"/>
      <c r="F176" s="49"/>
      <c r="G176" s="51"/>
      <c r="H176" s="51"/>
      <c r="I176" s="49"/>
      <c r="J176" s="49"/>
      <c r="K176" s="49"/>
      <c r="L176" s="182"/>
      <c r="M176" s="49"/>
      <c r="N176" s="49"/>
      <c r="O176" s="52"/>
      <c r="P176" s="52"/>
      <c r="Q176" s="49"/>
      <c r="R176" s="49"/>
      <c r="S176" s="49"/>
      <c r="T176" s="49"/>
      <c r="U176" s="53"/>
      <c r="V176" s="177"/>
      <c r="W176" s="49"/>
      <c r="X176" s="49"/>
      <c r="Y176" s="49"/>
      <c r="Z176" s="49"/>
      <c r="AA176" s="49"/>
      <c r="AB176" s="49"/>
      <c r="AC176" s="162"/>
    </row>
    <row r="177" spans="1:29">
      <c r="A177" s="49"/>
      <c r="B177" s="50"/>
      <c r="C177" s="49"/>
      <c r="D177" s="49"/>
      <c r="E177" s="49"/>
      <c r="F177" s="49"/>
      <c r="G177" s="51"/>
      <c r="H177" s="51"/>
      <c r="I177" s="49"/>
      <c r="J177" s="49"/>
      <c r="K177" s="49"/>
      <c r="L177" s="182"/>
      <c r="M177" s="49"/>
      <c r="N177" s="49"/>
      <c r="O177" s="52"/>
      <c r="P177" s="52"/>
      <c r="Q177" s="49"/>
      <c r="R177" s="49"/>
      <c r="S177" s="49"/>
      <c r="T177" s="49"/>
      <c r="U177" s="53"/>
      <c r="V177" s="177"/>
      <c r="W177" s="49"/>
      <c r="X177" s="49"/>
      <c r="Y177" s="49"/>
      <c r="Z177" s="49"/>
      <c r="AA177" s="49"/>
      <c r="AB177" s="49"/>
      <c r="AC177" s="162"/>
    </row>
    <row r="178" spans="1:29">
      <c r="A178" s="49"/>
      <c r="B178" s="50"/>
      <c r="C178" s="49"/>
      <c r="D178" s="49"/>
      <c r="E178" s="49"/>
      <c r="F178" s="49"/>
      <c r="G178" s="51"/>
      <c r="H178" s="51"/>
      <c r="I178" s="49"/>
      <c r="J178" s="49"/>
      <c r="K178" s="49"/>
      <c r="L178" s="182"/>
      <c r="M178" s="49"/>
      <c r="N178" s="49"/>
      <c r="O178" s="52"/>
      <c r="P178" s="52"/>
      <c r="Q178" s="49"/>
      <c r="R178" s="49"/>
      <c r="S178" s="49"/>
      <c r="T178" s="49"/>
      <c r="U178" s="53"/>
      <c r="V178" s="177"/>
      <c r="W178" s="49"/>
      <c r="X178" s="49"/>
      <c r="Y178" s="49"/>
      <c r="Z178" s="49"/>
      <c r="AA178" s="49"/>
      <c r="AB178" s="49"/>
      <c r="AC178" s="162"/>
    </row>
    <row r="179" spans="1:29">
      <c r="A179" s="49"/>
      <c r="B179" s="50"/>
      <c r="C179" s="49"/>
      <c r="D179" s="49"/>
      <c r="E179" s="49"/>
      <c r="F179" s="49"/>
      <c r="G179" s="51"/>
      <c r="H179" s="51"/>
      <c r="I179" s="49"/>
      <c r="J179" s="49"/>
      <c r="K179" s="49"/>
      <c r="L179" s="182"/>
      <c r="M179" s="49"/>
      <c r="N179" s="49"/>
      <c r="O179" s="52"/>
      <c r="P179" s="52"/>
      <c r="Q179" s="49"/>
      <c r="R179" s="49"/>
      <c r="S179" s="49"/>
      <c r="T179" s="49"/>
      <c r="U179" s="53"/>
      <c r="V179" s="177"/>
      <c r="W179" s="49"/>
      <c r="X179" s="49"/>
      <c r="Y179" s="49"/>
      <c r="Z179" s="49"/>
      <c r="AA179" s="49"/>
      <c r="AB179" s="49"/>
      <c r="AC179" s="162"/>
    </row>
    <row r="180" spans="1:29">
      <c r="A180" s="49"/>
      <c r="B180" s="50"/>
      <c r="C180" s="49"/>
      <c r="D180" s="49"/>
      <c r="E180" s="49"/>
      <c r="F180" s="49"/>
      <c r="G180" s="51"/>
      <c r="H180" s="51"/>
      <c r="I180" s="49"/>
      <c r="J180" s="49"/>
      <c r="K180" s="49"/>
      <c r="L180" s="182"/>
      <c r="M180" s="49"/>
      <c r="N180" s="49"/>
      <c r="O180" s="52"/>
      <c r="P180" s="52"/>
      <c r="Q180" s="49"/>
      <c r="R180" s="49"/>
      <c r="S180" s="49"/>
      <c r="T180" s="49"/>
      <c r="U180" s="53"/>
      <c r="V180" s="177"/>
      <c r="W180" s="49"/>
      <c r="X180" s="49"/>
      <c r="Y180" s="49"/>
      <c r="Z180" s="49"/>
      <c r="AA180" s="49"/>
      <c r="AB180" s="49"/>
      <c r="AC180" s="162"/>
    </row>
    <row r="181" spans="1:29">
      <c r="A181" s="49"/>
      <c r="B181" s="50"/>
      <c r="C181" s="49"/>
      <c r="D181" s="49"/>
      <c r="E181" s="49"/>
      <c r="F181" s="49"/>
      <c r="G181" s="51"/>
      <c r="H181" s="51"/>
      <c r="I181" s="49"/>
      <c r="J181" s="49"/>
      <c r="K181" s="49"/>
      <c r="L181" s="182"/>
      <c r="M181" s="49"/>
      <c r="N181" s="49"/>
      <c r="O181" s="52"/>
      <c r="P181" s="52"/>
      <c r="Q181" s="49"/>
      <c r="R181" s="49"/>
      <c r="S181" s="49"/>
      <c r="T181" s="49"/>
      <c r="U181" s="53"/>
      <c r="V181" s="177"/>
      <c r="W181" s="49"/>
      <c r="X181" s="49"/>
      <c r="Y181" s="49"/>
      <c r="Z181" s="49"/>
      <c r="AA181" s="49"/>
      <c r="AB181" s="49"/>
      <c r="AC181" s="162"/>
    </row>
    <row r="182" spans="1:29">
      <c r="A182" s="49"/>
      <c r="B182" s="50"/>
      <c r="C182" s="49"/>
      <c r="D182" s="49"/>
      <c r="E182" s="49"/>
      <c r="F182" s="49"/>
      <c r="G182" s="51"/>
      <c r="H182" s="51"/>
      <c r="I182" s="49"/>
      <c r="J182" s="49"/>
      <c r="K182" s="49"/>
      <c r="L182" s="182"/>
      <c r="M182" s="49"/>
      <c r="N182" s="49"/>
      <c r="O182" s="52"/>
      <c r="P182" s="52"/>
      <c r="Q182" s="49"/>
      <c r="R182" s="49"/>
      <c r="S182" s="49"/>
      <c r="T182" s="49"/>
      <c r="U182" s="53"/>
      <c r="V182" s="177"/>
      <c r="W182" s="49"/>
      <c r="X182" s="49"/>
      <c r="Y182" s="49"/>
      <c r="Z182" s="49"/>
      <c r="AA182" s="49"/>
      <c r="AB182" s="49"/>
      <c r="AC182" s="162"/>
    </row>
    <row r="183" spans="1:29">
      <c r="A183" s="49"/>
      <c r="B183" s="50"/>
      <c r="C183" s="49"/>
      <c r="D183" s="49"/>
      <c r="E183" s="49"/>
      <c r="F183" s="49"/>
      <c r="G183" s="51"/>
      <c r="H183" s="51"/>
      <c r="I183" s="49"/>
      <c r="J183" s="49"/>
      <c r="K183" s="49"/>
      <c r="L183" s="182"/>
      <c r="M183" s="49"/>
      <c r="N183" s="49"/>
      <c r="O183" s="52"/>
      <c r="P183" s="52"/>
      <c r="Q183" s="49"/>
      <c r="R183" s="49"/>
      <c r="S183" s="49"/>
      <c r="T183" s="49"/>
      <c r="U183" s="53"/>
      <c r="V183" s="177"/>
      <c r="W183" s="49"/>
      <c r="X183" s="49"/>
      <c r="Y183" s="49"/>
      <c r="Z183" s="49"/>
      <c r="AA183" s="49"/>
      <c r="AB183" s="49"/>
      <c r="AC183" s="162"/>
    </row>
    <row r="184" spans="1:29">
      <c r="A184" s="49"/>
      <c r="B184" s="50"/>
      <c r="C184" s="49"/>
      <c r="D184" s="49"/>
      <c r="E184" s="49"/>
      <c r="F184" s="49"/>
      <c r="G184" s="51"/>
      <c r="H184" s="51"/>
      <c r="I184" s="49"/>
      <c r="J184" s="49"/>
      <c r="K184" s="49"/>
      <c r="L184" s="182"/>
      <c r="M184" s="49"/>
      <c r="N184" s="49"/>
      <c r="O184" s="52"/>
      <c r="P184" s="52"/>
      <c r="Q184" s="49"/>
      <c r="R184" s="49"/>
      <c r="S184" s="49"/>
      <c r="T184" s="49"/>
      <c r="U184" s="53"/>
      <c r="V184" s="177"/>
      <c r="W184" s="49"/>
      <c r="X184" s="49"/>
      <c r="Y184" s="49"/>
      <c r="Z184" s="49"/>
      <c r="AA184" s="49"/>
      <c r="AB184" s="49"/>
      <c r="AC184" s="162"/>
    </row>
    <row r="185" spans="1:29">
      <c r="A185" s="49"/>
      <c r="B185" s="50"/>
      <c r="C185" s="49"/>
      <c r="D185" s="49"/>
      <c r="E185" s="49"/>
      <c r="F185" s="49"/>
      <c r="G185" s="51"/>
      <c r="H185" s="51"/>
      <c r="I185" s="49"/>
      <c r="J185" s="49"/>
      <c r="K185" s="49"/>
      <c r="L185" s="182"/>
      <c r="M185" s="49"/>
      <c r="N185" s="49"/>
      <c r="O185" s="52"/>
      <c r="P185" s="52"/>
      <c r="Q185" s="49"/>
      <c r="R185" s="49"/>
      <c r="S185" s="49"/>
      <c r="T185" s="49"/>
      <c r="U185" s="53"/>
      <c r="V185" s="177"/>
      <c r="W185" s="49"/>
      <c r="X185" s="49"/>
      <c r="Y185" s="49"/>
      <c r="Z185" s="49"/>
      <c r="AA185" s="49"/>
      <c r="AB185" s="49"/>
      <c r="AC185" s="162"/>
    </row>
    <row r="186" spans="1:29">
      <c r="A186" s="49"/>
      <c r="B186" s="50"/>
      <c r="C186" s="49"/>
      <c r="D186" s="49"/>
      <c r="E186" s="49"/>
      <c r="F186" s="49"/>
      <c r="G186" s="51"/>
      <c r="H186" s="51"/>
      <c r="I186" s="49"/>
      <c r="J186" s="49"/>
      <c r="K186" s="49"/>
      <c r="L186" s="182"/>
      <c r="M186" s="49"/>
      <c r="N186" s="49"/>
      <c r="O186" s="52"/>
      <c r="P186" s="52"/>
      <c r="Q186" s="49"/>
      <c r="R186" s="49"/>
      <c r="S186" s="49"/>
      <c r="T186" s="49"/>
      <c r="U186" s="53"/>
      <c r="V186" s="177"/>
      <c r="W186" s="49"/>
      <c r="X186" s="49"/>
      <c r="Y186" s="49"/>
      <c r="Z186" s="49"/>
      <c r="AA186" s="49"/>
      <c r="AB186" s="49"/>
      <c r="AC186" s="162"/>
    </row>
    <row r="187" spans="1:29">
      <c r="A187" s="49"/>
      <c r="B187" s="50"/>
      <c r="C187" s="49"/>
      <c r="D187" s="49"/>
      <c r="E187" s="49"/>
      <c r="F187" s="49"/>
      <c r="G187" s="51"/>
      <c r="H187" s="51"/>
      <c r="I187" s="49"/>
      <c r="J187" s="49"/>
      <c r="K187" s="49"/>
      <c r="L187" s="182"/>
      <c r="M187" s="49"/>
      <c r="N187" s="49"/>
      <c r="O187" s="52"/>
      <c r="P187" s="52"/>
      <c r="Q187" s="49"/>
      <c r="R187" s="49"/>
      <c r="S187" s="49"/>
      <c r="T187" s="49"/>
      <c r="U187" s="53"/>
      <c r="V187" s="177"/>
      <c r="W187" s="49"/>
      <c r="X187" s="49"/>
      <c r="Y187" s="49"/>
      <c r="Z187" s="49"/>
      <c r="AA187" s="49"/>
      <c r="AB187" s="49"/>
      <c r="AC187" s="162"/>
    </row>
    <row r="188" spans="1:29">
      <c r="A188" s="49"/>
      <c r="B188" s="50"/>
      <c r="C188" s="49"/>
      <c r="D188" s="49"/>
      <c r="E188" s="49"/>
      <c r="F188" s="49"/>
      <c r="G188" s="51"/>
      <c r="H188" s="51"/>
      <c r="I188" s="49"/>
      <c r="J188" s="49"/>
      <c r="K188" s="49"/>
      <c r="L188" s="182"/>
      <c r="M188" s="49"/>
      <c r="N188" s="49"/>
      <c r="O188" s="52"/>
      <c r="P188" s="52"/>
      <c r="Q188" s="49"/>
      <c r="R188" s="49"/>
      <c r="S188" s="49"/>
      <c r="T188" s="49"/>
      <c r="U188" s="53"/>
      <c r="V188" s="177"/>
      <c r="W188" s="49"/>
      <c r="X188" s="49"/>
      <c r="Y188" s="49"/>
      <c r="Z188" s="49"/>
      <c r="AA188" s="49"/>
      <c r="AB188" s="49"/>
      <c r="AC188" s="162"/>
    </row>
    <row r="189" spans="1:29">
      <c r="A189" s="49"/>
      <c r="B189" s="50"/>
      <c r="C189" s="49"/>
      <c r="D189" s="49"/>
      <c r="E189" s="49"/>
      <c r="F189" s="49"/>
      <c r="G189" s="51"/>
      <c r="H189" s="51"/>
      <c r="I189" s="49"/>
      <c r="J189" s="49"/>
      <c r="K189" s="49"/>
      <c r="L189" s="182"/>
      <c r="M189" s="49"/>
      <c r="N189" s="49"/>
      <c r="O189" s="52"/>
      <c r="P189" s="52"/>
      <c r="Q189" s="49"/>
      <c r="R189" s="49"/>
      <c r="S189" s="49"/>
      <c r="T189" s="49"/>
      <c r="U189" s="53"/>
      <c r="V189" s="177"/>
      <c r="W189" s="49"/>
      <c r="X189" s="49"/>
      <c r="Y189" s="49"/>
      <c r="Z189" s="49"/>
      <c r="AA189" s="49"/>
      <c r="AB189" s="49"/>
      <c r="AC189" s="162"/>
    </row>
    <row r="190" spans="1:29">
      <c r="A190" s="49"/>
      <c r="B190" s="50"/>
      <c r="C190" s="49"/>
      <c r="D190" s="49"/>
      <c r="E190" s="49"/>
      <c r="F190" s="49"/>
      <c r="G190" s="51"/>
      <c r="H190" s="51"/>
      <c r="I190" s="49"/>
      <c r="J190" s="49"/>
      <c r="K190" s="49"/>
      <c r="L190" s="182"/>
      <c r="M190" s="49"/>
      <c r="N190" s="49"/>
      <c r="O190" s="52"/>
      <c r="P190" s="52"/>
      <c r="Q190" s="49"/>
      <c r="R190" s="49"/>
      <c r="S190" s="49"/>
      <c r="T190" s="49"/>
      <c r="U190" s="53"/>
      <c r="V190" s="177"/>
      <c r="W190" s="49"/>
      <c r="X190" s="49"/>
      <c r="Y190" s="49"/>
      <c r="Z190" s="49"/>
      <c r="AA190" s="49"/>
      <c r="AB190" s="49"/>
      <c r="AC190" s="162"/>
    </row>
    <row r="191" spans="1:29">
      <c r="A191" s="49"/>
      <c r="B191" s="50"/>
      <c r="C191" s="49"/>
      <c r="D191" s="49"/>
      <c r="E191" s="49"/>
      <c r="F191" s="49"/>
      <c r="G191" s="51"/>
      <c r="H191" s="51"/>
      <c r="I191" s="49"/>
      <c r="J191" s="49"/>
      <c r="K191" s="49"/>
      <c r="L191" s="182"/>
      <c r="M191" s="49"/>
      <c r="N191" s="49"/>
      <c r="O191" s="52"/>
      <c r="P191" s="52"/>
      <c r="Q191" s="49"/>
      <c r="R191" s="49"/>
      <c r="S191" s="49"/>
      <c r="T191" s="49"/>
      <c r="U191" s="53"/>
      <c r="V191" s="177"/>
      <c r="W191" s="49"/>
      <c r="X191" s="49"/>
      <c r="Y191" s="49"/>
      <c r="Z191" s="49"/>
      <c r="AA191" s="49"/>
      <c r="AB191" s="49"/>
      <c r="AC191" s="162"/>
    </row>
    <row r="192" spans="1:29">
      <c r="A192" s="49"/>
      <c r="B192" s="50"/>
      <c r="C192" s="49"/>
      <c r="D192" s="49"/>
      <c r="E192" s="49"/>
      <c r="F192" s="49"/>
      <c r="G192" s="51"/>
      <c r="H192" s="51"/>
      <c r="I192" s="49"/>
      <c r="J192" s="49"/>
      <c r="K192" s="49"/>
      <c r="L192" s="182"/>
      <c r="M192" s="49"/>
      <c r="N192" s="49"/>
      <c r="O192" s="52"/>
      <c r="P192" s="52"/>
      <c r="Q192" s="49"/>
      <c r="R192" s="49"/>
      <c r="S192" s="49"/>
      <c r="T192" s="49"/>
      <c r="U192" s="53"/>
      <c r="V192" s="177"/>
      <c r="W192" s="49"/>
      <c r="X192" s="49"/>
      <c r="Y192" s="49"/>
      <c r="Z192" s="49"/>
      <c r="AA192" s="49"/>
      <c r="AB192" s="49"/>
      <c r="AC192" s="162"/>
    </row>
    <row r="193" spans="1:29">
      <c r="A193" s="49"/>
      <c r="B193" s="50"/>
      <c r="C193" s="49"/>
      <c r="D193" s="49"/>
      <c r="E193" s="49"/>
      <c r="F193" s="49"/>
      <c r="G193" s="51"/>
      <c r="H193" s="51"/>
      <c r="I193" s="49"/>
      <c r="J193" s="49"/>
      <c r="K193" s="49"/>
      <c r="L193" s="182"/>
      <c r="M193" s="49"/>
      <c r="N193" s="49"/>
      <c r="O193" s="52"/>
      <c r="P193" s="52"/>
      <c r="Q193" s="49"/>
      <c r="R193" s="49"/>
      <c r="S193" s="49"/>
      <c r="T193" s="49"/>
      <c r="U193" s="53"/>
      <c r="V193" s="177"/>
      <c r="W193" s="49"/>
      <c r="X193" s="49"/>
      <c r="Y193" s="49"/>
      <c r="Z193" s="49"/>
      <c r="AA193" s="49"/>
      <c r="AB193" s="49"/>
      <c r="AC193" s="162"/>
    </row>
    <row r="194" spans="1:29">
      <c r="A194" s="49"/>
      <c r="B194" s="50"/>
      <c r="C194" s="49"/>
      <c r="D194" s="49"/>
      <c r="E194" s="49"/>
      <c r="F194" s="49"/>
      <c r="G194" s="51"/>
      <c r="H194" s="51"/>
      <c r="I194" s="49"/>
      <c r="J194" s="49"/>
      <c r="K194" s="49"/>
      <c r="L194" s="182"/>
      <c r="M194" s="49"/>
      <c r="N194" s="49"/>
      <c r="O194" s="52"/>
      <c r="P194" s="52"/>
      <c r="Q194" s="49"/>
      <c r="R194" s="49"/>
      <c r="S194" s="49"/>
      <c r="T194" s="49"/>
      <c r="U194" s="53"/>
      <c r="V194" s="177"/>
      <c r="W194" s="49"/>
      <c r="X194" s="49"/>
      <c r="Y194" s="49"/>
      <c r="Z194" s="49"/>
      <c r="AA194" s="49"/>
      <c r="AB194" s="49"/>
      <c r="AC194" s="162"/>
    </row>
    <row r="195" spans="1:29">
      <c r="A195" s="49"/>
      <c r="B195" s="50"/>
      <c r="C195" s="49"/>
      <c r="D195" s="49"/>
      <c r="E195" s="49"/>
      <c r="F195" s="49"/>
      <c r="G195" s="51"/>
      <c r="H195" s="51"/>
      <c r="I195" s="49"/>
      <c r="J195" s="49"/>
      <c r="K195" s="49"/>
      <c r="L195" s="182"/>
      <c r="M195" s="49"/>
      <c r="N195" s="49"/>
      <c r="O195" s="52"/>
      <c r="P195" s="52"/>
      <c r="Q195" s="49"/>
      <c r="R195" s="49"/>
      <c r="S195" s="49"/>
      <c r="T195" s="49"/>
      <c r="U195" s="53"/>
      <c r="V195" s="177"/>
      <c r="W195" s="49"/>
      <c r="X195" s="49"/>
      <c r="Y195" s="49"/>
      <c r="Z195" s="49"/>
      <c r="AA195" s="49"/>
      <c r="AB195" s="49"/>
      <c r="AC195" s="162"/>
    </row>
    <row r="196" spans="1:29">
      <c r="A196" s="49"/>
      <c r="B196" s="50"/>
      <c r="C196" s="49"/>
      <c r="D196" s="49"/>
      <c r="E196" s="49"/>
      <c r="F196" s="49"/>
      <c r="G196" s="51"/>
      <c r="H196" s="51"/>
      <c r="I196" s="49"/>
      <c r="J196" s="49"/>
      <c r="K196" s="49"/>
      <c r="L196" s="182"/>
      <c r="M196" s="49"/>
      <c r="N196" s="49"/>
      <c r="O196" s="52"/>
      <c r="P196" s="52"/>
      <c r="Q196" s="49"/>
      <c r="R196" s="49"/>
      <c r="S196" s="49"/>
      <c r="T196" s="49"/>
      <c r="U196" s="53"/>
      <c r="V196" s="177"/>
      <c r="W196" s="49"/>
      <c r="X196" s="49"/>
      <c r="Y196" s="49"/>
      <c r="Z196" s="49"/>
      <c r="AA196" s="49"/>
      <c r="AB196" s="49"/>
      <c r="AC196" s="162"/>
    </row>
    <row r="197" spans="1:29">
      <c r="A197" s="49"/>
      <c r="B197" s="50"/>
      <c r="C197" s="49"/>
      <c r="D197" s="49"/>
      <c r="E197" s="49"/>
      <c r="F197" s="49"/>
      <c r="G197" s="51"/>
      <c r="H197" s="51"/>
      <c r="I197" s="49"/>
      <c r="J197" s="49"/>
      <c r="K197" s="49"/>
      <c r="L197" s="182"/>
      <c r="M197" s="49"/>
      <c r="N197" s="49"/>
      <c r="O197" s="52"/>
      <c r="P197" s="52"/>
      <c r="Q197" s="49"/>
      <c r="R197" s="49"/>
      <c r="S197" s="49"/>
      <c r="T197" s="49"/>
      <c r="U197" s="53"/>
      <c r="V197" s="177"/>
      <c r="W197" s="49"/>
      <c r="X197" s="49"/>
      <c r="Y197" s="49"/>
      <c r="Z197" s="49"/>
      <c r="AA197" s="49"/>
      <c r="AB197" s="49"/>
      <c r="AC197" s="162"/>
    </row>
    <row r="198" spans="1:29">
      <c r="A198" s="49"/>
      <c r="B198" s="50"/>
      <c r="C198" s="49"/>
      <c r="D198" s="49"/>
      <c r="E198" s="49"/>
      <c r="F198" s="49"/>
      <c r="G198" s="51"/>
      <c r="H198" s="51"/>
      <c r="I198" s="49"/>
      <c r="J198" s="49"/>
      <c r="K198" s="49"/>
      <c r="L198" s="182"/>
      <c r="M198" s="49"/>
      <c r="N198" s="49"/>
      <c r="O198" s="52"/>
      <c r="P198" s="52"/>
      <c r="Q198" s="49"/>
      <c r="R198" s="49"/>
      <c r="S198" s="49"/>
      <c r="T198" s="49"/>
      <c r="U198" s="53"/>
      <c r="V198" s="177"/>
      <c r="W198" s="49"/>
      <c r="X198" s="49"/>
      <c r="Y198" s="49"/>
      <c r="Z198" s="49"/>
      <c r="AA198" s="49"/>
      <c r="AB198" s="49"/>
      <c r="AC198" s="162"/>
    </row>
    <row r="199" spans="1:29">
      <c r="A199" s="49"/>
      <c r="B199" s="50"/>
      <c r="C199" s="49"/>
      <c r="D199" s="49"/>
      <c r="E199" s="49"/>
      <c r="F199" s="49"/>
      <c r="G199" s="51"/>
      <c r="H199" s="51"/>
      <c r="I199" s="49"/>
      <c r="J199" s="49"/>
      <c r="K199" s="49"/>
      <c r="L199" s="182"/>
      <c r="M199" s="49"/>
      <c r="N199" s="49"/>
      <c r="O199" s="52"/>
      <c r="P199" s="52"/>
      <c r="Q199" s="49"/>
      <c r="R199" s="49"/>
      <c r="S199" s="49"/>
      <c r="T199" s="49"/>
      <c r="U199" s="53"/>
      <c r="V199" s="177"/>
      <c r="W199" s="49"/>
      <c r="X199" s="49"/>
      <c r="Y199" s="49"/>
      <c r="Z199" s="49"/>
      <c r="AA199" s="49"/>
      <c r="AB199" s="49"/>
      <c r="AC199" s="162"/>
    </row>
    <row r="200" spans="1:29">
      <c r="A200" s="49"/>
      <c r="B200" s="50"/>
      <c r="C200" s="49"/>
      <c r="D200" s="49"/>
      <c r="E200" s="49"/>
      <c r="F200" s="49"/>
      <c r="G200" s="51"/>
      <c r="H200" s="51"/>
      <c r="I200" s="49"/>
      <c r="J200" s="49"/>
      <c r="K200" s="49"/>
      <c r="L200" s="182"/>
      <c r="M200" s="49"/>
      <c r="N200" s="49"/>
      <c r="O200" s="52"/>
      <c r="P200" s="52"/>
      <c r="Q200" s="49"/>
      <c r="R200" s="49"/>
      <c r="S200" s="49"/>
      <c r="T200" s="49"/>
      <c r="U200" s="53"/>
      <c r="V200" s="177"/>
      <c r="W200" s="49"/>
      <c r="X200" s="49"/>
      <c r="Y200" s="49"/>
      <c r="Z200" s="49"/>
      <c r="AA200" s="49"/>
      <c r="AB200" s="49"/>
      <c r="AC200" s="162"/>
    </row>
    <row r="201" spans="1:29">
      <c r="A201" s="49"/>
      <c r="B201" s="50"/>
      <c r="C201" s="49"/>
      <c r="D201" s="49"/>
      <c r="E201" s="49"/>
      <c r="F201" s="49"/>
      <c r="G201" s="51"/>
      <c r="H201" s="51"/>
      <c r="I201" s="49"/>
      <c r="J201" s="49"/>
      <c r="K201" s="49"/>
      <c r="L201" s="182"/>
      <c r="M201" s="49"/>
      <c r="N201" s="49"/>
      <c r="O201" s="52"/>
      <c r="P201" s="52"/>
      <c r="Q201" s="49"/>
      <c r="R201" s="49"/>
      <c r="S201" s="49"/>
      <c r="T201" s="49"/>
      <c r="U201" s="53"/>
      <c r="V201" s="177"/>
      <c r="W201" s="49"/>
      <c r="X201" s="49"/>
      <c r="Y201" s="49"/>
      <c r="Z201" s="49"/>
      <c r="AA201" s="49"/>
      <c r="AB201" s="49"/>
      <c r="AC201" s="162"/>
    </row>
    <row r="202" spans="1:29">
      <c r="A202" s="49"/>
      <c r="B202" s="50"/>
      <c r="C202" s="49"/>
      <c r="D202" s="49"/>
      <c r="E202" s="49"/>
      <c r="F202" s="49"/>
      <c r="G202" s="51"/>
      <c r="H202" s="51"/>
      <c r="I202" s="49"/>
      <c r="J202" s="49"/>
      <c r="K202" s="49"/>
      <c r="L202" s="182"/>
      <c r="M202" s="49"/>
      <c r="N202" s="49"/>
      <c r="O202" s="52"/>
      <c r="P202" s="52"/>
      <c r="Q202" s="49"/>
      <c r="R202" s="49"/>
      <c r="S202" s="49"/>
      <c r="T202" s="49"/>
      <c r="U202" s="53"/>
      <c r="V202" s="177"/>
      <c r="W202" s="49"/>
      <c r="X202" s="49"/>
      <c r="Y202" s="49"/>
      <c r="Z202" s="49"/>
      <c r="AA202" s="49"/>
      <c r="AB202" s="49"/>
      <c r="AC202" s="162"/>
    </row>
    <row r="203" spans="1:29">
      <c r="A203" s="49"/>
      <c r="B203" s="50"/>
      <c r="C203" s="49"/>
      <c r="D203" s="49"/>
      <c r="E203" s="49"/>
      <c r="F203" s="49"/>
      <c r="G203" s="51"/>
      <c r="H203" s="51"/>
      <c r="I203" s="49"/>
      <c r="J203" s="49"/>
      <c r="K203" s="49"/>
      <c r="L203" s="182"/>
      <c r="M203" s="49"/>
      <c r="N203" s="49"/>
      <c r="O203" s="52"/>
      <c r="P203" s="52"/>
      <c r="Q203" s="49"/>
      <c r="R203" s="49"/>
      <c r="S203" s="49"/>
      <c r="T203" s="49"/>
      <c r="U203" s="53"/>
      <c r="V203" s="177"/>
      <c r="W203" s="49"/>
      <c r="X203" s="49"/>
      <c r="Y203" s="49"/>
      <c r="Z203" s="49"/>
      <c r="AA203" s="49"/>
      <c r="AB203" s="49"/>
      <c r="AC203" s="162"/>
    </row>
    <row r="204" spans="1:29">
      <c r="A204" s="49"/>
      <c r="B204" s="50"/>
      <c r="C204" s="49"/>
      <c r="D204" s="49"/>
      <c r="E204" s="49"/>
      <c r="F204" s="49"/>
      <c r="G204" s="51"/>
      <c r="H204" s="51"/>
      <c r="I204" s="49"/>
      <c r="J204" s="49"/>
      <c r="K204" s="49"/>
      <c r="L204" s="182"/>
      <c r="M204" s="49"/>
      <c r="N204" s="49"/>
      <c r="O204" s="52"/>
      <c r="P204" s="52"/>
      <c r="Q204" s="49"/>
      <c r="R204" s="49"/>
      <c r="S204" s="49"/>
      <c r="T204" s="49"/>
      <c r="U204" s="53"/>
      <c r="V204" s="177"/>
      <c r="W204" s="49"/>
      <c r="X204" s="49"/>
      <c r="Y204" s="49"/>
      <c r="Z204" s="49"/>
      <c r="AA204" s="49"/>
      <c r="AB204" s="49"/>
      <c r="AC204" s="162"/>
    </row>
    <row r="205" spans="1:29">
      <c r="A205" s="49"/>
      <c r="B205" s="50"/>
      <c r="C205" s="49"/>
      <c r="D205" s="49"/>
      <c r="E205" s="49"/>
      <c r="F205" s="49"/>
      <c r="G205" s="51"/>
      <c r="H205" s="51"/>
      <c r="I205" s="49"/>
      <c r="J205" s="49"/>
      <c r="K205" s="49"/>
      <c r="L205" s="182"/>
      <c r="M205" s="49"/>
      <c r="N205" s="49"/>
      <c r="O205" s="52"/>
      <c r="P205" s="52"/>
      <c r="Q205" s="49"/>
      <c r="R205" s="49"/>
      <c r="S205" s="49"/>
      <c r="T205" s="49"/>
      <c r="U205" s="53"/>
      <c r="V205" s="177"/>
      <c r="W205" s="49"/>
      <c r="X205" s="49"/>
      <c r="Y205" s="49"/>
      <c r="Z205" s="49"/>
      <c r="AA205" s="49"/>
      <c r="AB205" s="49"/>
      <c r="AC205" s="162"/>
    </row>
  </sheetData>
  <phoneticPr fontId="27" type="noConversion"/>
  <dataValidations count="1">
    <dataValidation type="list" allowBlank="1" showInputMessage="1" showErrorMessage="1" sqref="AB2:AB43" xr:uid="{745C407C-30A1-4A2D-B0C0-E9F19A7EAF75}">
      <formula1>"Yes, No"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D58E-7211-4AFB-B4A3-AFCAAC315C71}">
  <dimension ref="A1:J29"/>
  <sheetViews>
    <sheetView topLeftCell="A10" workbookViewId="0">
      <selection activeCell="J29" sqref="J29"/>
    </sheetView>
  </sheetViews>
  <sheetFormatPr defaultRowHeight="14.4"/>
  <cols>
    <col min="9" max="9" width="39" bestFit="1" customWidth="1"/>
    <col min="10" max="10" width="17" bestFit="1" customWidth="1"/>
  </cols>
  <sheetData>
    <row r="1" spans="1:10">
      <c r="A1" t="str" cm="1">
        <f t="array" ref="A1:A2">_xlfn.UNIQUE(Table1[ICS Number])</f>
        <v>ICS2026 - 01 - 0104</v>
      </c>
      <c r="D1" t="str" cm="1">
        <f t="array" ref="D1:D2">_xlfn.UNIQUE(Table1[Property Number])</f>
        <v>SPHV - 2022 - 05 - 03 - 0046 - 03B</v>
      </c>
    </row>
    <row r="2" spans="1:10">
      <c r="A2">
        <v>0</v>
      </c>
      <c r="D2">
        <v>0</v>
      </c>
    </row>
    <row r="9" spans="1:10">
      <c r="I9" s="180" t="s">
        <v>157</v>
      </c>
      <c r="J9" t="s">
        <v>160</v>
      </c>
    </row>
    <row r="10" spans="1:10">
      <c r="I10" s="181" t="s">
        <v>148</v>
      </c>
      <c r="J10">
        <v>25450</v>
      </c>
    </row>
    <row r="11" spans="1:10">
      <c r="I11" s="181" t="s">
        <v>145</v>
      </c>
      <c r="J11">
        <v>20850</v>
      </c>
    </row>
    <row r="12" spans="1:10">
      <c r="I12" s="181" t="s">
        <v>150</v>
      </c>
      <c r="J12">
        <v>16250</v>
      </c>
    </row>
    <row r="13" spans="1:10">
      <c r="I13" s="181" t="s">
        <v>154</v>
      </c>
      <c r="J13">
        <v>16250</v>
      </c>
    </row>
    <row r="14" spans="1:10">
      <c r="I14" s="181" t="s">
        <v>149</v>
      </c>
      <c r="J14">
        <v>16250</v>
      </c>
    </row>
    <row r="15" spans="1:10">
      <c r="I15" s="181" t="s">
        <v>151</v>
      </c>
      <c r="J15">
        <v>16250</v>
      </c>
    </row>
    <row r="16" spans="1:10">
      <c r="I16" s="181" t="s">
        <v>155</v>
      </c>
      <c r="J16">
        <v>16250</v>
      </c>
    </row>
    <row r="17" spans="9:10">
      <c r="I17" s="181" t="s">
        <v>144</v>
      </c>
      <c r="J17">
        <v>11650</v>
      </c>
    </row>
    <row r="18" spans="9:10">
      <c r="I18" s="181" t="s">
        <v>147</v>
      </c>
      <c r="J18">
        <v>11650</v>
      </c>
    </row>
    <row r="19" spans="9:10">
      <c r="I19" s="181" t="s">
        <v>146</v>
      </c>
      <c r="J19">
        <v>11650</v>
      </c>
    </row>
    <row r="20" spans="9:10">
      <c r="I20" s="181" t="s">
        <v>153</v>
      </c>
      <c r="J20">
        <v>11650</v>
      </c>
    </row>
    <row r="21" spans="9:10">
      <c r="I21" s="181" t="s">
        <v>152</v>
      </c>
      <c r="J21">
        <v>11650</v>
      </c>
    </row>
    <row r="22" spans="9:10">
      <c r="I22" s="181" t="s">
        <v>158</v>
      </c>
    </row>
    <row r="23" spans="9:10">
      <c r="I23" s="181" t="s">
        <v>161</v>
      </c>
      <c r="J23">
        <v>4600</v>
      </c>
    </row>
    <row r="24" spans="9:10">
      <c r="I24" s="181" t="s">
        <v>162</v>
      </c>
      <c r="J24">
        <v>4600</v>
      </c>
    </row>
    <row r="25" spans="9:10">
      <c r="I25" s="181" t="s">
        <v>163</v>
      </c>
      <c r="J25">
        <v>4600</v>
      </c>
    </row>
    <row r="26" spans="9:10">
      <c r="I26" s="181" t="s">
        <v>164</v>
      </c>
      <c r="J26">
        <v>4600</v>
      </c>
    </row>
    <row r="27" spans="9:10">
      <c r="I27" s="181" t="s">
        <v>165</v>
      </c>
      <c r="J27">
        <v>4600</v>
      </c>
    </row>
    <row r="28" spans="9:10">
      <c r="I28" s="181" t="s">
        <v>166</v>
      </c>
      <c r="J28">
        <v>4600</v>
      </c>
    </row>
    <row r="29" spans="9:10">
      <c r="I29" s="181" t="s">
        <v>159</v>
      </c>
      <c r="J29">
        <v>213400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713-6350-46AE-9384-E52E6D1CF628}">
  <dimension ref="A1:R116"/>
  <sheetViews>
    <sheetView view="pageBreakPreview" zoomScaleNormal="85" zoomScaleSheetLayoutView="100" workbookViewId="0">
      <selection activeCell="J92" sqref="J92"/>
    </sheetView>
  </sheetViews>
  <sheetFormatPr defaultColWidth="9.21875" defaultRowHeight="15"/>
  <cols>
    <col min="1" max="1" width="0.77734375" style="56" customWidth="1"/>
    <col min="2" max="2" width="8.77734375" style="56" customWidth="1"/>
    <col min="3" max="3" width="2.77734375" style="56" customWidth="1"/>
    <col min="4" max="4" width="5.77734375" style="74" customWidth="1"/>
    <col min="5" max="5" width="10.77734375" style="56" customWidth="1"/>
    <col min="6" max="6" width="12.77734375" style="56" bestFit="1" customWidth="1"/>
    <col min="7" max="8" width="0.5546875" style="56" customWidth="1"/>
    <col min="9" max="9" width="34.44140625" style="56" customWidth="1"/>
    <col min="10" max="10" width="22.44140625" style="56" customWidth="1"/>
    <col min="11" max="11" width="9" style="56" customWidth="1"/>
    <col min="12" max="12" width="0.77734375" style="56" customWidth="1"/>
    <col min="13" max="13" width="9.21875" style="56"/>
    <col min="14" max="14" width="51.5546875" style="56" bestFit="1" customWidth="1"/>
    <col min="15" max="15" width="9.21875" style="56"/>
    <col min="16" max="16" width="37.88671875" style="56" bestFit="1" customWidth="1"/>
    <col min="17" max="17" width="37.44140625" style="56" bestFit="1" customWidth="1"/>
    <col min="18" max="16384" width="9.21875" style="56"/>
  </cols>
  <sheetData>
    <row r="1" spans="1:17">
      <c r="A1" s="54"/>
      <c r="B1" s="191" t="s">
        <v>76</v>
      </c>
      <c r="C1" s="191"/>
      <c r="D1" s="191"/>
      <c r="E1" s="191"/>
      <c r="F1" s="191"/>
      <c r="G1" s="191"/>
      <c r="H1" s="191"/>
      <c r="I1" s="191"/>
      <c r="J1" s="191"/>
      <c r="K1" s="191"/>
      <c r="L1" s="55"/>
    </row>
    <row r="2" spans="1:17" ht="21.6">
      <c r="A2" s="57"/>
      <c r="B2" s="192" t="s">
        <v>77</v>
      </c>
      <c r="C2" s="192"/>
      <c r="D2" s="192"/>
      <c r="E2" s="192"/>
      <c r="F2" s="192"/>
      <c r="G2" s="192"/>
      <c r="H2" s="192"/>
      <c r="I2" s="192"/>
      <c r="J2" s="192"/>
      <c r="K2" s="192"/>
      <c r="L2" s="58"/>
    </row>
    <row r="3" spans="1:17" ht="14.4" thickBot="1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1"/>
    </row>
    <row r="4" spans="1:17" ht="5.0999999999999996" customHeight="1">
      <c r="A4" s="54"/>
      <c r="B4" s="62"/>
      <c r="C4" s="62"/>
      <c r="D4" s="63"/>
      <c r="E4" s="62"/>
      <c r="F4" s="62"/>
      <c r="G4" s="62"/>
      <c r="H4" s="62"/>
      <c r="I4" s="62"/>
      <c r="J4" s="62"/>
      <c r="K4" s="62"/>
      <c r="L4" s="55"/>
    </row>
    <row r="5" spans="1:17" ht="13.8">
      <c r="A5" s="57"/>
      <c r="B5" s="64" t="s">
        <v>61</v>
      </c>
      <c r="C5" s="64"/>
      <c r="D5" s="193" t="s">
        <v>78</v>
      </c>
      <c r="E5" s="193"/>
      <c r="F5" s="193"/>
      <c r="G5" s="64"/>
      <c r="H5" s="64"/>
      <c r="I5" s="65" t="s">
        <v>79</v>
      </c>
      <c r="J5" s="194" t="s">
        <v>167</v>
      </c>
      <c r="K5" s="194"/>
      <c r="L5" s="58"/>
    </row>
    <row r="6" spans="1:17" ht="13.8">
      <c r="A6" s="57"/>
      <c r="B6" s="64" t="s">
        <v>53</v>
      </c>
      <c r="C6" s="64"/>
      <c r="D6" s="195">
        <v>1101101</v>
      </c>
      <c r="E6" s="195"/>
      <c r="F6" s="195"/>
      <c r="G6" s="64"/>
      <c r="H6" s="64"/>
      <c r="I6" s="64"/>
      <c r="J6" s="64"/>
      <c r="K6" s="64"/>
      <c r="L6" s="58"/>
      <c r="N6" s="56" t="s">
        <v>156</v>
      </c>
    </row>
    <row r="7" spans="1:17" ht="5.0999999999999996" customHeight="1" thickBot="1">
      <c r="A7" s="59"/>
      <c r="B7" s="60"/>
      <c r="C7" s="60"/>
      <c r="D7" s="67"/>
      <c r="E7" s="60"/>
      <c r="F7" s="60"/>
      <c r="G7" s="60"/>
      <c r="H7" s="60"/>
      <c r="I7" s="60"/>
      <c r="J7" s="60"/>
      <c r="K7" s="60"/>
      <c r="L7" s="61"/>
    </row>
    <row r="8" spans="1:17" ht="15" customHeight="1">
      <c r="A8" s="202" t="s">
        <v>80</v>
      </c>
      <c r="B8" s="203"/>
      <c r="C8" s="206" t="s">
        <v>3</v>
      </c>
      <c r="D8" s="206"/>
      <c r="E8" s="208" t="s">
        <v>81</v>
      </c>
      <c r="F8" s="209"/>
      <c r="G8" s="210"/>
      <c r="H8" s="206" t="s">
        <v>82</v>
      </c>
      <c r="I8" s="206"/>
      <c r="J8" s="211" t="s">
        <v>83</v>
      </c>
      <c r="K8" s="213" t="s">
        <v>84</v>
      </c>
      <c r="L8" s="214"/>
      <c r="P8"/>
    </row>
    <row r="9" spans="1:17" ht="15.75" customHeight="1" thickBot="1">
      <c r="A9" s="204"/>
      <c r="B9" s="205"/>
      <c r="C9" s="207"/>
      <c r="D9" s="207"/>
      <c r="E9" s="68" t="s">
        <v>85</v>
      </c>
      <c r="F9" s="217" t="s">
        <v>86</v>
      </c>
      <c r="G9" s="218"/>
      <c r="H9" s="207"/>
      <c r="I9" s="207"/>
      <c r="J9" s="212"/>
      <c r="K9" s="215"/>
      <c r="L9" s="216"/>
    </row>
    <row r="10" spans="1:17" s="146" customFormat="1" ht="43.8" thickTop="1">
      <c r="A10" s="144"/>
      <c r="B10" s="134">
        <f>_xlfn.IFNA(_xlfn.XLOOKUP(J10,Table1[Property Number],Table1[Qty | PCount]),"-")</f>
        <v>1</v>
      </c>
      <c r="C10" s="196" t="str">
        <f>_xlfn.IFNA(_xlfn.XLOOKUP(J10,Table1[Property Number],Table1[Unit of Measure]),"-")</f>
        <v>set</v>
      </c>
      <c r="D10" s="197"/>
      <c r="E10" s="142">
        <f>_xlfn.IFNA(_xlfn.XLOOKUP(J10,Table1[Property Number],Table1[Unit Value]),"-")</f>
        <v>42167.91</v>
      </c>
      <c r="F10" s="143">
        <f>IFERROR(B10*E10,0)</f>
        <v>42167.91</v>
      </c>
      <c r="G10" s="136"/>
      <c r="H10" s="137"/>
      <c r="I10" s="178" t="str">
        <f>_xlfn.IFNA(CONCATENATE(_xlfn.XLOOKUP(J10,Table1[Property Number], Table1[Full Specifications])," - Acquisition Date: ",TEXT(_xlfn.XLOOKUP(J10,Table1[Property Number], Table1[Date of Acquisition]),"mmmm dd, yyyy")),"-")</f>
        <v>Laptop with Bag - Brand: COBY - Model: NBPC 2168 - SN: RDPBMNBPC2168202201001528 - Processor: AMD Ryzen 5 - RAM: 8 GB DDR4 - Storage: 1 TB SSD - Color: Blue - Acquisition Date: August 26, 2022</v>
      </c>
      <c r="J10" s="138" t="str">
        <f>_xlfn.XLOOKUP(J5,Table1[ICS Number],Table1[Property Number])</f>
        <v>SPHV - 2022 - 05 - 03 - 0046 - 03B</v>
      </c>
      <c r="K10" s="124" t="str">
        <f>IF(N10="","-","2 Years")</f>
        <v>2 Years</v>
      </c>
      <c r="L10" s="145"/>
      <c r="N10" s="147" t="str" cm="1">
        <f t="array" ref="N10">_xlfn.CHOOSECOLS(_xlfn._xlws.FILTER(Table1[],Table1[ICS Number]=Printer!J5),4)</f>
        <v>SPHV - 2022 - 05 - 03 - 0046 - 03B</v>
      </c>
      <c r="P10" s="147"/>
      <c r="Q10" s="147"/>
    </row>
    <row r="11" spans="1:17" s="150" customFormat="1" ht="10.8">
      <c r="A11" s="127"/>
      <c r="B11" s="129"/>
      <c r="C11" s="219"/>
      <c r="D11" s="219"/>
      <c r="E11" s="131"/>
      <c r="F11" s="131"/>
      <c r="G11" s="130"/>
      <c r="H11" s="130"/>
      <c r="I11" s="132" t="s">
        <v>134</v>
      </c>
      <c r="J11" s="133"/>
      <c r="K11" s="130"/>
      <c r="L11" s="128"/>
    </row>
    <row r="12" spans="1:17" s="150" customFormat="1" ht="10.8">
      <c r="A12" s="148"/>
      <c r="B12" s="134" t="str">
        <f>_xlfn.IFNA(_xlfn.XLOOKUP(J12,Table1[Property Number],Table1[Qty | PCount]),"-")</f>
        <v>-</v>
      </c>
      <c r="C12" s="196" t="str">
        <f>_xlfn.IFNA(_xlfn.XLOOKUP(J12,Table1[Property Number],Table1[Unit of Measure]),"-")</f>
        <v>-</v>
      </c>
      <c r="D12" s="197"/>
      <c r="E12" s="142" t="str">
        <f>_xlfn.IFNA(_xlfn.XLOOKUP(J12,Table1[Property Number],Table1[Unit Value]),"-")</f>
        <v>-</v>
      </c>
      <c r="F12" s="143">
        <f>IFERROR(B12*E12,0)</f>
        <v>0</v>
      </c>
      <c r="G12" s="139"/>
      <c r="H12" s="140"/>
      <c r="I12" s="179" t="str">
        <f>_xlfn.IFNA(CONCATENATE(_xlfn.XLOOKUP(J12,Table1[Property Number], Table1[Full Specifications])," - Acquisition Date: ",TEXT(_xlfn.XLOOKUP(J12,Table1[Property Number], Table1[Date of Acquisition]),"mmmm dd, yyyy")),"-")</f>
        <v>-</v>
      </c>
      <c r="J12" s="141">
        <f>N12</f>
        <v>0</v>
      </c>
      <c r="K12" s="135" t="str">
        <f>IF(N12="","-","2 Years")</f>
        <v>-</v>
      </c>
      <c r="L12" s="149"/>
      <c r="N12" s="151"/>
      <c r="P12" s="152"/>
      <c r="Q12" s="152"/>
    </row>
    <row r="13" spans="1:17" s="150" customFormat="1" ht="10.8">
      <c r="A13" s="148"/>
      <c r="B13" s="134" t="str">
        <f>_xlfn.IFNA(_xlfn.XLOOKUP(J13,Table1[Property Number],Table1[Qty | PCount]),"-")</f>
        <v>-</v>
      </c>
      <c r="C13" s="196" t="str">
        <f>_xlfn.IFNA(_xlfn.XLOOKUP(J13,Table1[Property Number],Table1[Unit of Measure]),"-")</f>
        <v>-</v>
      </c>
      <c r="D13" s="197"/>
      <c r="E13" s="142" t="str">
        <f>_xlfn.IFNA(_xlfn.XLOOKUP(J13,Table1[Property Number],Table1[Unit Value]),"-")</f>
        <v>-</v>
      </c>
      <c r="F13" s="143">
        <f>IFERROR(B13*E13,0)</f>
        <v>0</v>
      </c>
      <c r="G13" s="139"/>
      <c r="H13" s="140"/>
      <c r="I13" s="179" t="str">
        <f>_xlfn.IFNA(CONCATENATE(_xlfn.XLOOKUP(J13,Table1[Property Number], Table1[Full Specifications])," - Acquisition Date: ",TEXT(_xlfn.XLOOKUP(J13,Table1[Property Number], Table1[Date of Acquisition]),"mmmm dd, yyyy")),"-")</f>
        <v>-</v>
      </c>
      <c r="J13" s="141">
        <f>N13</f>
        <v>0</v>
      </c>
      <c r="K13" s="135" t="str">
        <f>IF(N13="","-","2 Years")</f>
        <v>-</v>
      </c>
      <c r="L13" s="149"/>
      <c r="N13" s="151"/>
      <c r="P13" s="152"/>
      <c r="Q13" s="152"/>
    </row>
    <row r="14" spans="1:17" s="150" customFormat="1" ht="10.8">
      <c r="A14" s="148"/>
      <c r="B14" s="134" t="str">
        <f>_xlfn.IFNA(_xlfn.XLOOKUP(J14,Table1[Property Number],Table1[Qty | PCount]),"-")</f>
        <v>-</v>
      </c>
      <c r="C14" s="196" t="str">
        <f>_xlfn.IFNA(_xlfn.XLOOKUP(J14,Table1[Property Number],Table1[Unit of Measure]),"-")</f>
        <v>-</v>
      </c>
      <c r="D14" s="197"/>
      <c r="E14" s="142" t="str">
        <f>_xlfn.IFNA(_xlfn.XLOOKUP(J14,Table1[Property Number],Table1[Unit Value]),"-")</f>
        <v>-</v>
      </c>
      <c r="F14" s="143">
        <f>IFERROR(B14*E14,0)</f>
        <v>0</v>
      </c>
      <c r="G14" s="139"/>
      <c r="H14" s="140"/>
      <c r="I14" s="179" t="str">
        <f>_xlfn.IFNA(CONCATENATE(_xlfn.XLOOKUP(J14,Table1[Property Number], Table1[Full Specifications])," - Acquisition Date: ",TEXT(_xlfn.XLOOKUP(J14,Table1[Property Number], Table1[Date of Acquisition]),"mmmm dd, yyyy")),"-")</f>
        <v>-</v>
      </c>
      <c r="J14" s="141">
        <f>N14</f>
        <v>0</v>
      </c>
      <c r="K14" s="135" t="str">
        <f>IF(N14="","-","2 Years")</f>
        <v>-</v>
      </c>
      <c r="L14" s="149"/>
      <c r="N14" s="151"/>
      <c r="P14" s="152"/>
      <c r="Q14" s="152"/>
    </row>
    <row r="15" spans="1:17" s="150" customFormat="1" ht="10.8">
      <c r="A15" s="148"/>
      <c r="B15" s="134" t="str">
        <f>_xlfn.IFNA(_xlfn.XLOOKUP(J15,Table1[Property Number],Table1[Qty | PCount]),"-")</f>
        <v>-</v>
      </c>
      <c r="C15" s="196" t="str">
        <f>_xlfn.IFNA(_xlfn.XLOOKUP(J15,Table1[Property Number],Table1[Unit of Measure]),"-")</f>
        <v>-</v>
      </c>
      <c r="D15" s="197"/>
      <c r="E15" s="142" t="str">
        <f>_xlfn.IFNA(_xlfn.XLOOKUP(J15,Table1[Property Number],Table1[Unit Value]),"-")</f>
        <v>-</v>
      </c>
      <c r="F15" s="143">
        <f>IFERROR(B15*E15,0)</f>
        <v>0</v>
      </c>
      <c r="G15" s="139"/>
      <c r="H15" s="140"/>
      <c r="I15" s="179" t="str">
        <f>_xlfn.IFNA(CONCATENATE(_xlfn.XLOOKUP(J15,Table1[Property Number], Table1[Full Specifications])," - Acquisition Date: ",TEXT(_xlfn.XLOOKUP(J15,Table1[Property Number], Table1[Date of Acquisition]),"mmmm dd, yyyy")),"-")</f>
        <v>-</v>
      </c>
      <c r="J15" s="141">
        <f>N15</f>
        <v>0</v>
      </c>
      <c r="K15" s="135" t="str">
        <f>IF(N15="","-","2 Years")</f>
        <v>-</v>
      </c>
      <c r="L15" s="149"/>
      <c r="N15" s="151"/>
      <c r="P15" s="152"/>
      <c r="Q15" s="152"/>
    </row>
    <row r="16" spans="1:17" s="150" customFormat="1" ht="10.8">
      <c r="A16" s="148"/>
      <c r="B16" s="134" t="str">
        <f>_xlfn.IFNA(_xlfn.XLOOKUP(J16,Table1[Property Number],Table1[Qty | PCount]),"-")</f>
        <v>-</v>
      </c>
      <c r="C16" s="196" t="str">
        <f>_xlfn.IFNA(_xlfn.XLOOKUP(J16,Table1[Property Number],Table1[Unit of Measure]),"-")</f>
        <v>-</v>
      </c>
      <c r="D16" s="197"/>
      <c r="E16" s="142" t="str">
        <f>_xlfn.IFNA(_xlfn.XLOOKUP(J16,Table1[Property Number],Table1[Unit Value]),"-")</f>
        <v>-</v>
      </c>
      <c r="F16" s="143">
        <f t="shared" ref="F16:F21" si="0">IFERROR(B16*E16,0)</f>
        <v>0</v>
      </c>
      <c r="G16" s="139"/>
      <c r="H16" s="140"/>
      <c r="I16" s="179" t="str">
        <f>_xlfn.IFNA(CONCATENATE(_xlfn.XLOOKUP(J16,Table1[Property Number], Table1[Full Specifications])," - Acquisition Date: ",TEXT(_xlfn.XLOOKUP(J16,Table1[Property Number], Table1[Date of Acquisition]),"mmmm dd, yyyy")),"-")</f>
        <v>-</v>
      </c>
      <c r="J16" s="141">
        <f t="shared" ref="J16:J21" si="1">N16</f>
        <v>0</v>
      </c>
      <c r="K16" s="135" t="str">
        <f t="shared" ref="K16:K21" si="2">IF(N16="","-","2 Years")</f>
        <v>-</v>
      </c>
      <c r="L16" s="149"/>
      <c r="N16" s="151"/>
      <c r="P16" s="152"/>
      <c r="Q16" s="152"/>
    </row>
    <row r="17" spans="1:17" s="150" customFormat="1" ht="10.8">
      <c r="A17" s="148"/>
      <c r="B17" s="134" t="str">
        <f>_xlfn.IFNA(_xlfn.XLOOKUP(J17,Table1[Property Number],Table1[Qty | PCount]),"-")</f>
        <v>-</v>
      </c>
      <c r="C17" s="196" t="str">
        <f>_xlfn.IFNA(_xlfn.XLOOKUP(J17,Table1[Property Number],Table1[Unit of Measure]),"-")</f>
        <v>-</v>
      </c>
      <c r="D17" s="197"/>
      <c r="E17" s="142" t="str">
        <f>_xlfn.IFNA(_xlfn.XLOOKUP(J17,Table1[Property Number],Table1[Unit Value]),"-")</f>
        <v>-</v>
      </c>
      <c r="F17" s="143">
        <f t="shared" si="0"/>
        <v>0</v>
      </c>
      <c r="G17" s="139"/>
      <c r="H17" s="140"/>
      <c r="I17" s="179" t="str">
        <f>_xlfn.IFNA(CONCATENATE(_xlfn.XLOOKUP(J17,Table1[Property Number], Table1[Full Specifications])," - Acquisition Date: ",TEXT(_xlfn.XLOOKUP(J17,Table1[Property Number], Table1[Date of Acquisition]),"mmmm dd, yyyy")),"-")</f>
        <v>-</v>
      </c>
      <c r="J17" s="141">
        <f t="shared" si="1"/>
        <v>0</v>
      </c>
      <c r="K17" s="135" t="str">
        <f t="shared" si="2"/>
        <v>-</v>
      </c>
      <c r="L17" s="149"/>
      <c r="N17" s="151"/>
      <c r="P17" s="152"/>
      <c r="Q17" s="152"/>
    </row>
    <row r="18" spans="1:17" s="150" customFormat="1" ht="10.8">
      <c r="A18" s="148"/>
      <c r="B18" s="134" t="str">
        <f>_xlfn.IFNA(_xlfn.XLOOKUP(J18,Table1[Property Number],Table1[Qty | PCount]),"-")</f>
        <v>-</v>
      </c>
      <c r="C18" s="196" t="str">
        <f>_xlfn.IFNA(_xlfn.XLOOKUP(J18,Table1[Property Number],Table1[Unit of Measure]),"-")</f>
        <v>-</v>
      </c>
      <c r="D18" s="197"/>
      <c r="E18" s="142" t="str">
        <f>_xlfn.IFNA(_xlfn.XLOOKUP(J18,Table1[Property Number],Table1[Unit Value]),"-")</f>
        <v>-</v>
      </c>
      <c r="F18" s="143">
        <f t="shared" si="0"/>
        <v>0</v>
      </c>
      <c r="G18" s="139"/>
      <c r="H18" s="140"/>
      <c r="I18" s="179" t="str">
        <f>_xlfn.IFNA(CONCATENATE(_xlfn.XLOOKUP(J18,Table1[Property Number], Table1[Full Specifications])," - Acquisition Date: ",TEXT(_xlfn.XLOOKUP(J18,Table1[Property Number], Table1[Date of Acquisition]),"mmmm dd, yyyy")),"-")</f>
        <v>-</v>
      </c>
      <c r="J18" s="141">
        <f t="shared" si="1"/>
        <v>0</v>
      </c>
      <c r="K18" s="135" t="str">
        <f t="shared" si="2"/>
        <v>-</v>
      </c>
      <c r="L18" s="149"/>
      <c r="N18" s="151"/>
      <c r="P18" s="152"/>
      <c r="Q18" s="152"/>
    </row>
    <row r="19" spans="1:17" s="150" customFormat="1" ht="10.8">
      <c r="A19" s="148"/>
      <c r="B19" s="134" t="str">
        <f>_xlfn.IFNA(_xlfn.XLOOKUP(J19,Table1[Property Number],Table1[Qty | PCount]),"-")</f>
        <v>-</v>
      </c>
      <c r="C19" s="196" t="str">
        <f>_xlfn.IFNA(_xlfn.XLOOKUP(J19,Table1[Property Number],Table1[Unit of Measure]),"-")</f>
        <v>-</v>
      </c>
      <c r="D19" s="197"/>
      <c r="E19" s="142" t="str">
        <f>_xlfn.IFNA(_xlfn.XLOOKUP(J19,Table1[Property Number],Table1[Unit Value]),"-")</f>
        <v>-</v>
      </c>
      <c r="F19" s="143">
        <f t="shared" si="0"/>
        <v>0</v>
      </c>
      <c r="G19" s="139"/>
      <c r="H19" s="140"/>
      <c r="I19" s="179" t="str">
        <f>_xlfn.IFNA(CONCATENATE(_xlfn.XLOOKUP(J19,Table1[Property Number], Table1[Full Specifications])," - Acquisition Date: ",TEXT(_xlfn.XLOOKUP(J19,Table1[Property Number], Table1[Date of Acquisition]),"mmmm dd, yyyy")),"-")</f>
        <v>-</v>
      </c>
      <c r="J19" s="141">
        <f t="shared" si="1"/>
        <v>0</v>
      </c>
      <c r="K19" s="135" t="str">
        <f t="shared" si="2"/>
        <v>-</v>
      </c>
      <c r="L19" s="149"/>
      <c r="N19" s="151"/>
      <c r="P19" s="152"/>
      <c r="Q19" s="152"/>
    </row>
    <row r="20" spans="1:17" s="150" customFormat="1" ht="10.8">
      <c r="A20" s="148"/>
      <c r="B20" s="134" t="str">
        <f>_xlfn.IFNA(_xlfn.XLOOKUP(J20,Table1[Property Number],Table1[Qty | PCount]),"-")</f>
        <v>-</v>
      </c>
      <c r="C20" s="196" t="str">
        <f>_xlfn.IFNA(_xlfn.XLOOKUP(J20,Table1[Property Number],Table1[Unit of Measure]),"-")</f>
        <v>-</v>
      </c>
      <c r="D20" s="197"/>
      <c r="E20" s="142" t="str">
        <f>_xlfn.IFNA(_xlfn.XLOOKUP(J20,Table1[Property Number],Table1[Unit Value]),"-")</f>
        <v>-</v>
      </c>
      <c r="F20" s="143">
        <f t="shared" si="0"/>
        <v>0</v>
      </c>
      <c r="G20" s="139"/>
      <c r="H20" s="140"/>
      <c r="I20" s="179" t="str">
        <f>_xlfn.IFNA(CONCATENATE(_xlfn.XLOOKUP(J20,Table1[Property Number], Table1[Full Specifications])," - Acquisition Date: ",TEXT(_xlfn.XLOOKUP(J20,Table1[Property Number], Table1[Date of Acquisition]),"mmmm dd, yyyy")),"-")</f>
        <v>-</v>
      </c>
      <c r="J20" s="141">
        <f t="shared" si="1"/>
        <v>0</v>
      </c>
      <c r="K20" s="135" t="str">
        <f t="shared" si="2"/>
        <v>-</v>
      </c>
      <c r="L20" s="149"/>
      <c r="N20" s="151"/>
      <c r="P20" s="152"/>
      <c r="Q20" s="152"/>
    </row>
    <row r="21" spans="1:17" s="150" customFormat="1" ht="10.8">
      <c r="A21" s="148"/>
      <c r="B21" s="134" t="str">
        <f>_xlfn.IFNA(_xlfn.XLOOKUP(J21,Table1[Property Number],Table1[Qty | PCount]),"-")</f>
        <v>-</v>
      </c>
      <c r="C21" s="196" t="str">
        <f>_xlfn.IFNA(_xlfn.XLOOKUP(J21,Table1[Property Number],Table1[Unit of Measure]),"-")</f>
        <v>-</v>
      </c>
      <c r="D21" s="197"/>
      <c r="E21" s="142" t="str">
        <f>_xlfn.IFNA(_xlfn.XLOOKUP(J21,Table1[Property Number],Table1[Unit Value]),"-")</f>
        <v>-</v>
      </c>
      <c r="F21" s="143">
        <f t="shared" si="0"/>
        <v>0</v>
      </c>
      <c r="G21" s="139"/>
      <c r="H21" s="140"/>
      <c r="I21" s="179" t="str">
        <f>_xlfn.IFNA(CONCATENATE(_xlfn.XLOOKUP(J21,Table1[Property Number], Table1[Full Specifications])," - Acquisition Date: ",TEXT(_xlfn.XLOOKUP(J21,Table1[Property Number], Table1[Date of Acquisition]),"mmmm dd, yyyy")),"-")</f>
        <v>-</v>
      </c>
      <c r="J21" s="141">
        <f t="shared" si="1"/>
        <v>0</v>
      </c>
      <c r="K21" s="135" t="str">
        <f t="shared" si="2"/>
        <v>-</v>
      </c>
      <c r="L21" s="149"/>
      <c r="N21" s="151"/>
      <c r="P21" s="152"/>
      <c r="Q21" s="152"/>
    </row>
    <row r="22" spans="1:17" s="150" customFormat="1" ht="10.8">
      <c r="A22" s="148"/>
      <c r="B22" s="134"/>
      <c r="C22" s="176"/>
      <c r="D22" s="134"/>
      <c r="E22" s="142"/>
      <c r="F22" s="143"/>
      <c r="G22" s="139"/>
      <c r="H22" s="140"/>
      <c r="I22" s="179"/>
      <c r="J22" s="141"/>
      <c r="K22" s="135"/>
      <c r="L22" s="149"/>
      <c r="N22" s="151"/>
      <c r="P22" s="152"/>
      <c r="Q22" s="152"/>
    </row>
    <row r="23" spans="1:17" s="150" customFormat="1" ht="10.8">
      <c r="A23" s="148"/>
      <c r="B23" s="134"/>
      <c r="C23" s="176"/>
      <c r="D23" s="134"/>
      <c r="E23" s="142"/>
      <c r="F23" s="143"/>
      <c r="G23" s="139"/>
      <c r="H23" s="140"/>
      <c r="I23" s="179"/>
      <c r="J23" s="141"/>
      <c r="K23" s="135"/>
      <c r="L23" s="149"/>
      <c r="N23" s="151"/>
      <c r="P23" s="152"/>
      <c r="Q23" s="152"/>
    </row>
    <row r="24" spans="1:17" s="150" customFormat="1" ht="10.8">
      <c r="A24" s="148"/>
      <c r="B24" s="134"/>
      <c r="C24" s="176"/>
      <c r="D24" s="134"/>
      <c r="E24" s="142"/>
      <c r="F24" s="143"/>
      <c r="G24" s="139"/>
      <c r="H24" s="140"/>
      <c r="I24" s="179"/>
      <c r="J24" s="141"/>
      <c r="K24" s="135"/>
      <c r="L24" s="149"/>
      <c r="N24" s="151"/>
      <c r="P24" s="152"/>
      <c r="Q24" s="152"/>
    </row>
    <row r="25" spans="1:17" s="150" customFormat="1" ht="10.8">
      <c r="A25" s="148"/>
      <c r="B25" s="134"/>
      <c r="C25" s="176"/>
      <c r="D25" s="134"/>
      <c r="E25" s="142"/>
      <c r="F25" s="143"/>
      <c r="G25" s="139"/>
      <c r="H25" s="140"/>
      <c r="I25" s="179"/>
      <c r="J25" s="141"/>
      <c r="K25" s="135"/>
      <c r="L25" s="149"/>
      <c r="N25" s="151"/>
      <c r="P25" s="152"/>
      <c r="Q25" s="152"/>
    </row>
    <row r="26" spans="1:17" s="150" customFormat="1" ht="10.8">
      <c r="A26" s="148"/>
      <c r="B26" s="134"/>
      <c r="C26" s="176"/>
      <c r="D26" s="134"/>
      <c r="E26" s="142"/>
      <c r="F26" s="143"/>
      <c r="G26" s="139"/>
      <c r="H26" s="140"/>
      <c r="I26" s="179"/>
      <c r="J26" s="141"/>
      <c r="K26" s="135"/>
      <c r="L26" s="149"/>
      <c r="N26" s="151"/>
      <c r="P26" s="152"/>
      <c r="Q26" s="152"/>
    </row>
    <row r="27" spans="1:17" s="150" customFormat="1" ht="10.8">
      <c r="A27" s="148"/>
      <c r="B27" s="134"/>
      <c r="C27" s="176"/>
      <c r="D27" s="134"/>
      <c r="E27" s="142"/>
      <c r="F27" s="143"/>
      <c r="G27" s="139"/>
      <c r="H27" s="140"/>
      <c r="I27" s="179"/>
      <c r="J27" s="141"/>
      <c r="K27" s="135"/>
      <c r="L27" s="149"/>
      <c r="N27" s="151"/>
      <c r="P27" s="152"/>
      <c r="Q27" s="152"/>
    </row>
    <row r="28" spans="1:17" s="150" customFormat="1" ht="10.8">
      <c r="A28" s="148"/>
      <c r="B28" s="134"/>
      <c r="C28" s="176"/>
      <c r="D28" s="134"/>
      <c r="E28" s="142"/>
      <c r="F28" s="143"/>
      <c r="G28" s="139"/>
      <c r="H28" s="140"/>
      <c r="I28" s="179"/>
      <c r="J28" s="141"/>
      <c r="K28" s="135"/>
      <c r="L28" s="149"/>
      <c r="N28" s="151"/>
      <c r="P28" s="152"/>
      <c r="Q28" s="152"/>
    </row>
    <row r="29" spans="1:17" s="150" customFormat="1" ht="10.8">
      <c r="A29" s="148"/>
      <c r="B29" s="134"/>
      <c r="C29" s="176"/>
      <c r="D29" s="134"/>
      <c r="E29" s="142"/>
      <c r="F29" s="143"/>
      <c r="G29" s="139"/>
      <c r="H29" s="140"/>
      <c r="I29" s="179"/>
      <c r="J29" s="141"/>
      <c r="K29" s="135"/>
      <c r="L29" s="149"/>
      <c r="N29" s="151"/>
      <c r="P29" s="152"/>
      <c r="Q29" s="152"/>
    </row>
    <row r="30" spans="1:17" s="150" customFormat="1" ht="10.8">
      <c r="A30" s="148"/>
      <c r="B30" s="134"/>
      <c r="C30" s="176"/>
      <c r="D30" s="134"/>
      <c r="E30" s="142"/>
      <c r="F30" s="143"/>
      <c r="G30" s="139"/>
      <c r="H30" s="140"/>
      <c r="I30" s="179"/>
      <c r="J30" s="141"/>
      <c r="K30" s="135"/>
      <c r="L30" s="149"/>
      <c r="N30" s="151"/>
      <c r="P30" s="152"/>
      <c r="Q30" s="152"/>
    </row>
    <row r="31" spans="1:17" s="150" customFormat="1" ht="10.8">
      <c r="A31" s="148"/>
      <c r="B31" s="134"/>
      <c r="C31" s="176"/>
      <c r="D31" s="134"/>
      <c r="E31" s="142"/>
      <c r="F31" s="143"/>
      <c r="G31" s="139"/>
      <c r="H31" s="140"/>
      <c r="I31" s="179"/>
      <c r="J31" s="141"/>
      <c r="K31" s="135"/>
      <c r="L31" s="149"/>
      <c r="N31" s="151"/>
      <c r="P31" s="152"/>
      <c r="Q31" s="152"/>
    </row>
    <row r="32" spans="1:17" s="150" customFormat="1" ht="10.8">
      <c r="A32" s="148"/>
      <c r="B32" s="134"/>
      <c r="C32" s="176"/>
      <c r="D32" s="134"/>
      <c r="E32" s="142"/>
      <c r="F32" s="143"/>
      <c r="G32" s="139"/>
      <c r="H32" s="140"/>
      <c r="I32" s="179"/>
      <c r="J32" s="141"/>
      <c r="K32" s="135"/>
      <c r="L32" s="149"/>
      <c r="N32" s="151"/>
      <c r="P32" s="152"/>
      <c r="Q32" s="152"/>
    </row>
    <row r="33" spans="1:17" s="150" customFormat="1" ht="10.8">
      <c r="A33" s="148"/>
      <c r="B33" s="134"/>
      <c r="C33" s="176"/>
      <c r="D33" s="134"/>
      <c r="E33" s="142"/>
      <c r="F33" s="143"/>
      <c r="G33" s="139"/>
      <c r="H33" s="140"/>
      <c r="I33" s="179"/>
      <c r="J33" s="141"/>
      <c r="K33" s="135"/>
      <c r="L33" s="149"/>
      <c r="N33" s="151"/>
      <c r="P33" s="152"/>
      <c r="Q33" s="152"/>
    </row>
    <row r="34" spans="1:17" s="150" customFormat="1" ht="10.8">
      <c r="A34" s="148"/>
      <c r="B34" s="134"/>
      <c r="C34" s="176"/>
      <c r="D34" s="134"/>
      <c r="E34" s="142"/>
      <c r="F34" s="143"/>
      <c r="G34" s="139"/>
      <c r="H34" s="140"/>
      <c r="I34" s="179"/>
      <c r="J34" s="141"/>
      <c r="K34" s="135"/>
      <c r="L34" s="149"/>
      <c r="N34" s="151"/>
      <c r="P34" s="152"/>
      <c r="Q34" s="152"/>
    </row>
    <row r="35" spans="1:17" s="150" customFormat="1" ht="10.8">
      <c r="A35" s="148"/>
      <c r="B35" s="134"/>
      <c r="C35" s="176"/>
      <c r="D35" s="134"/>
      <c r="E35" s="142"/>
      <c r="F35" s="143"/>
      <c r="G35" s="139"/>
      <c r="H35" s="140"/>
      <c r="I35" s="179"/>
      <c r="J35" s="141"/>
      <c r="K35" s="135"/>
      <c r="L35" s="149"/>
      <c r="N35" s="151"/>
      <c r="P35" s="152"/>
      <c r="Q35" s="152"/>
    </row>
    <row r="36" spans="1:17" s="150" customFormat="1" ht="10.8">
      <c r="A36" s="148"/>
      <c r="B36" s="134"/>
      <c r="C36" s="176"/>
      <c r="D36" s="134"/>
      <c r="E36" s="142"/>
      <c r="F36" s="143"/>
      <c r="G36" s="139"/>
      <c r="H36" s="140"/>
      <c r="I36" s="179"/>
      <c r="J36" s="141"/>
      <c r="K36" s="135"/>
      <c r="L36" s="149"/>
      <c r="N36" s="151"/>
      <c r="P36" s="152"/>
      <c r="Q36" s="152"/>
    </row>
    <row r="37" spans="1:17" s="150" customFormat="1" ht="10.8">
      <c r="A37" s="148"/>
      <c r="B37" s="134"/>
      <c r="C37" s="176"/>
      <c r="D37" s="134"/>
      <c r="E37" s="142"/>
      <c r="F37" s="143"/>
      <c r="G37" s="139"/>
      <c r="H37" s="140"/>
      <c r="I37" s="179"/>
      <c r="J37" s="141"/>
      <c r="K37" s="135"/>
      <c r="L37" s="149"/>
      <c r="N37" s="151"/>
      <c r="P37" s="152"/>
      <c r="Q37" s="152"/>
    </row>
    <row r="38" spans="1:17" s="150" customFormat="1" ht="10.8">
      <c r="A38" s="148"/>
      <c r="B38" s="134"/>
      <c r="C38" s="176"/>
      <c r="D38" s="134"/>
      <c r="E38" s="142"/>
      <c r="F38" s="143"/>
      <c r="G38" s="139"/>
      <c r="H38" s="140"/>
      <c r="I38" s="179"/>
      <c r="J38" s="141"/>
      <c r="K38" s="135"/>
      <c r="L38" s="149"/>
      <c r="N38" s="151"/>
      <c r="P38" s="152"/>
      <c r="Q38" s="152"/>
    </row>
    <row r="39" spans="1:17" s="150" customFormat="1" ht="10.8">
      <c r="A39" s="148"/>
      <c r="B39" s="134"/>
      <c r="C39" s="176"/>
      <c r="D39" s="134"/>
      <c r="E39" s="142"/>
      <c r="F39" s="143"/>
      <c r="G39" s="139"/>
      <c r="H39" s="140"/>
      <c r="I39" s="179"/>
      <c r="J39" s="141"/>
      <c r="K39" s="135"/>
      <c r="L39" s="149"/>
      <c r="N39" s="151"/>
      <c r="P39" s="152"/>
      <c r="Q39" s="152"/>
    </row>
    <row r="40" spans="1:17" s="150" customFormat="1" ht="10.8">
      <c r="A40" s="148"/>
      <c r="B40" s="134"/>
      <c r="C40" s="176"/>
      <c r="D40" s="134"/>
      <c r="E40" s="142"/>
      <c r="F40" s="143"/>
      <c r="G40" s="139"/>
      <c r="H40" s="140"/>
      <c r="I40" s="179"/>
      <c r="J40" s="141"/>
      <c r="K40" s="135"/>
      <c r="L40" s="149"/>
      <c r="N40" s="151"/>
      <c r="P40" s="152"/>
      <c r="Q40" s="152"/>
    </row>
    <row r="41" spans="1:17" s="150" customFormat="1" ht="10.8">
      <c r="A41" s="148"/>
      <c r="B41" s="134"/>
      <c r="C41" s="176"/>
      <c r="D41" s="134"/>
      <c r="E41" s="142"/>
      <c r="F41" s="143"/>
      <c r="G41" s="139"/>
      <c r="H41" s="140"/>
      <c r="I41" s="179"/>
      <c r="J41" s="141"/>
      <c r="K41" s="135"/>
      <c r="L41" s="149"/>
      <c r="N41" s="151"/>
      <c r="P41" s="152"/>
      <c r="Q41" s="152"/>
    </row>
    <row r="42" spans="1:17" s="150" customFormat="1" ht="10.8">
      <c r="A42" s="148"/>
      <c r="B42" s="134"/>
      <c r="C42" s="176"/>
      <c r="D42" s="134"/>
      <c r="E42" s="142"/>
      <c r="F42" s="143"/>
      <c r="G42" s="139"/>
      <c r="H42" s="140"/>
      <c r="I42" s="179"/>
      <c r="J42" s="141"/>
      <c r="K42" s="135"/>
      <c r="L42" s="149"/>
      <c r="N42" s="151"/>
      <c r="P42" s="152"/>
      <c r="Q42" s="152"/>
    </row>
    <row r="43" spans="1:17" s="150" customFormat="1" ht="10.8">
      <c r="A43" s="148"/>
      <c r="B43" s="134"/>
      <c r="C43" s="176"/>
      <c r="D43" s="134"/>
      <c r="E43" s="142"/>
      <c r="F43" s="143"/>
      <c r="G43" s="139"/>
      <c r="H43" s="140"/>
      <c r="I43" s="179"/>
      <c r="J43" s="141"/>
      <c r="K43" s="135"/>
      <c r="L43" s="149"/>
      <c r="N43" s="151"/>
      <c r="P43" s="152"/>
      <c r="Q43" s="152"/>
    </row>
    <row r="44" spans="1:17" s="150" customFormat="1" ht="10.8">
      <c r="A44" s="148"/>
      <c r="B44" s="134"/>
      <c r="C44" s="176"/>
      <c r="D44" s="134"/>
      <c r="E44" s="142"/>
      <c r="F44" s="143"/>
      <c r="G44" s="139"/>
      <c r="H44" s="140"/>
      <c r="I44" s="179"/>
      <c r="J44" s="141"/>
      <c r="K44" s="135"/>
      <c r="L44" s="149"/>
      <c r="N44" s="151"/>
      <c r="P44" s="152"/>
      <c r="Q44" s="152"/>
    </row>
    <row r="45" spans="1:17" s="150" customFormat="1" ht="10.8">
      <c r="A45" s="148"/>
      <c r="B45" s="134"/>
      <c r="C45" s="176"/>
      <c r="D45" s="134"/>
      <c r="E45" s="142"/>
      <c r="F45" s="143"/>
      <c r="G45" s="139"/>
      <c r="H45" s="140"/>
      <c r="I45" s="179"/>
      <c r="J45" s="141"/>
      <c r="K45" s="135"/>
      <c r="L45" s="149"/>
      <c r="N45" s="151"/>
      <c r="P45" s="152"/>
      <c r="Q45" s="152"/>
    </row>
    <row r="46" spans="1:17" s="150" customFormat="1" ht="10.8">
      <c r="A46" s="148"/>
      <c r="B46" s="134"/>
      <c r="C46" s="176"/>
      <c r="D46" s="134"/>
      <c r="E46" s="142"/>
      <c r="F46" s="143"/>
      <c r="G46" s="139"/>
      <c r="H46" s="140"/>
      <c r="I46" s="179"/>
      <c r="J46" s="141"/>
      <c r="K46" s="135"/>
      <c r="L46" s="149"/>
      <c r="N46" s="151"/>
      <c r="P46" s="152"/>
      <c r="Q46" s="152"/>
    </row>
    <row r="47" spans="1:17" s="150" customFormat="1" ht="10.8">
      <c r="A47" s="148"/>
      <c r="B47" s="134"/>
      <c r="C47" s="176"/>
      <c r="D47" s="134"/>
      <c r="E47" s="142"/>
      <c r="F47" s="143"/>
      <c r="G47" s="139"/>
      <c r="H47" s="140"/>
      <c r="I47" s="179"/>
      <c r="J47" s="141"/>
      <c r="K47" s="135"/>
      <c r="L47" s="149"/>
      <c r="N47" s="151"/>
      <c r="P47" s="152"/>
      <c r="Q47" s="152"/>
    </row>
    <row r="48" spans="1:17" s="150" customFormat="1" ht="10.8">
      <c r="A48" s="148"/>
      <c r="B48" s="134"/>
      <c r="C48" s="176"/>
      <c r="D48" s="134"/>
      <c r="E48" s="142"/>
      <c r="F48" s="143"/>
      <c r="G48" s="139"/>
      <c r="H48" s="140"/>
      <c r="I48" s="179"/>
      <c r="J48" s="141"/>
      <c r="K48" s="135"/>
      <c r="L48" s="149"/>
      <c r="N48" s="151"/>
      <c r="P48" s="152"/>
      <c r="Q48" s="152"/>
    </row>
    <row r="49" spans="1:17" s="150" customFormat="1" ht="10.8">
      <c r="A49" s="148"/>
      <c r="B49" s="134"/>
      <c r="C49" s="176"/>
      <c r="D49" s="134"/>
      <c r="E49" s="142"/>
      <c r="F49" s="143"/>
      <c r="G49" s="139"/>
      <c r="H49" s="140"/>
      <c r="I49" s="179"/>
      <c r="J49" s="141"/>
      <c r="K49" s="135"/>
      <c r="L49" s="149"/>
      <c r="N49" s="151"/>
      <c r="P49" s="152"/>
      <c r="Q49" s="152"/>
    </row>
    <row r="50" spans="1:17" s="150" customFormat="1" ht="10.8">
      <c r="A50" s="148"/>
      <c r="B50" s="134"/>
      <c r="C50" s="176"/>
      <c r="D50" s="134"/>
      <c r="E50" s="142"/>
      <c r="F50" s="143"/>
      <c r="G50" s="139"/>
      <c r="H50" s="140"/>
      <c r="I50" s="179"/>
      <c r="J50" s="141"/>
      <c r="K50" s="135"/>
      <c r="L50" s="149"/>
      <c r="N50" s="151"/>
      <c r="P50" s="152"/>
      <c r="Q50" s="152"/>
    </row>
    <row r="51" spans="1:17" s="150" customFormat="1" ht="10.8">
      <c r="A51" s="148"/>
      <c r="B51" s="134"/>
      <c r="C51" s="176"/>
      <c r="D51" s="134"/>
      <c r="E51" s="142"/>
      <c r="F51" s="143"/>
      <c r="G51" s="139"/>
      <c r="H51" s="140"/>
      <c r="I51" s="179"/>
      <c r="J51" s="141"/>
      <c r="K51" s="135"/>
      <c r="L51" s="149"/>
      <c r="N51" s="151"/>
      <c r="P51" s="152"/>
      <c r="Q51" s="152"/>
    </row>
    <row r="52" spans="1:17" s="150" customFormat="1" ht="10.8" hidden="1">
      <c r="A52" s="148"/>
      <c r="B52" s="134"/>
      <c r="C52" s="176"/>
      <c r="D52" s="134"/>
      <c r="E52" s="142"/>
      <c r="F52" s="143"/>
      <c r="G52" s="139"/>
      <c r="H52" s="140"/>
      <c r="I52" s="179"/>
      <c r="J52" s="141"/>
      <c r="K52" s="135"/>
      <c r="L52" s="149"/>
      <c r="N52" s="151"/>
      <c r="P52" s="152"/>
      <c r="Q52" s="152"/>
    </row>
    <row r="53" spans="1:17" s="150" customFormat="1" ht="10.8" hidden="1">
      <c r="A53" s="148"/>
      <c r="B53" s="134"/>
      <c r="C53" s="176"/>
      <c r="D53" s="134"/>
      <c r="E53" s="142"/>
      <c r="F53" s="143"/>
      <c r="G53" s="139"/>
      <c r="H53" s="140"/>
      <c r="I53" s="179"/>
      <c r="J53" s="141"/>
      <c r="K53" s="135"/>
      <c r="L53" s="149"/>
      <c r="N53" s="151"/>
      <c r="P53" s="152"/>
      <c r="Q53" s="152"/>
    </row>
    <row r="54" spans="1:17" s="150" customFormat="1" ht="10.8" hidden="1">
      <c r="A54" s="148"/>
      <c r="B54" s="134"/>
      <c r="C54" s="176"/>
      <c r="D54" s="134"/>
      <c r="E54" s="142"/>
      <c r="F54" s="143"/>
      <c r="G54" s="139"/>
      <c r="H54" s="140"/>
      <c r="I54" s="179"/>
      <c r="J54" s="141"/>
      <c r="K54" s="135"/>
      <c r="L54" s="149"/>
      <c r="N54" s="151"/>
      <c r="P54" s="152"/>
      <c r="Q54" s="152"/>
    </row>
    <row r="55" spans="1:17" s="150" customFormat="1" ht="10.8" hidden="1">
      <c r="A55" s="148"/>
      <c r="B55" s="134"/>
      <c r="C55" s="176"/>
      <c r="D55" s="134"/>
      <c r="E55" s="142"/>
      <c r="F55" s="143"/>
      <c r="G55" s="139"/>
      <c r="H55" s="140"/>
      <c r="I55" s="179"/>
      <c r="J55" s="141"/>
      <c r="K55" s="135"/>
      <c r="L55" s="149"/>
      <c r="N55" s="151"/>
      <c r="P55" s="152"/>
      <c r="Q55" s="152"/>
    </row>
    <row r="56" spans="1:17" s="150" customFormat="1" ht="10.8" hidden="1">
      <c r="A56" s="148"/>
      <c r="B56" s="134"/>
      <c r="C56" s="176"/>
      <c r="D56" s="134"/>
      <c r="E56" s="142"/>
      <c r="F56" s="143"/>
      <c r="G56" s="139"/>
      <c r="H56" s="140"/>
      <c r="I56" s="179"/>
      <c r="J56" s="141"/>
      <c r="K56" s="135"/>
      <c r="L56" s="149"/>
      <c r="N56" s="151"/>
      <c r="P56" s="152"/>
      <c r="Q56" s="152"/>
    </row>
    <row r="57" spans="1:17" s="150" customFormat="1" ht="10.8" hidden="1">
      <c r="A57" s="148"/>
      <c r="B57" s="134"/>
      <c r="C57" s="176"/>
      <c r="D57" s="134"/>
      <c r="E57" s="142"/>
      <c r="F57" s="143"/>
      <c r="G57" s="139"/>
      <c r="H57" s="140"/>
      <c r="I57" s="179"/>
      <c r="J57" s="141"/>
      <c r="K57" s="135"/>
      <c r="L57" s="149"/>
      <c r="N57" s="151"/>
      <c r="P57" s="152"/>
      <c r="Q57" s="152"/>
    </row>
    <row r="58" spans="1:17" s="150" customFormat="1" ht="10.8" hidden="1">
      <c r="A58" s="148"/>
      <c r="B58" s="134"/>
      <c r="C58" s="176"/>
      <c r="D58" s="134"/>
      <c r="E58" s="142"/>
      <c r="F58" s="143"/>
      <c r="G58" s="139"/>
      <c r="H58" s="140"/>
      <c r="I58" s="179"/>
      <c r="J58" s="141"/>
      <c r="K58" s="135"/>
      <c r="L58" s="149"/>
      <c r="N58" s="151"/>
      <c r="P58" s="152"/>
      <c r="Q58" s="152"/>
    </row>
    <row r="59" spans="1:17" s="150" customFormat="1" ht="10.8" hidden="1">
      <c r="A59" s="148"/>
      <c r="B59" s="134"/>
      <c r="C59" s="176"/>
      <c r="D59" s="134"/>
      <c r="E59" s="142"/>
      <c r="F59" s="143"/>
      <c r="G59" s="139"/>
      <c r="H59" s="140"/>
      <c r="I59" s="179"/>
      <c r="J59" s="141"/>
      <c r="K59" s="135"/>
      <c r="L59" s="149"/>
      <c r="N59" s="151"/>
      <c r="P59" s="152"/>
      <c r="Q59" s="152"/>
    </row>
    <row r="60" spans="1:17" s="150" customFormat="1" ht="10.8" hidden="1">
      <c r="A60" s="148"/>
      <c r="B60" s="134"/>
      <c r="C60" s="176"/>
      <c r="D60" s="134"/>
      <c r="E60" s="142"/>
      <c r="F60" s="143"/>
      <c r="G60" s="139"/>
      <c r="H60" s="140"/>
      <c r="I60" s="179"/>
      <c r="J60" s="141"/>
      <c r="K60" s="135"/>
      <c r="L60" s="149"/>
      <c r="N60" s="151"/>
      <c r="P60" s="152"/>
      <c r="Q60" s="152"/>
    </row>
    <row r="61" spans="1:17" s="150" customFormat="1" ht="10.8" hidden="1">
      <c r="A61" s="148"/>
      <c r="B61" s="134"/>
      <c r="C61" s="176"/>
      <c r="D61" s="134"/>
      <c r="E61" s="142"/>
      <c r="F61" s="143"/>
      <c r="G61" s="139"/>
      <c r="H61" s="140"/>
      <c r="I61" s="179"/>
      <c r="J61" s="141"/>
      <c r="K61" s="135"/>
      <c r="L61" s="149"/>
      <c r="N61" s="151"/>
      <c r="P61" s="152"/>
      <c r="Q61" s="152"/>
    </row>
    <row r="62" spans="1:17" s="150" customFormat="1" ht="10.8" hidden="1">
      <c r="A62" s="148"/>
      <c r="B62" s="134"/>
      <c r="C62" s="176"/>
      <c r="D62" s="134"/>
      <c r="E62" s="142"/>
      <c r="F62" s="143"/>
      <c r="G62" s="139"/>
      <c r="H62" s="140"/>
      <c r="I62" s="179"/>
      <c r="J62" s="141"/>
      <c r="K62" s="135"/>
      <c r="L62" s="149"/>
      <c r="N62" s="151"/>
      <c r="P62" s="152"/>
      <c r="Q62" s="152"/>
    </row>
    <row r="63" spans="1:17" s="150" customFormat="1" ht="10.8" hidden="1">
      <c r="A63" s="148"/>
      <c r="B63" s="134"/>
      <c r="C63" s="176"/>
      <c r="D63" s="134"/>
      <c r="E63" s="142"/>
      <c r="F63" s="143"/>
      <c r="G63" s="139"/>
      <c r="H63" s="140"/>
      <c r="I63" s="179"/>
      <c r="J63" s="141"/>
      <c r="K63" s="135"/>
      <c r="L63" s="149"/>
      <c r="N63" s="151"/>
      <c r="P63" s="152"/>
      <c r="Q63" s="152"/>
    </row>
    <row r="64" spans="1:17" s="150" customFormat="1" ht="10.8" hidden="1">
      <c r="A64" s="148"/>
      <c r="B64" s="134"/>
      <c r="C64" s="176"/>
      <c r="D64" s="134"/>
      <c r="E64" s="142"/>
      <c r="F64" s="143"/>
      <c r="G64" s="139"/>
      <c r="H64" s="140"/>
      <c r="I64" s="179"/>
      <c r="J64" s="141"/>
      <c r="K64" s="135"/>
      <c r="L64" s="149"/>
      <c r="N64" s="151"/>
      <c r="P64" s="152"/>
      <c r="Q64" s="152"/>
    </row>
    <row r="65" spans="1:17" s="150" customFormat="1" ht="10.8" hidden="1">
      <c r="A65" s="148"/>
      <c r="B65" s="134"/>
      <c r="C65" s="176"/>
      <c r="D65" s="134"/>
      <c r="E65" s="142"/>
      <c r="F65" s="143"/>
      <c r="G65" s="139"/>
      <c r="H65" s="140"/>
      <c r="I65" s="179"/>
      <c r="J65" s="141"/>
      <c r="K65" s="135"/>
      <c r="L65" s="149"/>
      <c r="N65" s="151"/>
      <c r="P65" s="152"/>
      <c r="Q65" s="152"/>
    </row>
    <row r="66" spans="1:17" s="150" customFormat="1" ht="10.8" hidden="1">
      <c r="A66" s="148"/>
      <c r="B66" s="134"/>
      <c r="C66" s="176"/>
      <c r="D66" s="134"/>
      <c r="E66" s="142"/>
      <c r="F66" s="143"/>
      <c r="G66" s="139"/>
      <c r="H66" s="140"/>
      <c r="I66" s="179"/>
      <c r="J66" s="141"/>
      <c r="K66" s="135"/>
      <c r="L66" s="149"/>
      <c r="N66" s="151"/>
      <c r="P66" s="152"/>
      <c r="Q66" s="152"/>
    </row>
    <row r="67" spans="1:17" s="150" customFormat="1" ht="10.8" hidden="1">
      <c r="A67" s="148"/>
      <c r="B67" s="134"/>
      <c r="C67" s="176"/>
      <c r="D67" s="134"/>
      <c r="E67" s="142"/>
      <c r="F67" s="143"/>
      <c r="G67" s="139"/>
      <c r="H67" s="140"/>
      <c r="I67" s="179"/>
      <c r="J67" s="141"/>
      <c r="K67" s="135"/>
      <c r="L67" s="149"/>
      <c r="N67" s="151"/>
      <c r="P67" s="152"/>
      <c r="Q67" s="152"/>
    </row>
    <row r="68" spans="1:17" s="150" customFormat="1" ht="10.8" hidden="1">
      <c r="A68" s="148"/>
      <c r="B68" s="134"/>
      <c r="C68" s="176"/>
      <c r="D68" s="134"/>
      <c r="E68" s="142"/>
      <c r="F68" s="143"/>
      <c r="G68" s="139"/>
      <c r="H68" s="140"/>
      <c r="I68" s="179"/>
      <c r="J68" s="141"/>
      <c r="K68" s="135"/>
      <c r="L68" s="149"/>
      <c r="N68" s="151"/>
      <c r="P68" s="152"/>
      <c r="Q68" s="152"/>
    </row>
    <row r="69" spans="1:17" s="150" customFormat="1" ht="10.8" hidden="1">
      <c r="A69" s="148"/>
      <c r="B69" s="134"/>
      <c r="C69" s="176"/>
      <c r="D69" s="134"/>
      <c r="E69" s="142"/>
      <c r="F69" s="143"/>
      <c r="G69" s="139"/>
      <c r="H69" s="140"/>
      <c r="I69" s="179"/>
      <c r="J69" s="141"/>
      <c r="K69" s="135"/>
      <c r="L69" s="149"/>
      <c r="N69" s="151"/>
      <c r="P69" s="152"/>
      <c r="Q69" s="152"/>
    </row>
    <row r="70" spans="1:17" s="150" customFormat="1" ht="10.8" hidden="1">
      <c r="A70" s="148"/>
      <c r="B70" s="134"/>
      <c r="C70" s="176"/>
      <c r="D70" s="134"/>
      <c r="E70" s="142"/>
      <c r="F70" s="143"/>
      <c r="G70" s="139"/>
      <c r="H70" s="140"/>
      <c r="I70" s="179"/>
      <c r="J70" s="141"/>
      <c r="K70" s="135"/>
      <c r="L70" s="149"/>
      <c r="N70" s="151"/>
      <c r="P70" s="152"/>
      <c r="Q70" s="152"/>
    </row>
    <row r="71" spans="1:17" s="150" customFormat="1" ht="10.8" hidden="1">
      <c r="A71" s="148"/>
      <c r="B71" s="134"/>
      <c r="C71" s="176"/>
      <c r="D71" s="134"/>
      <c r="E71" s="142"/>
      <c r="F71" s="143"/>
      <c r="G71" s="139"/>
      <c r="H71" s="140"/>
      <c r="I71" s="179"/>
      <c r="J71" s="141"/>
      <c r="K71" s="135"/>
      <c r="L71" s="149"/>
      <c r="N71" s="151"/>
      <c r="P71" s="152"/>
      <c r="Q71" s="152"/>
    </row>
    <row r="72" spans="1:17" s="150" customFormat="1" ht="10.8" hidden="1">
      <c r="A72" s="148"/>
      <c r="B72" s="134"/>
      <c r="C72" s="176"/>
      <c r="D72" s="134"/>
      <c r="E72" s="142"/>
      <c r="F72" s="143"/>
      <c r="G72" s="139"/>
      <c r="H72" s="140"/>
      <c r="I72" s="179"/>
      <c r="J72" s="141"/>
      <c r="K72" s="135"/>
      <c r="L72" s="149"/>
      <c r="N72" s="151"/>
      <c r="P72" s="152"/>
      <c r="Q72" s="152"/>
    </row>
    <row r="73" spans="1:17" s="150" customFormat="1" ht="10.8" hidden="1">
      <c r="A73" s="148"/>
      <c r="B73" s="134"/>
      <c r="C73" s="176"/>
      <c r="D73" s="134"/>
      <c r="E73" s="142"/>
      <c r="F73" s="143"/>
      <c r="G73" s="139"/>
      <c r="H73" s="140"/>
      <c r="I73" s="179"/>
      <c r="J73" s="141"/>
      <c r="K73" s="135"/>
      <c r="L73" s="149"/>
      <c r="N73" s="151"/>
      <c r="P73" s="152"/>
      <c r="Q73" s="152"/>
    </row>
    <row r="74" spans="1:17" s="150" customFormat="1" ht="10.8" hidden="1">
      <c r="A74" s="148"/>
      <c r="B74" s="134"/>
      <c r="C74" s="176"/>
      <c r="D74" s="134"/>
      <c r="E74" s="142"/>
      <c r="F74" s="143"/>
      <c r="G74" s="139"/>
      <c r="H74" s="140"/>
      <c r="I74" s="179"/>
      <c r="J74" s="141"/>
      <c r="K74" s="135"/>
      <c r="L74" s="149"/>
      <c r="N74" s="151"/>
      <c r="P74" s="152"/>
      <c r="Q74" s="152"/>
    </row>
    <row r="75" spans="1:17" s="150" customFormat="1" ht="10.8" hidden="1">
      <c r="A75" s="148"/>
      <c r="B75" s="134"/>
      <c r="C75" s="176"/>
      <c r="D75" s="134"/>
      <c r="E75" s="142"/>
      <c r="F75" s="143"/>
      <c r="G75" s="139"/>
      <c r="H75" s="140"/>
      <c r="I75" s="179"/>
      <c r="J75" s="141"/>
      <c r="K75" s="135"/>
      <c r="L75" s="149"/>
      <c r="N75" s="151"/>
      <c r="P75" s="152"/>
      <c r="Q75" s="152"/>
    </row>
    <row r="76" spans="1:17" s="150" customFormat="1" ht="10.8" hidden="1">
      <c r="A76" s="148"/>
      <c r="B76" s="134"/>
      <c r="C76" s="176"/>
      <c r="D76" s="134"/>
      <c r="E76" s="142"/>
      <c r="F76" s="143"/>
      <c r="G76" s="139"/>
      <c r="H76" s="140"/>
      <c r="I76" s="179"/>
      <c r="J76" s="141"/>
      <c r="K76" s="135"/>
      <c r="L76" s="149"/>
      <c r="N76" s="151"/>
      <c r="P76" s="152"/>
      <c r="Q76" s="152"/>
    </row>
    <row r="77" spans="1:17" s="150" customFormat="1" ht="10.8" hidden="1">
      <c r="A77" s="148"/>
      <c r="B77" s="134"/>
      <c r="C77" s="176"/>
      <c r="D77" s="134"/>
      <c r="E77" s="142"/>
      <c r="F77" s="143"/>
      <c r="G77" s="139"/>
      <c r="H77" s="140"/>
      <c r="I77" s="179"/>
      <c r="J77" s="141"/>
      <c r="K77" s="135"/>
      <c r="L77" s="149"/>
      <c r="N77" s="151"/>
      <c r="P77" s="152"/>
      <c r="Q77" s="152"/>
    </row>
    <row r="78" spans="1:17" s="150" customFormat="1" ht="10.8" hidden="1">
      <c r="A78" s="148"/>
      <c r="B78" s="134"/>
      <c r="C78" s="176"/>
      <c r="D78" s="134"/>
      <c r="E78" s="142"/>
      <c r="F78" s="143"/>
      <c r="G78" s="139"/>
      <c r="H78" s="140"/>
      <c r="I78" s="179"/>
      <c r="J78" s="141"/>
      <c r="K78" s="135"/>
      <c r="L78" s="149"/>
      <c r="N78" s="151"/>
      <c r="P78" s="152"/>
      <c r="Q78" s="152"/>
    </row>
    <row r="79" spans="1:17" s="150" customFormat="1" ht="10.8" hidden="1">
      <c r="A79" s="148"/>
      <c r="B79" s="134"/>
      <c r="C79" s="176"/>
      <c r="D79" s="134"/>
      <c r="E79" s="142"/>
      <c r="F79" s="143"/>
      <c r="G79" s="139"/>
      <c r="H79" s="140"/>
      <c r="I79" s="179"/>
      <c r="J79" s="141"/>
      <c r="K79" s="135"/>
      <c r="L79" s="149"/>
      <c r="N79" s="151"/>
      <c r="P79" s="152"/>
      <c r="Q79" s="152"/>
    </row>
    <row r="80" spans="1:17" s="150" customFormat="1" ht="10.8" hidden="1">
      <c r="A80" s="148"/>
      <c r="B80" s="134"/>
      <c r="C80" s="176"/>
      <c r="D80" s="134"/>
      <c r="E80" s="142"/>
      <c r="F80" s="143"/>
      <c r="G80" s="139"/>
      <c r="H80" s="140"/>
      <c r="I80" s="179"/>
      <c r="J80" s="141"/>
      <c r="K80" s="135"/>
      <c r="L80" s="149"/>
      <c r="N80" s="151"/>
      <c r="P80" s="152"/>
      <c r="Q80" s="152"/>
    </row>
    <row r="81" spans="1:17" s="150" customFormat="1" ht="10.8" hidden="1">
      <c r="A81" s="148"/>
      <c r="B81" s="134"/>
      <c r="C81" s="176"/>
      <c r="D81" s="134"/>
      <c r="E81" s="142"/>
      <c r="F81" s="143"/>
      <c r="G81" s="139"/>
      <c r="H81" s="140"/>
      <c r="I81" s="179"/>
      <c r="J81" s="141"/>
      <c r="K81" s="135"/>
      <c r="L81" s="149"/>
      <c r="N81" s="151"/>
      <c r="P81" s="152"/>
      <c r="Q81" s="152"/>
    </row>
    <row r="82" spans="1:17" s="150" customFormat="1" ht="10.8" hidden="1">
      <c r="A82" s="148"/>
      <c r="B82" s="134"/>
      <c r="C82" s="176"/>
      <c r="D82" s="134"/>
      <c r="E82" s="142"/>
      <c r="F82" s="143"/>
      <c r="G82" s="139"/>
      <c r="H82" s="140"/>
      <c r="I82" s="179"/>
      <c r="J82" s="141"/>
      <c r="K82" s="135"/>
      <c r="L82" s="149"/>
      <c r="N82" s="151"/>
      <c r="P82" s="152"/>
      <c r="Q82" s="152"/>
    </row>
    <row r="83" spans="1:17" s="150" customFormat="1" ht="10.8" hidden="1">
      <c r="A83" s="148"/>
      <c r="B83" s="134"/>
      <c r="C83" s="176"/>
      <c r="D83" s="134"/>
      <c r="E83" s="142"/>
      <c r="F83" s="143"/>
      <c r="G83" s="139"/>
      <c r="H83" s="140"/>
      <c r="I83" s="179"/>
      <c r="J83" s="141"/>
      <c r="K83" s="135"/>
      <c r="L83" s="149"/>
      <c r="N83" s="151"/>
      <c r="P83" s="152"/>
      <c r="Q83" s="152"/>
    </row>
    <row r="84" spans="1:17" s="150" customFormat="1" ht="10.8" hidden="1">
      <c r="A84" s="148"/>
      <c r="B84" s="134"/>
      <c r="C84" s="176"/>
      <c r="D84" s="134"/>
      <c r="E84" s="142"/>
      <c r="F84" s="143"/>
      <c r="G84" s="139"/>
      <c r="H84" s="140"/>
      <c r="I84" s="179"/>
      <c r="J84" s="141"/>
      <c r="K84" s="135"/>
      <c r="L84" s="149"/>
      <c r="N84" s="151"/>
      <c r="P84" s="152"/>
      <c r="Q84" s="152"/>
    </row>
    <row r="85" spans="1:17" s="150" customFormat="1" ht="10.8" hidden="1">
      <c r="A85" s="148"/>
      <c r="B85" s="134"/>
      <c r="C85" s="176"/>
      <c r="D85" s="134"/>
      <c r="E85" s="142"/>
      <c r="F85" s="143"/>
      <c r="G85" s="139"/>
      <c r="H85" s="140"/>
      <c r="I85" s="179"/>
      <c r="J85" s="141"/>
      <c r="K85" s="135"/>
      <c r="L85" s="149"/>
      <c r="N85" s="151"/>
      <c r="P85" s="152"/>
      <c r="Q85" s="152"/>
    </row>
    <row r="86" spans="1:17" s="150" customFormat="1" ht="10.8">
      <c r="A86" s="148"/>
      <c r="B86" s="134"/>
      <c r="C86" s="176"/>
      <c r="D86" s="134"/>
      <c r="E86" s="142"/>
      <c r="F86" s="143"/>
      <c r="G86" s="139"/>
      <c r="H86" s="140"/>
      <c r="I86" s="179"/>
      <c r="J86" s="141"/>
      <c r="K86" s="135"/>
      <c r="L86" s="149"/>
      <c r="N86" s="151"/>
      <c r="P86" s="152"/>
      <c r="Q86" s="152"/>
    </row>
    <row r="87" spans="1:17" s="150" customFormat="1" ht="10.8">
      <c r="A87" s="148"/>
      <c r="B87" s="134"/>
      <c r="C87" s="176"/>
      <c r="D87" s="134"/>
      <c r="E87" s="142"/>
      <c r="F87" s="143"/>
      <c r="G87" s="139"/>
      <c r="H87" s="140"/>
      <c r="I87" s="179"/>
      <c r="J87" s="141"/>
      <c r="K87" s="135"/>
      <c r="L87" s="149"/>
      <c r="N87" s="151"/>
      <c r="P87" s="152"/>
      <c r="Q87" s="152"/>
    </row>
    <row r="88" spans="1:17" s="150" customFormat="1" ht="10.8">
      <c r="A88" s="148"/>
      <c r="B88" s="134"/>
      <c r="C88" s="176"/>
      <c r="D88" s="134"/>
      <c r="E88" s="142"/>
      <c r="F88" s="143"/>
      <c r="G88" s="139"/>
      <c r="H88" s="140"/>
      <c r="I88" s="179"/>
      <c r="J88" s="141"/>
      <c r="K88" s="135"/>
      <c r="L88" s="149"/>
      <c r="N88" s="151"/>
      <c r="P88" s="152"/>
      <c r="Q88" s="152"/>
    </row>
    <row r="89" spans="1:17" s="150" customFormat="1" ht="10.8">
      <c r="A89" s="148"/>
      <c r="B89" s="134"/>
      <c r="C89" s="176"/>
      <c r="D89" s="134"/>
      <c r="E89" s="142"/>
      <c r="F89" s="143"/>
      <c r="G89" s="139"/>
      <c r="H89" s="140"/>
      <c r="I89" s="179"/>
      <c r="J89" s="141"/>
      <c r="K89" s="135"/>
      <c r="L89" s="149"/>
      <c r="N89" s="151"/>
      <c r="P89" s="152"/>
      <c r="Q89" s="152"/>
    </row>
    <row r="90" spans="1:17" s="150" customFormat="1" ht="10.8">
      <c r="A90" s="148"/>
      <c r="B90" s="134"/>
      <c r="C90" s="176"/>
      <c r="D90" s="134"/>
      <c r="E90" s="142"/>
      <c r="F90" s="143"/>
      <c r="G90" s="139"/>
      <c r="H90" s="140"/>
      <c r="I90" s="179"/>
      <c r="J90" s="141"/>
      <c r="K90" s="135"/>
      <c r="L90" s="149"/>
      <c r="N90" s="151"/>
      <c r="P90" s="152"/>
      <c r="Q90" s="152"/>
    </row>
    <row r="91" spans="1:17" s="150" customFormat="1" ht="10.8">
      <c r="A91" s="148"/>
      <c r="B91" s="134"/>
      <c r="C91" s="176"/>
      <c r="D91" s="134"/>
      <c r="E91" s="142"/>
      <c r="F91" s="143"/>
      <c r="G91" s="139"/>
      <c r="H91" s="140"/>
      <c r="I91" s="179"/>
      <c r="J91" s="141"/>
      <c r="K91" s="135"/>
      <c r="L91" s="149"/>
      <c r="N91" s="151"/>
      <c r="P91" s="152"/>
      <c r="Q91" s="152"/>
    </row>
    <row r="92" spans="1:17" s="150" customFormat="1" ht="10.8">
      <c r="A92" s="148"/>
      <c r="B92" s="134"/>
      <c r="C92" s="176"/>
      <c r="D92" s="134"/>
      <c r="E92" s="142"/>
      <c r="F92" s="143"/>
      <c r="G92" s="139"/>
      <c r="H92" s="140"/>
      <c r="I92" s="179"/>
      <c r="J92" s="141"/>
      <c r="K92" s="135"/>
      <c r="L92" s="149"/>
      <c r="N92" s="151"/>
      <c r="P92" s="152"/>
      <c r="Q92" s="152"/>
    </row>
    <row r="93" spans="1:17" s="150" customFormat="1" ht="10.8">
      <c r="A93" s="148"/>
      <c r="B93" s="134"/>
      <c r="C93" s="176"/>
      <c r="D93" s="134"/>
      <c r="E93" s="142"/>
      <c r="F93" s="143"/>
      <c r="G93" s="139"/>
      <c r="H93" s="140"/>
      <c r="I93" s="179"/>
      <c r="J93" s="141"/>
      <c r="K93" s="135"/>
      <c r="L93" s="149"/>
      <c r="N93" s="151"/>
      <c r="P93" s="152"/>
      <c r="Q93" s="152"/>
    </row>
    <row r="94" spans="1:17" s="150" customFormat="1" ht="10.8">
      <c r="A94" s="148"/>
      <c r="B94" s="134"/>
      <c r="C94" s="176"/>
      <c r="D94" s="134"/>
      <c r="E94" s="142"/>
      <c r="F94" s="143"/>
      <c r="G94" s="139"/>
      <c r="H94" s="140"/>
      <c r="I94" s="179"/>
      <c r="J94" s="141"/>
      <c r="K94" s="135"/>
      <c r="L94" s="149"/>
      <c r="N94" s="151"/>
      <c r="P94" s="152"/>
      <c r="Q94" s="152"/>
    </row>
    <row r="95" spans="1:17" s="150" customFormat="1" ht="11.4" thickBot="1">
      <c r="A95" s="148"/>
      <c r="B95" s="134"/>
      <c r="C95" s="176"/>
      <c r="D95" s="134"/>
      <c r="E95" s="142"/>
      <c r="F95" s="143"/>
      <c r="G95" s="139"/>
      <c r="H95" s="140"/>
      <c r="I95" s="179"/>
      <c r="J95" s="141"/>
      <c r="K95" s="135"/>
      <c r="L95" s="149"/>
      <c r="N95" s="151"/>
      <c r="P95" s="152"/>
      <c r="Q95" s="152"/>
    </row>
    <row r="96" spans="1:17" thickTop="1" thickBot="1">
      <c r="A96" s="76"/>
      <c r="B96" s="77"/>
      <c r="C96" s="78"/>
      <c r="D96" s="78"/>
      <c r="E96" s="91" t="s">
        <v>75</v>
      </c>
      <c r="F96" s="92">
        <f>IFERROR(SUM(F10:F95),"-")</f>
        <v>42167.91</v>
      </c>
      <c r="G96" s="79"/>
      <c r="H96" s="80"/>
      <c r="I96" s="81"/>
      <c r="J96" s="82"/>
      <c r="K96" s="83"/>
      <c r="L96" s="84"/>
    </row>
    <row r="97" spans="1:18" s="75" customFormat="1" ht="14.4" hidden="1">
      <c r="A97" s="153"/>
      <c r="B97" s="154"/>
      <c r="C97" s="155"/>
      <c r="D97" s="155"/>
      <c r="E97" s="156"/>
      <c r="F97" s="157"/>
      <c r="G97" s="158"/>
      <c r="H97" s="158"/>
      <c r="I97" s="159"/>
      <c r="J97" s="160"/>
      <c r="K97" s="155"/>
      <c r="L97" s="161"/>
      <c r="O97"/>
    </row>
    <row r="98" spans="1:18" s="75" customFormat="1" ht="13.8" hidden="1">
      <c r="A98" s="72"/>
      <c r="B98" s="69"/>
      <c r="C98" s="120"/>
      <c r="D98" s="120"/>
      <c r="E98" s="70"/>
      <c r="F98" s="71"/>
      <c r="G98" s="118"/>
      <c r="H98" s="118"/>
      <c r="I98" s="119"/>
      <c r="J98" s="121"/>
      <c r="K98" s="120"/>
      <c r="L98" s="73"/>
    </row>
    <row r="99" spans="1:18" s="75" customFormat="1" ht="13.8" hidden="1">
      <c r="A99" s="72"/>
      <c r="B99" s="69"/>
      <c r="C99" s="120"/>
      <c r="D99" s="120"/>
      <c r="E99" s="70"/>
      <c r="F99" s="71"/>
      <c r="G99" s="118"/>
      <c r="H99" s="118"/>
      <c r="I99" s="119"/>
      <c r="J99" s="121"/>
      <c r="K99" s="120"/>
      <c r="L99" s="73"/>
    </row>
    <row r="100" spans="1:18" s="75" customFormat="1" ht="14.4" hidden="1">
      <c r="A100" s="72"/>
      <c r="B100" s="69"/>
      <c r="C100" s="120"/>
      <c r="D100" s="120"/>
      <c r="E100" s="70"/>
      <c r="F100" s="71"/>
      <c r="G100" s="118"/>
      <c r="H100" s="118"/>
      <c r="I100" s="119"/>
      <c r="J100" s="121"/>
      <c r="K100" s="120"/>
      <c r="L100" s="73"/>
      <c r="N100"/>
      <c r="Q100"/>
    </row>
    <row r="101" spans="1:18" s="75" customFormat="1" ht="14.4" hidden="1">
      <c r="A101" s="72"/>
      <c r="B101" s="69"/>
      <c r="C101" s="120"/>
      <c r="D101" s="120"/>
      <c r="E101" s="70"/>
      <c r="F101" s="71"/>
      <c r="G101" s="118"/>
      <c r="H101" s="118"/>
      <c r="I101" s="119"/>
      <c r="J101" s="121"/>
      <c r="K101" s="120"/>
      <c r="L101" s="73"/>
      <c r="P101"/>
      <c r="Q101"/>
    </row>
    <row r="102" spans="1:18" s="75" customFormat="1" ht="14.4" hidden="1">
      <c r="A102" s="72"/>
      <c r="B102" s="69"/>
      <c r="C102" s="120"/>
      <c r="D102" s="120"/>
      <c r="E102" s="70"/>
      <c r="F102" s="71"/>
      <c r="G102" s="118"/>
      <c r="H102" s="118"/>
      <c r="I102"/>
      <c r="J102" s="121"/>
      <c r="K102" s="120"/>
      <c r="L102" s="73"/>
      <c r="P102"/>
      <c r="R102"/>
    </row>
    <row r="103" spans="1:18" s="75" customFormat="1" ht="14.4" hidden="1">
      <c r="A103" s="72"/>
      <c r="B103" s="69"/>
      <c r="C103" s="120"/>
      <c r="D103" s="120"/>
      <c r="E103" s="70"/>
      <c r="F103" s="71"/>
      <c r="G103" s="118"/>
      <c r="H103" s="118"/>
      <c r="I103" s="119"/>
      <c r="J103" s="121"/>
      <c r="K103" s="120"/>
      <c r="L103" s="73"/>
      <c r="N103"/>
      <c r="O103"/>
      <c r="P103"/>
      <c r="R103"/>
    </row>
    <row r="104" spans="1:18" s="75" customFormat="1" ht="13.8" hidden="1">
      <c r="A104" s="72"/>
      <c r="B104" s="69"/>
      <c r="C104" s="120"/>
      <c r="D104" s="120"/>
      <c r="E104" s="70"/>
      <c r="F104" s="71"/>
      <c r="G104" s="118"/>
      <c r="H104" s="118"/>
      <c r="I104" s="119"/>
      <c r="J104" s="121"/>
      <c r="K104" s="120"/>
      <c r="L104" s="73"/>
    </row>
    <row r="105" spans="1:18" s="75" customFormat="1" ht="14.4" hidden="1">
      <c r="A105" s="72"/>
      <c r="B105" s="69"/>
      <c r="C105" s="120"/>
      <c r="D105" s="120"/>
      <c r="E105" s="70"/>
      <c r="F105" s="71"/>
      <c r="G105" s="118"/>
      <c r="H105" s="118"/>
      <c r="I105"/>
      <c r="J105" s="121"/>
      <c r="K105" s="120"/>
      <c r="L105" s="73"/>
    </row>
    <row r="106" spans="1:18" s="75" customFormat="1" ht="14.4" hidden="1">
      <c r="A106" s="72"/>
      <c r="B106" s="69"/>
      <c r="C106" s="120"/>
      <c r="D106" s="120"/>
      <c r="E106" s="70"/>
      <c r="F106" s="71"/>
      <c r="G106" s="118"/>
      <c r="H106" s="118"/>
      <c r="I106" s="119"/>
      <c r="J106" s="121"/>
      <c r="K106" s="120"/>
      <c r="L106" s="73"/>
      <c r="O106"/>
    </row>
    <row r="107" spans="1:18" s="75" customFormat="1" ht="14.4" hidden="1" thickBot="1">
      <c r="A107" s="163"/>
      <c r="B107" s="164"/>
      <c r="C107" s="165"/>
      <c r="D107" s="165"/>
      <c r="E107" s="166"/>
      <c r="F107" s="167"/>
      <c r="G107" s="168"/>
      <c r="H107" s="168"/>
      <c r="I107" s="169"/>
      <c r="J107" s="170"/>
      <c r="K107" s="165"/>
      <c r="L107" s="171"/>
    </row>
    <row r="108" spans="1:18">
      <c r="A108" s="57"/>
      <c r="B108" s="85" t="s">
        <v>87</v>
      </c>
      <c r="C108" s="64"/>
      <c r="D108" s="86"/>
      <c r="E108" s="64"/>
      <c r="F108" s="64"/>
      <c r="G108" s="64"/>
      <c r="H108" s="64"/>
      <c r="I108" s="85" t="s">
        <v>73</v>
      </c>
      <c r="J108" s="64"/>
      <c r="K108" s="64"/>
      <c r="L108" s="58"/>
    </row>
    <row r="109" spans="1:18">
      <c r="A109" s="57"/>
      <c r="B109" s="85"/>
      <c r="C109" s="64"/>
      <c r="D109" s="86"/>
      <c r="E109" s="64"/>
      <c r="F109" s="64"/>
      <c r="G109" s="64"/>
      <c r="H109" s="64"/>
      <c r="I109" s="64"/>
      <c r="J109" s="64"/>
      <c r="K109" s="64"/>
      <c r="L109" s="58"/>
    </row>
    <row r="110" spans="1:18" ht="15" customHeight="1">
      <c r="A110" s="57"/>
      <c r="B110" s="201" t="s">
        <v>5</v>
      </c>
      <c r="C110" s="201"/>
      <c r="D110" s="201"/>
      <c r="E110" s="201"/>
      <c r="F110" s="201"/>
      <c r="G110" s="64"/>
      <c r="H110" s="64"/>
      <c r="I110" s="93" t="str">
        <f>UPPER(P110)</f>
        <v>CHRISABELLE C. QUEBEC</v>
      </c>
      <c r="J110" s="64"/>
      <c r="K110" s="64"/>
      <c r="L110" s="58"/>
      <c r="P110" s="49" t="str">
        <f>_xlfn.XLOOKUP(J5,Table1[ICS Number],Table1[Accountable Person])</f>
        <v>Chrisabelle C. Quebec</v>
      </c>
    </row>
    <row r="111" spans="1:18" ht="15" customHeight="1">
      <c r="A111" s="57"/>
      <c r="B111" s="200" t="s">
        <v>88</v>
      </c>
      <c r="C111" s="200"/>
      <c r="D111" s="200"/>
      <c r="E111" s="200"/>
      <c r="F111" s="200"/>
      <c r="G111" s="64"/>
      <c r="H111" s="64"/>
      <c r="I111" s="87" t="s">
        <v>88</v>
      </c>
      <c r="J111" s="87"/>
      <c r="K111" s="87"/>
      <c r="L111" s="88"/>
      <c r="M111" s="89"/>
    </row>
    <row r="112" spans="1:18" ht="15" customHeight="1">
      <c r="A112" s="57"/>
      <c r="B112" s="194" t="s">
        <v>128</v>
      </c>
      <c r="C112" s="194"/>
      <c r="D112" s="194"/>
      <c r="E112" s="194"/>
      <c r="F112" s="194"/>
      <c r="G112" s="64"/>
      <c r="H112" s="64"/>
      <c r="I112" s="66" t="str">
        <f>_xlfn.XLOOKUP(J5,Table1[ICS Number],Table1[Position])</f>
        <v>Technical Assistant I - SBFP / WINS</v>
      </c>
      <c r="J112" s="64"/>
      <c r="K112" s="64"/>
      <c r="L112" s="58"/>
    </row>
    <row r="113" spans="1:14" ht="15" customHeight="1">
      <c r="A113" s="57"/>
      <c r="B113" s="200" t="s">
        <v>89</v>
      </c>
      <c r="C113" s="200"/>
      <c r="D113" s="200"/>
      <c r="E113" s="200"/>
      <c r="F113" s="200"/>
      <c r="G113" s="64"/>
      <c r="H113" s="64"/>
      <c r="I113" s="87" t="s">
        <v>89</v>
      </c>
      <c r="J113" s="87"/>
      <c r="K113" s="87"/>
      <c r="L113" s="88"/>
      <c r="M113" s="89"/>
      <c r="N113"/>
    </row>
    <row r="114" spans="1:14" ht="15" customHeight="1">
      <c r="A114" s="57"/>
      <c r="B114" s="199">
        <f ca="1">TODAY()</f>
        <v>46058</v>
      </c>
      <c r="C114" s="199"/>
      <c r="D114" s="199"/>
      <c r="E114" s="199"/>
      <c r="F114" s="199"/>
      <c r="G114" s="64"/>
      <c r="H114" s="64"/>
      <c r="I114" s="90">
        <f ca="1">B114</f>
        <v>46058</v>
      </c>
      <c r="J114" s="64"/>
      <c r="K114" s="64"/>
      <c r="L114" s="58"/>
    </row>
    <row r="115" spans="1:14" ht="15" customHeight="1">
      <c r="A115" s="57"/>
      <c r="B115" s="200" t="s">
        <v>2</v>
      </c>
      <c r="C115" s="200"/>
      <c r="D115" s="200"/>
      <c r="E115" s="200"/>
      <c r="F115" s="200"/>
      <c r="G115" s="64"/>
      <c r="H115" s="64"/>
      <c r="I115" s="87" t="s">
        <v>2</v>
      </c>
      <c r="J115" s="87"/>
      <c r="K115" s="87"/>
      <c r="L115" s="88"/>
      <c r="M115" s="89"/>
    </row>
    <row r="116" spans="1:14" ht="15.6" thickBot="1">
      <c r="A116" s="59"/>
      <c r="B116" s="60"/>
      <c r="C116" s="60"/>
      <c r="D116" s="67"/>
      <c r="E116" s="60"/>
      <c r="F116" s="60"/>
      <c r="G116" s="60"/>
      <c r="H116" s="60"/>
      <c r="I116" s="198" t="str">
        <f>_xlfn.XLOOKUP($J$5,Table1[ICS Number],Table1[Location])</f>
        <v>003B - School Health and Nutrition Unit</v>
      </c>
      <c r="J116" s="198"/>
      <c r="K116" s="198"/>
      <c r="L116" s="61"/>
    </row>
  </sheetData>
  <mergeCells count="31">
    <mergeCell ref="C17:D17"/>
    <mergeCell ref="K8:L9"/>
    <mergeCell ref="F9:G9"/>
    <mergeCell ref="C10:D10"/>
    <mergeCell ref="C11:D11"/>
    <mergeCell ref="A8:B9"/>
    <mergeCell ref="C8:D9"/>
    <mergeCell ref="E8:G8"/>
    <mergeCell ref="H8:I9"/>
    <mergeCell ref="J8:J9"/>
    <mergeCell ref="C18:D18"/>
    <mergeCell ref="C19:D19"/>
    <mergeCell ref="C20:D20"/>
    <mergeCell ref="C12:D12"/>
    <mergeCell ref="I116:K116"/>
    <mergeCell ref="B114:F114"/>
    <mergeCell ref="B115:F115"/>
    <mergeCell ref="B110:F110"/>
    <mergeCell ref="B111:F111"/>
    <mergeCell ref="B112:F112"/>
    <mergeCell ref="B113:F113"/>
    <mergeCell ref="C13:D13"/>
    <mergeCell ref="C21:D21"/>
    <mergeCell ref="C14:D14"/>
    <mergeCell ref="C15:D15"/>
    <mergeCell ref="C16:D16"/>
    <mergeCell ref="B1:K1"/>
    <mergeCell ref="B2:K2"/>
    <mergeCell ref="D5:F5"/>
    <mergeCell ref="J5:K5"/>
    <mergeCell ref="D6:F6"/>
  </mergeCells>
  <phoneticPr fontId="27" type="noConversion"/>
  <pageMargins left="0" right="0" top="0" bottom="0" header="0.12" footer="0"/>
  <pageSetup paperSize="9" scale="94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E59545-8E2A-43A5-B495-A4C898609B8A}">
          <x14:formula1>
            <xm:f>Sheet1!$A:$A</xm:f>
          </x14:formula1>
          <xm:sqref>J5:K5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0522-1EDA-4ED4-A643-A97BEDCAD6FE}">
  <dimension ref="B3:L24"/>
  <sheetViews>
    <sheetView tabSelected="1" workbookViewId="0">
      <selection activeCell="B4" sqref="B4:L4"/>
    </sheetView>
  </sheetViews>
  <sheetFormatPr defaultRowHeight="14.4"/>
  <cols>
    <col min="2" max="2" width="16.77734375" bestFit="1" customWidth="1"/>
    <col min="3" max="3" width="28.33203125" bestFit="1" customWidth="1"/>
    <col min="4" max="4" width="19.109375" bestFit="1" customWidth="1"/>
    <col min="5" max="5" width="21.5546875" bestFit="1" customWidth="1"/>
    <col min="6" max="6" width="19.21875" bestFit="1" customWidth="1"/>
    <col min="7" max="7" width="16.77734375" bestFit="1" customWidth="1"/>
    <col min="8" max="8" width="17" bestFit="1" customWidth="1"/>
    <col min="9" max="9" width="14.77734375" bestFit="1" customWidth="1"/>
    <col min="10" max="10" width="14.33203125" bestFit="1" customWidth="1"/>
    <col min="11" max="11" width="22.21875" bestFit="1" customWidth="1"/>
    <col min="12" max="12" width="13.6640625" bestFit="1" customWidth="1"/>
  </cols>
  <sheetData>
    <row r="3" spans="2:12"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110</v>
      </c>
      <c r="K3" t="s">
        <v>111</v>
      </c>
      <c r="L3" t="s">
        <v>143</v>
      </c>
    </row>
    <row r="4" spans="2:12">
      <c r="B4" t="str">
        <f>List!A2</f>
        <v>ICS2026 - 01 - 0104</v>
      </c>
      <c r="C4" t="str">
        <f>List!D2</f>
        <v>SPHV - 2022 - 05 - 03 - 0046 - 03B</v>
      </c>
      <c r="D4" t="str">
        <f>List!C2</f>
        <v>ICT Equipment</v>
      </c>
      <c r="E4" t="str">
        <f>CONCATENATE(List!E2," - ",List!F2," - ",List!G2)</f>
        <v>Laptop - COBY - NBPC 2168</v>
      </c>
      <c r="F4" s="172" t="str">
        <f>List!H2</f>
        <v>RDPBMNBPC2168202201001528</v>
      </c>
      <c r="G4" s="175">
        <f>List!O2</f>
        <v>42167.91</v>
      </c>
      <c r="H4" s="174">
        <f>List!V2</f>
        <v>44799</v>
      </c>
      <c r="I4" s="174">
        <f t="shared" ref="I4:I17" ca="1" si="0">TODAY()</f>
        <v>46058</v>
      </c>
      <c r="J4" s="174" t="str">
        <f>List!W2</f>
        <v>003B - School Health and Nutrition Unit</v>
      </c>
      <c r="K4" t="str">
        <f>List!X2</f>
        <v>Chrisabelle C. Quebec</v>
      </c>
      <c r="L4" s="174" t="str">
        <f>List!Z2</f>
        <v>Central Office</v>
      </c>
    </row>
    <row r="5" spans="2:12">
      <c r="B5">
        <f>List!A3</f>
        <v>0</v>
      </c>
      <c r="C5">
        <f>List!D3</f>
        <v>0</v>
      </c>
      <c r="D5">
        <f>List!C3</f>
        <v>0</v>
      </c>
      <c r="E5" t="str">
        <f>CONCATENATE(List!E3," - ",List!F3," - ",List!G3)</f>
        <v xml:space="preserve"> -  - </v>
      </c>
      <c r="F5" s="172">
        <f>List!H3</f>
        <v>0</v>
      </c>
      <c r="G5" s="175">
        <f>List!O3</f>
        <v>0</v>
      </c>
      <c r="H5" s="174">
        <f>List!V3</f>
        <v>0</v>
      </c>
      <c r="I5" s="174">
        <f t="shared" ca="1" si="0"/>
        <v>46058</v>
      </c>
      <c r="J5" s="174">
        <f>List!W3</f>
        <v>0</v>
      </c>
      <c r="K5">
        <f>List!X3</f>
        <v>0</v>
      </c>
      <c r="L5" s="174">
        <f>List!Z3</f>
        <v>0</v>
      </c>
    </row>
    <row r="6" spans="2:12">
      <c r="B6">
        <f>List!A4</f>
        <v>0</v>
      </c>
      <c r="C6">
        <f>List!D4</f>
        <v>0</v>
      </c>
      <c r="D6">
        <f>List!C4</f>
        <v>0</v>
      </c>
      <c r="E6" t="str">
        <f>CONCATENATE(List!E4," - ",List!F4," - ",List!G4)</f>
        <v xml:space="preserve"> -  - </v>
      </c>
      <c r="F6" s="172">
        <f>List!H4</f>
        <v>0</v>
      </c>
      <c r="G6" s="175">
        <f>List!O4</f>
        <v>0</v>
      </c>
      <c r="H6" s="174">
        <f>List!V4</f>
        <v>0</v>
      </c>
      <c r="I6" s="174">
        <f t="shared" ca="1" si="0"/>
        <v>46058</v>
      </c>
      <c r="J6" s="174">
        <f>List!W4</f>
        <v>0</v>
      </c>
      <c r="K6">
        <f>List!X4</f>
        <v>0</v>
      </c>
      <c r="L6" s="174">
        <f>List!Z4</f>
        <v>0</v>
      </c>
    </row>
    <row r="7" spans="2:12">
      <c r="B7">
        <f>List!A5</f>
        <v>0</v>
      </c>
      <c r="C7">
        <f>List!D5</f>
        <v>0</v>
      </c>
      <c r="D7">
        <f>List!C5</f>
        <v>0</v>
      </c>
      <c r="E7" t="str">
        <f>CONCATENATE(List!E5," - ",List!F5," - ",List!G5)</f>
        <v xml:space="preserve"> -  - </v>
      </c>
      <c r="F7" s="172">
        <f>List!H5</f>
        <v>0</v>
      </c>
      <c r="G7" s="175">
        <f>List!O5</f>
        <v>0</v>
      </c>
      <c r="H7" s="174">
        <f>List!V5</f>
        <v>0</v>
      </c>
      <c r="I7" s="174">
        <f t="shared" ca="1" si="0"/>
        <v>46058</v>
      </c>
      <c r="J7" s="174">
        <f>List!W5</f>
        <v>0</v>
      </c>
      <c r="K7">
        <f>List!X5</f>
        <v>0</v>
      </c>
      <c r="L7" s="174">
        <f>List!Z5</f>
        <v>0</v>
      </c>
    </row>
    <row r="8" spans="2:12">
      <c r="B8">
        <f>List!A6</f>
        <v>0</v>
      </c>
      <c r="C8">
        <f>List!D6</f>
        <v>0</v>
      </c>
      <c r="D8">
        <f>List!C6</f>
        <v>0</v>
      </c>
      <c r="E8" t="str">
        <f>CONCATENATE(List!E6," - ",List!F6," - ",List!G6)</f>
        <v xml:space="preserve"> -  - </v>
      </c>
      <c r="F8" s="172">
        <f>List!H6</f>
        <v>0</v>
      </c>
      <c r="G8" s="175">
        <f>List!O6</f>
        <v>0</v>
      </c>
      <c r="H8" s="174">
        <f>List!V6</f>
        <v>0</v>
      </c>
      <c r="I8" s="174">
        <f t="shared" ca="1" si="0"/>
        <v>46058</v>
      </c>
      <c r="J8" s="174">
        <f>List!W6</f>
        <v>0</v>
      </c>
      <c r="K8">
        <f>List!X6</f>
        <v>0</v>
      </c>
      <c r="L8" s="174">
        <f>List!Z6</f>
        <v>0</v>
      </c>
    </row>
    <row r="9" spans="2:12">
      <c r="B9">
        <f>List!A7</f>
        <v>0</v>
      </c>
      <c r="C9">
        <f>List!D7</f>
        <v>0</v>
      </c>
      <c r="D9">
        <f>List!C7</f>
        <v>0</v>
      </c>
      <c r="E9" t="str">
        <f>CONCATENATE(List!E7," - ",List!F7," - ",List!G7)</f>
        <v xml:space="preserve"> -  - </v>
      </c>
      <c r="F9" s="172">
        <f>List!H7</f>
        <v>0</v>
      </c>
      <c r="G9" s="175">
        <f>List!O7</f>
        <v>0</v>
      </c>
      <c r="H9" s="174">
        <f>List!V7</f>
        <v>0</v>
      </c>
      <c r="I9" s="174">
        <f t="shared" ca="1" si="0"/>
        <v>46058</v>
      </c>
      <c r="J9" s="174">
        <f>List!W7</f>
        <v>0</v>
      </c>
      <c r="K9">
        <f>List!X7</f>
        <v>0</v>
      </c>
      <c r="L9" s="174">
        <f>List!Z7</f>
        <v>0</v>
      </c>
    </row>
    <row r="10" spans="2:12">
      <c r="B10">
        <f>List!A8</f>
        <v>0</v>
      </c>
      <c r="C10">
        <f>List!D8</f>
        <v>0</v>
      </c>
      <c r="D10">
        <f>List!C8</f>
        <v>0</v>
      </c>
      <c r="E10" t="str">
        <f>CONCATENATE(List!E8," - ",List!F8," - ",List!G8)</f>
        <v xml:space="preserve"> -  - </v>
      </c>
      <c r="F10" s="172">
        <f>List!H8</f>
        <v>0</v>
      </c>
      <c r="G10" s="175">
        <f>List!O8</f>
        <v>0</v>
      </c>
      <c r="H10" s="174">
        <f>List!V8</f>
        <v>0</v>
      </c>
      <c r="I10" s="174">
        <f t="shared" ca="1" si="0"/>
        <v>46058</v>
      </c>
      <c r="J10" s="174">
        <f>List!W8</f>
        <v>0</v>
      </c>
      <c r="K10">
        <f>List!X8</f>
        <v>0</v>
      </c>
      <c r="L10" s="174">
        <f>List!Z8</f>
        <v>0</v>
      </c>
    </row>
    <row r="11" spans="2:12">
      <c r="B11">
        <f>List!A9</f>
        <v>0</v>
      </c>
      <c r="C11">
        <f>List!D9</f>
        <v>0</v>
      </c>
      <c r="D11">
        <f>List!C9</f>
        <v>0</v>
      </c>
      <c r="E11" t="str">
        <f>CONCATENATE(List!E9," - ",List!F9," - ",List!G9)</f>
        <v xml:space="preserve"> -  - </v>
      </c>
      <c r="F11" s="172">
        <f>List!H9</f>
        <v>0</v>
      </c>
      <c r="G11" s="175">
        <f>List!O9</f>
        <v>0</v>
      </c>
      <c r="H11" s="174">
        <f>List!V9</f>
        <v>0</v>
      </c>
      <c r="I11" s="174">
        <f t="shared" ca="1" si="0"/>
        <v>46058</v>
      </c>
      <c r="J11" s="174">
        <f>List!W9</f>
        <v>0</v>
      </c>
      <c r="K11">
        <f>List!X9</f>
        <v>0</v>
      </c>
      <c r="L11" s="174">
        <f>List!Z9</f>
        <v>0</v>
      </c>
    </row>
    <row r="12" spans="2:12">
      <c r="B12">
        <f>List!A10</f>
        <v>0</v>
      </c>
      <c r="C12">
        <f>List!D10</f>
        <v>0</v>
      </c>
      <c r="D12">
        <f>List!C10</f>
        <v>0</v>
      </c>
      <c r="E12" t="str">
        <f>CONCATENATE(List!E10," - ",List!F10," - ",List!G10)</f>
        <v xml:space="preserve"> -  - </v>
      </c>
      <c r="F12" s="172">
        <f>List!H10</f>
        <v>0</v>
      </c>
      <c r="G12" s="175">
        <f>List!O10</f>
        <v>0</v>
      </c>
      <c r="H12" s="174">
        <f>List!V10</f>
        <v>0</v>
      </c>
      <c r="I12" s="174">
        <f t="shared" ca="1" si="0"/>
        <v>46058</v>
      </c>
      <c r="J12" s="174">
        <f>List!W10</f>
        <v>0</v>
      </c>
      <c r="K12">
        <f>List!X10</f>
        <v>0</v>
      </c>
      <c r="L12" s="174">
        <f>List!Z10</f>
        <v>0</v>
      </c>
    </row>
    <row r="13" spans="2:12">
      <c r="B13">
        <f>List!A11</f>
        <v>0</v>
      </c>
      <c r="C13">
        <f>List!D11</f>
        <v>0</v>
      </c>
      <c r="D13">
        <f>List!C11</f>
        <v>0</v>
      </c>
      <c r="E13" t="str">
        <f>CONCATENATE(List!E11," - ",List!F11," - ",List!G11)</f>
        <v xml:space="preserve"> -  - </v>
      </c>
      <c r="F13" s="172">
        <f>List!H11</f>
        <v>0</v>
      </c>
      <c r="G13" s="175">
        <f>List!O11</f>
        <v>0</v>
      </c>
      <c r="H13" s="174">
        <f>List!V11</f>
        <v>0</v>
      </c>
      <c r="I13" s="174">
        <f t="shared" ca="1" si="0"/>
        <v>46058</v>
      </c>
      <c r="J13" s="174">
        <f>List!W11</f>
        <v>0</v>
      </c>
      <c r="K13">
        <f>List!X11</f>
        <v>0</v>
      </c>
      <c r="L13" s="174">
        <f>List!Z11</f>
        <v>0</v>
      </c>
    </row>
    <row r="14" spans="2:12">
      <c r="B14">
        <f>List!A12</f>
        <v>0</v>
      </c>
      <c r="C14">
        <f>List!D12</f>
        <v>0</v>
      </c>
      <c r="D14">
        <f>List!C12</f>
        <v>0</v>
      </c>
      <c r="E14" t="str">
        <f>CONCATENATE(List!E12," - ",List!F12," - ",List!G12)</f>
        <v xml:space="preserve"> -  - </v>
      </c>
      <c r="F14" s="172">
        <f>List!H12</f>
        <v>0</v>
      </c>
      <c r="G14" s="175">
        <f>List!O12</f>
        <v>0</v>
      </c>
      <c r="H14" s="174">
        <f>List!V12</f>
        <v>0</v>
      </c>
      <c r="I14" s="174">
        <f t="shared" ca="1" si="0"/>
        <v>46058</v>
      </c>
      <c r="J14" s="174">
        <f>List!W12</f>
        <v>0</v>
      </c>
      <c r="K14">
        <f>List!X12</f>
        <v>0</v>
      </c>
      <c r="L14" s="174">
        <f>List!Z12</f>
        <v>0</v>
      </c>
    </row>
    <row r="15" spans="2:12">
      <c r="B15">
        <f>List!A13</f>
        <v>0</v>
      </c>
      <c r="C15">
        <f>List!D13</f>
        <v>0</v>
      </c>
      <c r="D15">
        <f>List!C13</f>
        <v>0</v>
      </c>
      <c r="E15" t="str">
        <f>CONCATENATE(List!E13," - ",List!F13," - ",List!G13)</f>
        <v xml:space="preserve"> -  - </v>
      </c>
      <c r="F15" s="172">
        <f>List!H13</f>
        <v>0</v>
      </c>
      <c r="G15" s="175">
        <f>List!O13</f>
        <v>0</v>
      </c>
      <c r="H15" s="174">
        <f>List!V13</f>
        <v>0</v>
      </c>
      <c r="I15" s="174">
        <f t="shared" ca="1" si="0"/>
        <v>46058</v>
      </c>
      <c r="J15" s="174">
        <f>List!W13</f>
        <v>0</v>
      </c>
      <c r="K15">
        <f>List!X13</f>
        <v>0</v>
      </c>
      <c r="L15" s="174">
        <f>List!Z13</f>
        <v>0</v>
      </c>
    </row>
    <row r="16" spans="2:12">
      <c r="B16">
        <f>List!A14</f>
        <v>0</v>
      </c>
      <c r="C16">
        <f>List!D14</f>
        <v>0</v>
      </c>
      <c r="D16">
        <f>List!C14</f>
        <v>0</v>
      </c>
      <c r="E16" t="str">
        <f>CONCATENATE(List!E14," - ",List!F14," - ",List!G14)</f>
        <v xml:space="preserve"> -  - </v>
      </c>
      <c r="F16" s="172">
        <f>List!H14</f>
        <v>0</v>
      </c>
      <c r="G16" s="173">
        <f>List!O14</f>
        <v>0</v>
      </c>
      <c r="H16" s="174">
        <f>List!V14</f>
        <v>0</v>
      </c>
      <c r="I16" s="174">
        <f t="shared" ca="1" si="0"/>
        <v>46058</v>
      </c>
      <c r="J16" s="174">
        <f>List!W14</f>
        <v>0</v>
      </c>
      <c r="K16">
        <f>List!X14</f>
        <v>0</v>
      </c>
      <c r="L16" s="174">
        <f>List!Z14</f>
        <v>0</v>
      </c>
    </row>
    <row r="17" spans="2:12">
      <c r="B17">
        <f>List!A15</f>
        <v>0</v>
      </c>
      <c r="C17">
        <f>List!D15</f>
        <v>0</v>
      </c>
      <c r="D17">
        <f>List!C15</f>
        <v>0</v>
      </c>
      <c r="E17" t="str">
        <f>CONCATENATE(List!E15," - ",List!F15," - ",List!G15)</f>
        <v xml:space="preserve"> -  - </v>
      </c>
      <c r="F17" s="172">
        <f>List!H15</f>
        <v>0</v>
      </c>
      <c r="G17" s="173">
        <f>List!O15</f>
        <v>0</v>
      </c>
      <c r="H17" s="174">
        <f>List!V15</f>
        <v>0</v>
      </c>
      <c r="I17" s="174">
        <f t="shared" ca="1" si="0"/>
        <v>46058</v>
      </c>
      <c r="J17" s="174">
        <f>List!W15</f>
        <v>0</v>
      </c>
      <c r="K17">
        <f>List!X15</f>
        <v>0</v>
      </c>
      <c r="L17" s="174">
        <f>List!Z15</f>
        <v>0</v>
      </c>
    </row>
    <row r="18" spans="2:12">
      <c r="B18">
        <f>List!A16</f>
        <v>0</v>
      </c>
      <c r="C18">
        <f>List!D16</f>
        <v>0</v>
      </c>
      <c r="D18">
        <f>List!C16</f>
        <v>0</v>
      </c>
      <c r="E18" t="str">
        <f>CONCATENATE(List!E16," - ",List!F16," - ",List!G16)</f>
        <v xml:space="preserve"> -  - </v>
      </c>
      <c r="F18" s="172">
        <f>List!H16</f>
        <v>0</v>
      </c>
      <c r="G18" s="173">
        <f>List!O16</f>
        <v>0</v>
      </c>
      <c r="H18" s="174">
        <f>List!V16</f>
        <v>0</v>
      </c>
      <c r="I18" s="174">
        <f t="shared" ref="I18:I24" ca="1" si="1">TODAY()</f>
        <v>46058</v>
      </c>
      <c r="J18" s="174">
        <f>List!W16</f>
        <v>0</v>
      </c>
      <c r="K18" s="174">
        <f>List!X16</f>
        <v>0</v>
      </c>
      <c r="L18" s="174">
        <f>List!Z16</f>
        <v>0</v>
      </c>
    </row>
    <row r="19" spans="2:12">
      <c r="B19">
        <f>List!A17</f>
        <v>0</v>
      </c>
      <c r="C19">
        <f>List!D17</f>
        <v>0</v>
      </c>
      <c r="D19">
        <f>List!C17</f>
        <v>0</v>
      </c>
      <c r="E19" t="str">
        <f>CONCATENATE(List!E17," - ",List!F17," - ",List!G17)</f>
        <v xml:space="preserve"> -  - </v>
      </c>
      <c r="F19" s="172">
        <f>List!H17</f>
        <v>0</v>
      </c>
      <c r="G19" s="173">
        <f>List!O17</f>
        <v>0</v>
      </c>
      <c r="H19" s="174">
        <f>List!V17</f>
        <v>0</v>
      </c>
      <c r="I19" s="174">
        <f t="shared" ca="1" si="1"/>
        <v>46058</v>
      </c>
      <c r="J19" s="174">
        <f>List!W17</f>
        <v>0</v>
      </c>
      <c r="K19" s="174">
        <f>List!X17</f>
        <v>0</v>
      </c>
      <c r="L19" s="174">
        <f>List!Z17</f>
        <v>0</v>
      </c>
    </row>
    <row r="20" spans="2:12">
      <c r="B20">
        <f>List!A18</f>
        <v>0</v>
      </c>
      <c r="C20">
        <f>List!D18</f>
        <v>0</v>
      </c>
      <c r="D20">
        <f>List!C18</f>
        <v>0</v>
      </c>
      <c r="E20" t="str">
        <f>CONCATENATE(List!E18," - ",List!F18," - ",List!G18)</f>
        <v xml:space="preserve"> -  - </v>
      </c>
      <c r="F20" s="172">
        <f>List!H18</f>
        <v>0</v>
      </c>
      <c r="G20" s="173">
        <f>List!O18</f>
        <v>0</v>
      </c>
      <c r="H20" s="174">
        <f>List!V18</f>
        <v>0</v>
      </c>
      <c r="I20" s="174">
        <f t="shared" ca="1" si="1"/>
        <v>46058</v>
      </c>
      <c r="J20" s="174">
        <f>List!W18</f>
        <v>0</v>
      </c>
      <c r="K20" s="174">
        <f>List!X18</f>
        <v>0</v>
      </c>
      <c r="L20" s="174">
        <f>List!Z18</f>
        <v>0</v>
      </c>
    </row>
    <row r="21" spans="2:12">
      <c r="B21">
        <f>List!A19</f>
        <v>0</v>
      </c>
      <c r="C21">
        <f>List!D19</f>
        <v>0</v>
      </c>
      <c r="D21">
        <f>List!C19</f>
        <v>0</v>
      </c>
      <c r="E21" t="str">
        <f>CONCATENATE(List!E19," - ",List!F19," - ",List!G19)</f>
        <v xml:space="preserve"> -  - </v>
      </c>
      <c r="F21" s="172">
        <f>List!H19</f>
        <v>0</v>
      </c>
      <c r="G21" s="173">
        <f>List!O19</f>
        <v>0</v>
      </c>
      <c r="H21" s="174">
        <f>List!V19</f>
        <v>0</v>
      </c>
      <c r="I21" s="174">
        <f t="shared" ca="1" si="1"/>
        <v>46058</v>
      </c>
      <c r="J21" s="174">
        <f>List!W19</f>
        <v>0</v>
      </c>
      <c r="K21" s="174">
        <f>List!X19</f>
        <v>0</v>
      </c>
      <c r="L21" s="174">
        <f>List!Z19</f>
        <v>0</v>
      </c>
    </row>
    <row r="22" spans="2:12">
      <c r="B22">
        <f>List!A20</f>
        <v>0</v>
      </c>
      <c r="C22">
        <f>List!D20</f>
        <v>0</v>
      </c>
      <c r="D22">
        <f>List!C20</f>
        <v>0</v>
      </c>
      <c r="E22" t="str">
        <f>CONCATENATE(List!E20," - ",List!F20," - ",List!G20)</f>
        <v xml:space="preserve"> -  - </v>
      </c>
      <c r="F22" s="172">
        <f>List!H20</f>
        <v>0</v>
      </c>
      <c r="G22" s="173">
        <f>List!O20</f>
        <v>0</v>
      </c>
      <c r="H22" s="174">
        <f>List!V20</f>
        <v>0</v>
      </c>
      <c r="I22" s="174">
        <f t="shared" ca="1" si="1"/>
        <v>46058</v>
      </c>
      <c r="J22" s="174">
        <f>List!W20</f>
        <v>0</v>
      </c>
      <c r="K22" s="174">
        <f>List!X20</f>
        <v>0</v>
      </c>
      <c r="L22" s="174">
        <f>List!Z20</f>
        <v>0</v>
      </c>
    </row>
    <row r="23" spans="2:12">
      <c r="B23">
        <f>List!A21</f>
        <v>0</v>
      </c>
      <c r="C23">
        <f>List!D21</f>
        <v>0</v>
      </c>
      <c r="D23">
        <f>List!C21</f>
        <v>0</v>
      </c>
      <c r="E23" t="str">
        <f>CONCATENATE(List!E21," - ",List!F21," - ",List!G21)</f>
        <v xml:space="preserve"> -  - </v>
      </c>
      <c r="F23" s="172">
        <f>List!H21</f>
        <v>0</v>
      </c>
      <c r="G23" s="173">
        <f>List!O21</f>
        <v>0</v>
      </c>
      <c r="H23" s="174">
        <f>List!V21</f>
        <v>0</v>
      </c>
      <c r="I23" s="174">
        <f t="shared" ca="1" si="1"/>
        <v>46058</v>
      </c>
      <c r="J23" s="174">
        <f>List!W21</f>
        <v>0</v>
      </c>
      <c r="K23" s="174">
        <f>List!X21</f>
        <v>0</v>
      </c>
      <c r="L23" s="174">
        <f>List!Z21</f>
        <v>0</v>
      </c>
    </row>
    <row r="24" spans="2:12">
      <c r="B24">
        <f>List!A22</f>
        <v>0</v>
      </c>
      <c r="C24">
        <f>List!D22</f>
        <v>0</v>
      </c>
      <c r="D24">
        <f>List!C22</f>
        <v>0</v>
      </c>
      <c r="E24" t="str">
        <f>CONCATENATE(List!E22," - ",List!F22," - ",List!G22)</f>
        <v xml:space="preserve"> -  - </v>
      </c>
      <c r="F24" s="172">
        <f>List!H22</f>
        <v>0</v>
      </c>
      <c r="G24" s="173">
        <f>List!O22</f>
        <v>0</v>
      </c>
      <c r="H24" s="174">
        <f>List!V22</f>
        <v>0</v>
      </c>
      <c r="I24" s="174">
        <f t="shared" ca="1" si="1"/>
        <v>46058</v>
      </c>
      <c r="J24" s="174">
        <f>List!W22</f>
        <v>0</v>
      </c>
      <c r="K24" s="174">
        <f>List!X22</f>
        <v>0</v>
      </c>
      <c r="L24" s="174">
        <f>List!Z22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9E2A-6C16-4AF0-9D80-5B80EFCEA23A}">
  <dimension ref="A1:N63"/>
  <sheetViews>
    <sheetView view="pageBreakPreview" zoomScale="115" zoomScaleNormal="100" zoomScaleSheetLayoutView="115" workbookViewId="0">
      <selection activeCell="P15" sqref="P15:Q15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227" t="s">
        <v>7</v>
      </c>
      <c r="C2" s="227"/>
      <c r="D2" s="227"/>
      <c r="E2" s="227"/>
      <c r="F2" s="227"/>
      <c r="G2" s="227"/>
      <c r="H2" s="227"/>
      <c r="I2" s="227"/>
      <c r="J2" s="227"/>
      <c r="K2" s="5"/>
    </row>
    <row r="3" spans="1:14">
      <c r="A3" s="4"/>
      <c r="B3" s="227" t="s">
        <v>0</v>
      </c>
      <c r="C3" s="227"/>
      <c r="D3" s="227"/>
      <c r="E3" s="227"/>
      <c r="F3" s="227"/>
      <c r="G3" s="227"/>
      <c r="H3" s="227"/>
      <c r="I3" s="227"/>
      <c r="J3" s="227"/>
      <c r="K3" s="5"/>
    </row>
    <row r="4" spans="1:14">
      <c r="A4" s="4"/>
      <c r="B4" s="227" t="s">
        <v>8</v>
      </c>
      <c r="C4" s="227"/>
      <c r="D4" s="227"/>
      <c r="E4" s="227"/>
      <c r="F4" s="227"/>
      <c r="G4" s="227"/>
      <c r="H4" s="227"/>
      <c r="I4" s="227"/>
      <c r="J4" s="227"/>
      <c r="K4" s="5"/>
    </row>
    <row r="5" spans="1:14" ht="15.6">
      <c r="A5" s="4"/>
      <c r="B5" s="247" t="s">
        <v>9</v>
      </c>
      <c r="C5" s="247"/>
      <c r="D5" s="247"/>
      <c r="E5" s="247"/>
      <c r="F5" s="247"/>
      <c r="G5" s="247"/>
      <c r="H5" s="247"/>
      <c r="I5" s="247"/>
      <c r="J5" s="247"/>
      <c r="K5" s="5"/>
    </row>
    <row r="6" spans="1:14">
      <c r="A6" s="4"/>
      <c r="B6" s="227" t="s">
        <v>10</v>
      </c>
      <c r="C6" s="227"/>
      <c r="D6" s="227"/>
      <c r="E6" s="227"/>
      <c r="F6" s="227"/>
      <c r="G6" s="227"/>
      <c r="H6" s="227"/>
      <c r="I6" s="227"/>
      <c r="J6" s="227"/>
      <c r="K6" s="5"/>
    </row>
    <row r="7" spans="1:14">
      <c r="A7" s="4"/>
      <c r="I7" s="248">
        <v>44648</v>
      </c>
      <c r="J7" s="248"/>
      <c r="K7" s="5"/>
    </row>
    <row r="8" spans="1:14">
      <c r="A8" s="4"/>
      <c r="I8" s="227" t="s">
        <v>2</v>
      </c>
      <c r="J8" s="227"/>
      <c r="K8" s="5"/>
    </row>
    <row r="9" spans="1:14">
      <c r="A9" s="4"/>
      <c r="B9" s="41" t="s">
        <v>11</v>
      </c>
      <c r="C9" s="257" t="s">
        <v>72</v>
      </c>
      <c r="D9" s="257"/>
      <c r="E9" s="257"/>
      <c r="F9" s="257"/>
      <c r="G9" s="257"/>
      <c r="H9" s="257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58"/>
      <c r="H13" s="258"/>
      <c r="I13" s="258"/>
      <c r="J13" s="258"/>
      <c r="K13" s="5"/>
    </row>
    <row r="14" spans="1:14" ht="16.5" customHeight="1">
      <c r="A14" s="4"/>
      <c r="B14" s="259" t="s">
        <v>14</v>
      </c>
      <c r="C14" s="259"/>
      <c r="D14" s="260"/>
      <c r="E14" s="260"/>
      <c r="F14" s="260"/>
      <c r="G14" s="260"/>
      <c r="H14" s="260"/>
      <c r="I14" s="260"/>
      <c r="J14" s="260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58"/>
      <c r="G15" s="258"/>
      <c r="H15" s="258"/>
      <c r="I15" s="258"/>
      <c r="J15" s="258"/>
      <c r="K15" s="5"/>
    </row>
    <row r="16" spans="1:14">
      <c r="A16" s="4"/>
      <c r="B16" s="42" t="s">
        <v>16</v>
      </c>
      <c r="C16" s="42"/>
      <c r="D16" s="42"/>
      <c r="E16" s="249"/>
      <c r="F16" s="249"/>
      <c r="G16" s="249"/>
      <c r="H16" s="249"/>
      <c r="I16" s="249"/>
      <c r="K16" s="5"/>
    </row>
    <row r="17" spans="1:11" ht="5.0999999999999996" customHeight="1" thickBot="1">
      <c r="A17" s="4"/>
      <c r="K17" s="5"/>
    </row>
    <row r="18" spans="1:11" ht="15" thickBot="1">
      <c r="A18" s="250" t="s">
        <v>4</v>
      </c>
      <c r="B18" s="251"/>
      <c r="C18" s="252" t="s">
        <v>3</v>
      </c>
      <c r="D18" s="252"/>
      <c r="E18" s="252" t="s">
        <v>17</v>
      </c>
      <c r="F18" s="252"/>
      <c r="G18" s="252"/>
      <c r="H18" s="252"/>
      <c r="I18" s="44" t="s">
        <v>18</v>
      </c>
      <c r="J18" s="252" t="s">
        <v>19</v>
      </c>
      <c r="K18" s="253"/>
    </row>
    <row r="19" spans="1:11" ht="15" thickTop="1">
      <c r="A19" s="220" t="e">
        <f>#REF!</f>
        <v>#REF!</v>
      </c>
      <c r="B19" s="221"/>
      <c r="C19" s="222" t="e">
        <f>#REF!</f>
        <v>#REF!</v>
      </c>
      <c r="D19" s="222"/>
      <c r="E19" s="254" t="e">
        <f>#REF!</f>
        <v>#REF!</v>
      </c>
      <c r="F19" s="255"/>
      <c r="G19" s="255"/>
      <c r="H19" s="256"/>
      <c r="I19" s="45" t="e">
        <f>#REF!</f>
        <v>#REF!</v>
      </c>
      <c r="J19" s="223" t="e">
        <f>I19*A19</f>
        <v>#REF!</v>
      </c>
      <c r="K19" s="224"/>
    </row>
    <row r="20" spans="1:11">
      <c r="A20" s="220" t="e">
        <f>#REF!</f>
        <v>#REF!</v>
      </c>
      <c r="B20" s="221"/>
      <c r="C20" s="222" t="e">
        <f>#REF!</f>
        <v>#REF!</v>
      </c>
      <c r="D20" s="222"/>
      <c r="E20" s="241" t="e">
        <f>#REF!</f>
        <v>#REF!</v>
      </c>
      <c r="F20" s="242"/>
      <c r="G20" s="242"/>
      <c r="H20" s="243"/>
      <c r="I20" s="45" t="e">
        <f>#REF!</f>
        <v>#REF!</v>
      </c>
      <c r="J20" s="223" t="e">
        <f t="shared" ref="J20:J34" si="0">I20*A20</f>
        <v>#REF!</v>
      </c>
      <c r="K20" s="224"/>
    </row>
    <row r="21" spans="1:11">
      <c r="A21" s="220"/>
      <c r="B21" s="221"/>
      <c r="C21" s="222"/>
      <c r="D21" s="222"/>
      <c r="E21" s="241"/>
      <c r="F21" s="242"/>
      <c r="G21" s="242"/>
      <c r="H21" s="243"/>
      <c r="I21" s="45"/>
      <c r="J21" s="223">
        <f t="shared" si="0"/>
        <v>0</v>
      </c>
      <c r="K21" s="224"/>
    </row>
    <row r="22" spans="1:11">
      <c r="A22" s="220"/>
      <c r="B22" s="221"/>
      <c r="C22" s="222"/>
      <c r="D22" s="222"/>
      <c r="E22" s="241"/>
      <c r="F22" s="242"/>
      <c r="G22" s="242"/>
      <c r="H22" s="243"/>
      <c r="I22" s="45"/>
      <c r="J22" s="223">
        <f t="shared" si="0"/>
        <v>0</v>
      </c>
      <c r="K22" s="224"/>
    </row>
    <row r="23" spans="1:11">
      <c r="A23" s="220"/>
      <c r="B23" s="221"/>
      <c r="C23" s="222"/>
      <c r="D23" s="222"/>
      <c r="E23" s="244"/>
      <c r="F23" s="245"/>
      <c r="G23" s="245"/>
      <c r="H23" s="246"/>
      <c r="I23" s="45"/>
      <c r="J23" s="223">
        <f t="shared" si="0"/>
        <v>0</v>
      </c>
      <c r="K23" s="224"/>
    </row>
    <row r="24" spans="1:11">
      <c r="A24" s="220"/>
      <c r="B24" s="221"/>
      <c r="C24" s="222"/>
      <c r="D24" s="222"/>
      <c r="E24" s="244"/>
      <c r="F24" s="245"/>
      <c r="G24" s="245"/>
      <c r="H24" s="246"/>
      <c r="I24" s="45"/>
      <c r="J24" s="223">
        <f t="shared" si="0"/>
        <v>0</v>
      </c>
      <c r="K24" s="224"/>
    </row>
    <row r="25" spans="1:11">
      <c r="A25" s="220"/>
      <c r="B25" s="221"/>
      <c r="C25" s="222"/>
      <c r="D25" s="222"/>
      <c r="E25" s="238"/>
      <c r="F25" s="239"/>
      <c r="G25" s="239"/>
      <c r="H25" s="240"/>
      <c r="I25" s="46"/>
      <c r="J25" s="223">
        <f t="shared" si="0"/>
        <v>0</v>
      </c>
      <c r="K25" s="224"/>
    </row>
    <row r="26" spans="1:11">
      <c r="A26" s="220"/>
      <c r="B26" s="221"/>
      <c r="C26" s="222"/>
      <c r="D26" s="222"/>
      <c r="E26" s="238"/>
      <c r="F26" s="239"/>
      <c r="G26" s="239"/>
      <c r="H26" s="240"/>
      <c r="I26" s="46"/>
      <c r="J26" s="223">
        <f t="shared" si="0"/>
        <v>0</v>
      </c>
      <c r="K26" s="224"/>
    </row>
    <row r="27" spans="1:11">
      <c r="A27" s="220"/>
      <c r="B27" s="221"/>
      <c r="C27" s="222"/>
      <c r="D27" s="222"/>
      <c r="E27" s="238"/>
      <c r="F27" s="239"/>
      <c r="G27" s="239"/>
      <c r="H27" s="240"/>
      <c r="I27" s="46"/>
      <c r="J27" s="223">
        <f t="shared" si="0"/>
        <v>0</v>
      </c>
      <c r="K27" s="224"/>
    </row>
    <row r="28" spans="1:11">
      <c r="A28" s="220"/>
      <c r="B28" s="221"/>
      <c r="C28" s="222"/>
      <c r="D28" s="222"/>
      <c r="E28" s="235"/>
      <c r="F28" s="236"/>
      <c r="G28" s="236"/>
      <c r="H28" s="237"/>
      <c r="I28" s="46"/>
      <c r="J28" s="223">
        <f t="shared" si="0"/>
        <v>0</v>
      </c>
      <c r="K28" s="224"/>
    </row>
    <row r="29" spans="1:11" ht="15.75" customHeight="1">
      <c r="A29" s="220"/>
      <c r="B29" s="221"/>
      <c r="C29" s="222"/>
      <c r="D29" s="222"/>
      <c r="E29" s="235"/>
      <c r="F29" s="236"/>
      <c r="G29" s="236"/>
      <c r="H29" s="237"/>
      <c r="I29" s="46"/>
      <c r="J29" s="223">
        <f t="shared" si="0"/>
        <v>0</v>
      </c>
      <c r="K29" s="224"/>
    </row>
    <row r="30" spans="1:11">
      <c r="A30" s="220"/>
      <c r="B30" s="221"/>
      <c r="C30" s="222"/>
      <c r="D30" s="222"/>
      <c r="E30" s="234"/>
      <c r="F30" s="234"/>
      <c r="G30" s="234"/>
      <c r="H30" s="234"/>
      <c r="I30" s="46"/>
      <c r="J30" s="223">
        <f t="shared" si="0"/>
        <v>0</v>
      </c>
      <c r="K30" s="224"/>
    </row>
    <row r="31" spans="1:11">
      <c r="A31" s="220"/>
      <c r="B31" s="221"/>
      <c r="C31" s="222"/>
      <c r="D31" s="222"/>
      <c r="E31" s="234"/>
      <c r="F31" s="234"/>
      <c r="G31" s="234"/>
      <c r="H31" s="234"/>
      <c r="I31" s="46"/>
      <c r="J31" s="223">
        <f t="shared" si="0"/>
        <v>0</v>
      </c>
      <c r="K31" s="224"/>
    </row>
    <row r="32" spans="1:11">
      <c r="A32" s="220"/>
      <c r="B32" s="221"/>
      <c r="C32" s="222"/>
      <c r="D32" s="222"/>
      <c r="E32" s="234"/>
      <c r="F32" s="234"/>
      <c r="G32" s="234"/>
      <c r="H32" s="234"/>
      <c r="I32" s="46"/>
      <c r="J32" s="223">
        <f t="shared" si="0"/>
        <v>0</v>
      </c>
      <c r="K32" s="224"/>
    </row>
    <row r="33" spans="1:11">
      <c r="A33" s="220"/>
      <c r="B33" s="221"/>
      <c r="C33" s="222"/>
      <c r="D33" s="222"/>
      <c r="E33" s="234"/>
      <c r="F33" s="234"/>
      <c r="G33" s="234"/>
      <c r="H33" s="234"/>
      <c r="I33" s="46"/>
      <c r="J33" s="223">
        <f t="shared" si="0"/>
        <v>0</v>
      </c>
      <c r="K33" s="224"/>
    </row>
    <row r="34" spans="1:11">
      <c r="A34" s="220"/>
      <c r="B34" s="221"/>
      <c r="C34" s="222"/>
      <c r="D34" s="222"/>
      <c r="E34" s="234"/>
      <c r="F34" s="234"/>
      <c r="G34" s="234"/>
      <c r="H34" s="234"/>
      <c r="I34" s="46"/>
      <c r="J34" s="223">
        <f t="shared" si="0"/>
        <v>0</v>
      </c>
      <c r="K34" s="224"/>
    </row>
    <row r="35" spans="1:11">
      <c r="A35" s="220"/>
      <c r="B35" s="221"/>
      <c r="C35" s="222"/>
      <c r="D35" s="222"/>
      <c r="E35" s="222"/>
      <c r="F35" s="222"/>
      <c r="G35" s="222"/>
      <c r="H35" s="222"/>
      <c r="I35" s="46"/>
      <c r="J35" s="223"/>
      <c r="K35" s="224"/>
    </row>
    <row r="36" spans="1:11">
      <c r="A36" s="220"/>
      <c r="B36" s="221"/>
      <c r="C36" s="222"/>
      <c r="D36" s="222"/>
      <c r="E36" s="222"/>
      <c r="F36" s="222"/>
      <c r="G36" s="222"/>
      <c r="H36" s="222"/>
      <c r="I36" s="46"/>
      <c r="J36" s="223"/>
      <c r="K36" s="224"/>
    </row>
    <row r="37" spans="1:11">
      <c r="A37" s="220"/>
      <c r="B37" s="221"/>
      <c r="C37" s="222"/>
      <c r="D37" s="222"/>
      <c r="E37" s="222"/>
      <c r="F37" s="222"/>
      <c r="G37" s="222"/>
      <c r="H37" s="222"/>
      <c r="I37" s="46"/>
      <c r="J37" s="223"/>
      <c r="K37" s="224"/>
    </row>
    <row r="38" spans="1:11">
      <c r="A38" s="220"/>
      <c r="B38" s="221"/>
      <c r="C38" s="222"/>
      <c r="D38" s="222"/>
      <c r="E38" s="222"/>
      <c r="F38" s="222"/>
      <c r="G38" s="222"/>
      <c r="H38" s="222"/>
      <c r="I38" s="46"/>
      <c r="J38" s="223"/>
      <c r="K38" s="224"/>
    </row>
    <row r="39" spans="1:11">
      <c r="A39" s="220"/>
      <c r="B39" s="221"/>
      <c r="C39" s="222"/>
      <c r="D39" s="222"/>
      <c r="E39" s="222"/>
      <c r="F39" s="222"/>
      <c r="G39" s="222"/>
      <c r="H39" s="222"/>
      <c r="I39" s="46"/>
      <c r="J39" s="223"/>
      <c r="K39" s="224"/>
    </row>
    <row r="40" spans="1:11">
      <c r="A40" s="220"/>
      <c r="B40" s="221"/>
      <c r="C40" s="222"/>
      <c r="D40" s="222"/>
      <c r="E40" s="222"/>
      <c r="F40" s="222"/>
      <c r="G40" s="222"/>
      <c r="H40" s="222"/>
      <c r="I40" s="46"/>
      <c r="J40" s="223"/>
      <c r="K40" s="224"/>
    </row>
    <row r="41" spans="1:11">
      <c r="A41" s="220"/>
      <c r="B41" s="221"/>
      <c r="C41" s="222"/>
      <c r="D41" s="222"/>
      <c r="E41" s="222"/>
      <c r="F41" s="222"/>
      <c r="G41" s="222"/>
      <c r="H41" s="222"/>
      <c r="I41" s="46"/>
      <c r="J41" s="223"/>
      <c r="K41" s="224"/>
    </row>
    <row r="42" spans="1:11">
      <c r="A42" s="220"/>
      <c r="B42" s="221"/>
      <c r="C42" s="222"/>
      <c r="D42" s="222"/>
      <c r="E42" s="222"/>
      <c r="F42" s="222"/>
      <c r="G42" s="222"/>
      <c r="H42" s="222"/>
      <c r="I42" s="46"/>
      <c r="J42" s="223"/>
      <c r="K42" s="224"/>
    </row>
    <row r="43" spans="1:11">
      <c r="A43" s="220"/>
      <c r="B43" s="221"/>
      <c r="C43" s="222"/>
      <c r="D43" s="222"/>
      <c r="E43" s="222"/>
      <c r="F43" s="222"/>
      <c r="G43" s="222"/>
      <c r="H43" s="222"/>
      <c r="I43" s="46"/>
      <c r="J43" s="223"/>
      <c r="K43" s="224"/>
    </row>
    <row r="44" spans="1:11">
      <c r="A44" s="220"/>
      <c r="B44" s="221"/>
      <c r="C44" s="222"/>
      <c r="D44" s="222"/>
      <c r="E44" s="222"/>
      <c r="F44" s="222"/>
      <c r="G44" s="222"/>
      <c r="H44" s="222"/>
      <c r="I44" s="46"/>
      <c r="J44" s="223"/>
      <c r="K44" s="224"/>
    </row>
    <row r="45" spans="1:11">
      <c r="A45" s="220"/>
      <c r="B45" s="221"/>
      <c r="C45" s="222"/>
      <c r="D45" s="222"/>
      <c r="E45" s="222"/>
      <c r="F45" s="222"/>
      <c r="G45" s="222"/>
      <c r="H45" s="222"/>
      <c r="I45" s="46"/>
      <c r="J45" s="223"/>
      <c r="K45" s="224"/>
    </row>
    <row r="46" spans="1:11">
      <c r="A46" s="220"/>
      <c r="B46" s="221"/>
      <c r="C46" s="222"/>
      <c r="D46" s="222"/>
      <c r="E46" s="222"/>
      <c r="F46" s="222"/>
      <c r="G46" s="222"/>
      <c r="H46" s="222"/>
      <c r="I46" s="46"/>
      <c r="J46" s="223"/>
      <c r="K46" s="224"/>
    </row>
    <row r="47" spans="1:11">
      <c r="A47" s="220"/>
      <c r="B47" s="221"/>
      <c r="C47" s="222"/>
      <c r="D47" s="222"/>
      <c r="E47" s="222"/>
      <c r="F47" s="222"/>
      <c r="G47" s="222"/>
      <c r="H47" s="222"/>
      <c r="I47" s="46"/>
      <c r="J47" s="223"/>
      <c r="K47" s="224"/>
    </row>
    <row r="48" spans="1:11">
      <c r="A48" s="220"/>
      <c r="B48" s="221"/>
      <c r="C48" s="222"/>
      <c r="D48" s="222"/>
      <c r="E48" s="222"/>
      <c r="F48" s="222"/>
      <c r="G48" s="222"/>
      <c r="H48" s="222"/>
      <c r="I48" s="46"/>
      <c r="J48" s="223"/>
      <c r="K48" s="224"/>
    </row>
    <row r="49" spans="1:11">
      <c r="A49" s="220"/>
      <c r="B49" s="221"/>
      <c r="C49" s="222"/>
      <c r="D49" s="222"/>
      <c r="E49" s="222"/>
      <c r="F49" s="222"/>
      <c r="G49" s="222"/>
      <c r="H49" s="222"/>
      <c r="I49" s="46"/>
      <c r="J49" s="223"/>
      <c r="K49" s="224"/>
    </row>
    <row r="50" spans="1:11">
      <c r="A50" s="220"/>
      <c r="B50" s="221"/>
      <c r="C50" s="222"/>
      <c r="D50" s="222"/>
      <c r="E50" s="222"/>
      <c r="F50" s="222"/>
      <c r="G50" s="222"/>
      <c r="H50" s="222"/>
      <c r="I50" s="46"/>
      <c r="J50" s="223"/>
      <c r="K50" s="224"/>
    </row>
    <row r="51" spans="1:11">
      <c r="A51" s="220"/>
      <c r="B51" s="221"/>
      <c r="C51" s="222"/>
      <c r="D51" s="222"/>
      <c r="E51" s="222"/>
      <c r="F51" s="222"/>
      <c r="G51" s="222"/>
      <c r="H51" s="222"/>
      <c r="I51" s="46"/>
      <c r="J51" s="223"/>
      <c r="K51" s="224"/>
    </row>
    <row r="52" spans="1:11">
      <c r="A52" s="220"/>
      <c r="B52" s="221"/>
      <c r="C52" s="222"/>
      <c r="D52" s="222"/>
      <c r="E52" s="222"/>
      <c r="F52" s="222"/>
      <c r="G52" s="222"/>
      <c r="H52" s="222"/>
      <c r="I52" s="46"/>
      <c r="J52" s="223"/>
      <c r="K52" s="224"/>
    </row>
    <row r="53" spans="1:11">
      <c r="A53" s="220"/>
      <c r="B53" s="221"/>
      <c r="C53" s="222"/>
      <c r="D53" s="222"/>
      <c r="E53" s="222"/>
      <c r="F53" s="222"/>
      <c r="G53" s="222"/>
      <c r="H53" s="222"/>
      <c r="I53" s="46"/>
      <c r="J53" s="223"/>
      <c r="K53" s="224"/>
    </row>
    <row r="54" spans="1:11">
      <c r="A54" s="220"/>
      <c r="B54" s="221"/>
      <c r="C54" s="222"/>
      <c r="D54" s="222"/>
      <c r="E54" s="222"/>
      <c r="F54" s="222"/>
      <c r="G54" s="222"/>
      <c r="H54" s="222"/>
      <c r="I54" s="46"/>
      <c r="J54" s="223"/>
      <c r="K54" s="224"/>
    </row>
    <row r="55" spans="1:11">
      <c r="A55" s="220"/>
      <c r="B55" s="221"/>
      <c r="C55" s="222"/>
      <c r="D55" s="222"/>
      <c r="E55" s="222"/>
      <c r="F55" s="222"/>
      <c r="G55" s="222"/>
      <c r="H55" s="222"/>
      <c r="I55" s="46"/>
      <c r="J55" s="223"/>
      <c r="K55" s="224"/>
    </row>
    <row r="56" spans="1:11">
      <c r="A56" s="220"/>
      <c r="B56" s="221"/>
      <c r="C56" s="222"/>
      <c r="D56" s="222"/>
      <c r="E56" s="222"/>
      <c r="F56" s="222"/>
      <c r="G56" s="222"/>
      <c r="H56" s="222"/>
      <c r="I56" s="46"/>
      <c r="J56" s="223"/>
      <c r="K56" s="224"/>
    </row>
    <row r="57" spans="1:11" ht="15" thickBot="1">
      <c r="A57" s="229" t="s">
        <v>20</v>
      </c>
      <c r="B57" s="230"/>
      <c r="C57" s="230"/>
      <c r="D57" s="230"/>
      <c r="E57" s="230"/>
      <c r="F57" s="230"/>
      <c r="G57" s="230"/>
      <c r="H57" s="230"/>
      <c r="I57" s="231"/>
      <c r="J57" s="232" t="e">
        <f>SUM(J19:K56)</f>
        <v>#REF!</v>
      </c>
      <c r="K57" s="233"/>
    </row>
    <row r="58" spans="1:11">
      <c r="A58" s="4"/>
      <c r="K58" s="5"/>
    </row>
    <row r="59" spans="1:11">
      <c r="A59" s="4"/>
      <c r="K59" s="5"/>
    </row>
    <row r="60" spans="1:11">
      <c r="A60" s="4"/>
      <c r="B60" s="225" t="s">
        <v>71</v>
      </c>
      <c r="C60" s="225"/>
      <c r="D60" s="225"/>
      <c r="E60" s="225"/>
      <c r="H60" s="226" t="s">
        <v>5</v>
      </c>
      <c r="I60" s="226"/>
      <c r="J60" s="226"/>
      <c r="K60" s="5"/>
    </row>
    <row r="61" spans="1:11">
      <c r="A61" s="4"/>
      <c r="B61" s="227" t="s">
        <v>21</v>
      </c>
      <c r="C61" s="227"/>
      <c r="D61" s="227"/>
      <c r="E61" s="227"/>
      <c r="H61" s="227" t="s">
        <v>22</v>
      </c>
      <c r="I61" s="227"/>
      <c r="J61" s="227"/>
      <c r="K61" s="5"/>
    </row>
    <row r="62" spans="1:11">
      <c r="A62" s="4"/>
      <c r="B62" s="228"/>
      <c r="C62" s="228"/>
      <c r="D62" s="228"/>
      <c r="E62" s="228"/>
      <c r="H62" s="227" t="s">
        <v>23</v>
      </c>
      <c r="I62" s="227"/>
      <c r="J62" s="227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A41:B41"/>
    <mergeCell ref="C41:D41"/>
    <mergeCell ref="E41:H41"/>
    <mergeCell ref="J41:K41"/>
    <mergeCell ref="I8:J8"/>
    <mergeCell ref="C9:H9"/>
    <mergeCell ref="G13:J13"/>
    <mergeCell ref="B14:C14"/>
    <mergeCell ref="D14:J14"/>
    <mergeCell ref="F15:J15"/>
    <mergeCell ref="A21:B21"/>
    <mergeCell ref="C21:D21"/>
    <mergeCell ref="E21:H21"/>
    <mergeCell ref="J21:K21"/>
    <mergeCell ref="A24:B24"/>
    <mergeCell ref="C24:D24"/>
    <mergeCell ref="E24:H24"/>
    <mergeCell ref="J24:K24"/>
    <mergeCell ref="A25:B25"/>
    <mergeCell ref="C25:D25"/>
    <mergeCell ref="E25:H25"/>
    <mergeCell ref="J25:K25"/>
    <mergeCell ref="A22:B22"/>
    <mergeCell ref="C22:D22"/>
    <mergeCell ref="B2:J2"/>
    <mergeCell ref="B3:J3"/>
    <mergeCell ref="B4:J4"/>
    <mergeCell ref="B5:J5"/>
    <mergeCell ref="B6:J6"/>
    <mergeCell ref="I7:J7"/>
    <mergeCell ref="A20:B20"/>
    <mergeCell ref="C20:D20"/>
    <mergeCell ref="E20:H20"/>
    <mergeCell ref="J20:K20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E22:H22"/>
    <mergeCell ref="J22:K22"/>
    <mergeCell ref="A23:B23"/>
    <mergeCell ref="C23:D23"/>
    <mergeCell ref="E23:H23"/>
    <mergeCell ref="J23:K23"/>
    <mergeCell ref="A28:B28"/>
    <mergeCell ref="C28:D28"/>
    <mergeCell ref="E28:H28"/>
    <mergeCell ref="J28:K28"/>
    <mergeCell ref="A29:B29"/>
    <mergeCell ref="C29:D29"/>
    <mergeCell ref="E29:H29"/>
    <mergeCell ref="J29:K29"/>
    <mergeCell ref="A26:B26"/>
    <mergeCell ref="C26:D26"/>
    <mergeCell ref="E26:H26"/>
    <mergeCell ref="J26:K26"/>
    <mergeCell ref="A27:B27"/>
    <mergeCell ref="C27:D27"/>
    <mergeCell ref="E27:H27"/>
    <mergeCell ref="J27:K27"/>
    <mergeCell ref="A32:B32"/>
    <mergeCell ref="C32:D32"/>
    <mergeCell ref="E32:H32"/>
    <mergeCell ref="J32:K32"/>
    <mergeCell ref="A33:B33"/>
    <mergeCell ref="C33:D33"/>
    <mergeCell ref="E33:H33"/>
    <mergeCell ref="J33:K33"/>
    <mergeCell ref="A30:B30"/>
    <mergeCell ref="C30:D30"/>
    <mergeCell ref="E30:H30"/>
    <mergeCell ref="J30:K30"/>
    <mergeCell ref="A31:B31"/>
    <mergeCell ref="C31:D31"/>
    <mergeCell ref="E31:H31"/>
    <mergeCell ref="J31:K31"/>
    <mergeCell ref="A36:B36"/>
    <mergeCell ref="C36:D36"/>
    <mergeCell ref="E36:H36"/>
    <mergeCell ref="J36:K36"/>
    <mergeCell ref="A37:B37"/>
    <mergeCell ref="C37:D37"/>
    <mergeCell ref="E37:H37"/>
    <mergeCell ref="J37:K37"/>
    <mergeCell ref="A34:B34"/>
    <mergeCell ref="C34:D34"/>
    <mergeCell ref="E34:H34"/>
    <mergeCell ref="J34:K34"/>
    <mergeCell ref="A35:B35"/>
    <mergeCell ref="C35:D35"/>
    <mergeCell ref="E35:H35"/>
    <mergeCell ref="J35:K35"/>
    <mergeCell ref="A38:B38"/>
    <mergeCell ref="C38:D38"/>
    <mergeCell ref="E38:H38"/>
    <mergeCell ref="J38:K38"/>
    <mergeCell ref="A39:B39"/>
    <mergeCell ref="C39:D39"/>
    <mergeCell ref="E39:H39"/>
    <mergeCell ref="J39:K39"/>
    <mergeCell ref="A53:B53"/>
    <mergeCell ref="C53:D53"/>
    <mergeCell ref="E53:H53"/>
    <mergeCell ref="J53:K53"/>
    <mergeCell ref="A43:B43"/>
    <mergeCell ref="C43:D43"/>
    <mergeCell ref="E43:H43"/>
    <mergeCell ref="J43:K43"/>
    <mergeCell ref="A44:B44"/>
    <mergeCell ref="C44:D44"/>
    <mergeCell ref="E44:H44"/>
    <mergeCell ref="J44:K44"/>
    <mergeCell ref="A40:B40"/>
    <mergeCell ref="C40:D40"/>
    <mergeCell ref="E40:H40"/>
    <mergeCell ref="J40:K40"/>
    <mergeCell ref="A54:B54"/>
    <mergeCell ref="C54:D54"/>
    <mergeCell ref="E54:H54"/>
    <mergeCell ref="J54:K54"/>
    <mergeCell ref="B60:E60"/>
    <mergeCell ref="H60:J60"/>
    <mergeCell ref="B61:E61"/>
    <mergeCell ref="H61:J61"/>
    <mergeCell ref="B62:E62"/>
    <mergeCell ref="H62:J62"/>
    <mergeCell ref="A57:I57"/>
    <mergeCell ref="J57:K57"/>
    <mergeCell ref="A56:B56"/>
    <mergeCell ref="C56:D56"/>
    <mergeCell ref="E56:H56"/>
    <mergeCell ref="J56:K56"/>
    <mergeCell ref="A55:B55"/>
    <mergeCell ref="C55:D55"/>
    <mergeCell ref="E55:H55"/>
    <mergeCell ref="J55:K55"/>
    <mergeCell ref="A42:B42"/>
    <mergeCell ref="C42:D42"/>
    <mergeCell ref="E42:H42"/>
    <mergeCell ref="J42:K42"/>
    <mergeCell ref="A47:B47"/>
    <mergeCell ref="C47:D47"/>
    <mergeCell ref="E47:H47"/>
    <mergeCell ref="J47:K47"/>
    <mergeCell ref="A48:B48"/>
    <mergeCell ref="C48:D48"/>
    <mergeCell ref="E48:H48"/>
    <mergeCell ref="J48:K48"/>
    <mergeCell ref="A45:B45"/>
    <mergeCell ref="C45:D45"/>
    <mergeCell ref="E45:H45"/>
    <mergeCell ref="J45:K45"/>
    <mergeCell ref="A46:B46"/>
    <mergeCell ref="C46:D46"/>
    <mergeCell ref="E46:H46"/>
    <mergeCell ref="J46:K46"/>
    <mergeCell ref="A51:B51"/>
    <mergeCell ref="C51:D51"/>
    <mergeCell ref="E51:H51"/>
    <mergeCell ref="J51:K51"/>
    <mergeCell ref="A52:B52"/>
    <mergeCell ref="C52:D52"/>
    <mergeCell ref="E52:H52"/>
    <mergeCell ref="J52:K52"/>
    <mergeCell ref="A49:B49"/>
    <mergeCell ref="C49:D49"/>
    <mergeCell ref="E49:H49"/>
    <mergeCell ref="J49:K49"/>
    <mergeCell ref="A50:B50"/>
    <mergeCell ref="C50:D50"/>
    <mergeCell ref="E50:H50"/>
    <mergeCell ref="J50:K50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40A1-5B7D-43D3-93B4-FC20D41AB17A}">
  <dimension ref="A1:N63"/>
  <sheetViews>
    <sheetView view="pageBreakPreview" zoomScale="115" zoomScaleNormal="100" zoomScaleSheetLayoutView="115" workbookViewId="0">
      <selection activeCell="J6" sqref="J6:M6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227" t="s">
        <v>7</v>
      </c>
      <c r="C2" s="227"/>
      <c r="D2" s="227"/>
      <c r="E2" s="227"/>
      <c r="F2" s="227"/>
      <c r="G2" s="227"/>
      <c r="H2" s="227"/>
      <c r="I2" s="227"/>
      <c r="J2" s="227"/>
      <c r="K2" s="5"/>
    </row>
    <row r="3" spans="1:14">
      <c r="A3" s="4"/>
      <c r="B3" s="227" t="s">
        <v>0</v>
      </c>
      <c r="C3" s="227"/>
      <c r="D3" s="227"/>
      <c r="E3" s="227"/>
      <c r="F3" s="227"/>
      <c r="G3" s="227"/>
      <c r="H3" s="227"/>
      <c r="I3" s="227"/>
      <c r="J3" s="227"/>
      <c r="K3" s="5"/>
    </row>
    <row r="4" spans="1:14">
      <c r="A4" s="4"/>
      <c r="B4" s="227" t="s">
        <v>8</v>
      </c>
      <c r="C4" s="227"/>
      <c r="D4" s="227"/>
      <c r="E4" s="227"/>
      <c r="F4" s="227"/>
      <c r="G4" s="227"/>
      <c r="H4" s="227"/>
      <c r="I4" s="227"/>
      <c r="J4" s="227"/>
      <c r="K4" s="5"/>
    </row>
    <row r="5" spans="1:14" ht="15.6">
      <c r="A5" s="4"/>
      <c r="B5" s="247" t="s">
        <v>9</v>
      </c>
      <c r="C5" s="247"/>
      <c r="D5" s="247"/>
      <c r="E5" s="247"/>
      <c r="F5" s="247"/>
      <c r="G5" s="247"/>
      <c r="H5" s="247"/>
      <c r="I5" s="247"/>
      <c r="J5" s="247"/>
      <c r="K5" s="5"/>
    </row>
    <row r="6" spans="1:14">
      <c r="A6" s="4"/>
      <c r="B6" s="227" t="s">
        <v>10</v>
      </c>
      <c r="C6" s="227"/>
      <c r="D6" s="227"/>
      <c r="E6" s="227"/>
      <c r="F6" s="227"/>
      <c r="G6" s="227"/>
      <c r="H6" s="227"/>
      <c r="I6" s="227"/>
      <c r="J6" s="227"/>
      <c r="K6" s="5"/>
    </row>
    <row r="7" spans="1:14">
      <c r="A7" s="4"/>
      <c r="I7" s="248">
        <f>'Q1'!I7</f>
        <v>44648</v>
      </c>
      <c r="J7" s="248"/>
      <c r="K7" s="5"/>
    </row>
    <row r="8" spans="1:14">
      <c r="A8" s="4"/>
      <c r="I8" s="227" t="s">
        <v>2</v>
      </c>
      <c r="J8" s="227"/>
      <c r="K8" s="5"/>
    </row>
    <row r="9" spans="1:14">
      <c r="A9" s="4"/>
      <c r="B9" s="41" t="s">
        <v>11</v>
      </c>
      <c r="C9" s="257" t="s">
        <v>62</v>
      </c>
      <c r="D9" s="257"/>
      <c r="E9" s="257"/>
      <c r="F9" s="257"/>
      <c r="G9" s="257"/>
      <c r="H9" s="257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58">
        <f>'Q1'!G13</f>
        <v>0</v>
      </c>
      <c r="H13" s="258"/>
      <c r="I13" s="258"/>
      <c r="J13" s="258"/>
      <c r="K13" s="5"/>
    </row>
    <row r="14" spans="1:14" ht="16.5" customHeight="1">
      <c r="A14" s="4"/>
      <c r="B14" s="259" t="s">
        <v>14</v>
      </c>
      <c r="C14" s="259"/>
      <c r="D14" s="260">
        <f>'Q1'!D14</f>
        <v>0</v>
      </c>
      <c r="E14" s="260"/>
      <c r="F14" s="260"/>
      <c r="G14" s="260"/>
      <c r="H14" s="260"/>
      <c r="I14" s="260"/>
      <c r="J14" s="260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58" t="s">
        <v>1</v>
      </c>
      <c r="G15" s="258"/>
      <c r="H15" s="258"/>
      <c r="I15" s="258"/>
      <c r="J15" s="258"/>
      <c r="K15" s="5"/>
    </row>
    <row r="16" spans="1:14">
      <c r="A16" s="4"/>
      <c r="B16" s="42" t="s">
        <v>16</v>
      </c>
      <c r="C16" s="42"/>
      <c r="D16" s="42"/>
      <c r="E16" s="249"/>
      <c r="F16" s="249"/>
      <c r="G16" s="249"/>
      <c r="H16" s="249"/>
      <c r="I16" s="249"/>
      <c r="K16" s="5"/>
    </row>
    <row r="17" spans="1:11" ht="5.0999999999999996" customHeight="1" thickBot="1">
      <c r="A17" s="4"/>
      <c r="K17" s="5"/>
    </row>
    <row r="18" spans="1:11" ht="15" thickBot="1">
      <c r="A18" s="250" t="s">
        <v>4</v>
      </c>
      <c r="B18" s="251"/>
      <c r="C18" s="252" t="s">
        <v>3</v>
      </c>
      <c r="D18" s="252"/>
      <c r="E18" s="252" t="s">
        <v>17</v>
      </c>
      <c r="F18" s="252"/>
      <c r="G18" s="252"/>
      <c r="H18" s="252"/>
      <c r="I18" s="44" t="s">
        <v>18</v>
      </c>
      <c r="J18" s="252" t="s">
        <v>19</v>
      </c>
      <c r="K18" s="253"/>
    </row>
    <row r="19" spans="1:11" ht="15.75" customHeight="1" thickTop="1">
      <c r="A19" s="220" t="e">
        <f>#REF!</f>
        <v>#REF!</v>
      </c>
      <c r="B19" s="221"/>
      <c r="C19" s="222"/>
      <c r="D19" s="222"/>
      <c r="E19" s="254"/>
      <c r="F19" s="255"/>
      <c r="G19" s="255"/>
      <c r="H19" s="256"/>
      <c r="I19" s="45"/>
      <c r="J19" s="223" t="e">
        <f>I19*A19</f>
        <v>#REF!</v>
      </c>
      <c r="K19" s="224"/>
    </row>
    <row r="20" spans="1:11" ht="15" customHeight="1">
      <c r="A20" s="220"/>
      <c r="B20" s="221"/>
      <c r="C20" s="222"/>
      <c r="D20" s="222"/>
      <c r="E20" s="241"/>
      <c r="F20" s="242"/>
      <c r="G20" s="242"/>
      <c r="H20" s="243"/>
      <c r="I20" s="45"/>
      <c r="J20" s="223">
        <f t="shared" ref="J20:J27" si="0">I20*A20</f>
        <v>0</v>
      </c>
      <c r="K20" s="224"/>
    </row>
    <row r="21" spans="1:11">
      <c r="A21" s="220"/>
      <c r="B21" s="221"/>
      <c r="C21" s="222"/>
      <c r="D21" s="222"/>
      <c r="E21" s="241"/>
      <c r="F21" s="242"/>
      <c r="G21" s="242"/>
      <c r="H21" s="243"/>
      <c r="I21" s="45"/>
      <c r="J21" s="223">
        <f t="shared" si="0"/>
        <v>0</v>
      </c>
      <c r="K21" s="224"/>
    </row>
    <row r="22" spans="1:11">
      <c r="A22" s="220"/>
      <c r="B22" s="221"/>
      <c r="C22" s="222"/>
      <c r="D22" s="222"/>
      <c r="E22" s="241"/>
      <c r="F22" s="242"/>
      <c r="G22" s="242"/>
      <c r="H22" s="243"/>
      <c r="I22" s="45"/>
      <c r="J22" s="223">
        <f t="shared" si="0"/>
        <v>0</v>
      </c>
      <c r="K22" s="224"/>
    </row>
    <row r="23" spans="1:11">
      <c r="A23" s="220"/>
      <c r="B23" s="221"/>
      <c r="C23" s="222"/>
      <c r="D23" s="222"/>
      <c r="E23" s="244"/>
      <c r="F23" s="245"/>
      <c r="G23" s="245"/>
      <c r="H23" s="246"/>
      <c r="I23" s="45"/>
      <c r="J23" s="223">
        <f t="shared" si="0"/>
        <v>0</v>
      </c>
      <c r="K23" s="224"/>
    </row>
    <row r="24" spans="1:11">
      <c r="A24" s="220"/>
      <c r="B24" s="221"/>
      <c r="C24" s="222"/>
      <c r="D24" s="222"/>
      <c r="E24" s="244"/>
      <c r="F24" s="245"/>
      <c r="G24" s="245"/>
      <c r="H24" s="246"/>
      <c r="I24" s="45"/>
      <c r="J24" s="223">
        <f t="shared" si="0"/>
        <v>0</v>
      </c>
      <c r="K24" s="224"/>
    </row>
    <row r="25" spans="1:11" ht="15" customHeight="1">
      <c r="A25" s="220"/>
      <c r="B25" s="221"/>
      <c r="C25" s="222"/>
      <c r="D25" s="222"/>
      <c r="E25" s="238"/>
      <c r="F25" s="239"/>
      <c r="G25" s="239"/>
      <c r="H25" s="240"/>
      <c r="I25" s="46"/>
      <c r="J25" s="223">
        <f t="shared" si="0"/>
        <v>0</v>
      </c>
      <c r="K25" s="224"/>
    </row>
    <row r="26" spans="1:11">
      <c r="A26" s="220"/>
      <c r="B26" s="221"/>
      <c r="C26" s="222"/>
      <c r="D26" s="222"/>
      <c r="E26" s="238"/>
      <c r="F26" s="239"/>
      <c r="G26" s="239"/>
      <c r="H26" s="240"/>
      <c r="I26" s="46"/>
      <c r="J26" s="223">
        <f t="shared" si="0"/>
        <v>0</v>
      </c>
      <c r="K26" s="224"/>
    </row>
    <row r="27" spans="1:11">
      <c r="A27" s="220"/>
      <c r="B27" s="221"/>
      <c r="C27" s="222"/>
      <c r="D27" s="222"/>
      <c r="E27" s="238"/>
      <c r="F27" s="239"/>
      <c r="G27" s="239"/>
      <c r="H27" s="240"/>
      <c r="I27" s="46"/>
      <c r="J27" s="223">
        <f t="shared" si="0"/>
        <v>0</v>
      </c>
      <c r="K27" s="224"/>
    </row>
    <row r="28" spans="1:11">
      <c r="A28" s="220"/>
      <c r="B28" s="221"/>
      <c r="C28" s="222"/>
      <c r="D28" s="222"/>
      <c r="E28" s="235"/>
      <c r="F28" s="236"/>
      <c r="G28" s="236"/>
      <c r="H28" s="237"/>
      <c r="I28" s="46"/>
      <c r="J28" s="223"/>
      <c r="K28" s="224"/>
    </row>
    <row r="29" spans="1:11">
      <c r="A29" s="220"/>
      <c r="B29" s="221"/>
      <c r="C29" s="222"/>
      <c r="D29" s="222"/>
      <c r="E29" s="235"/>
      <c r="F29" s="236"/>
      <c r="G29" s="236"/>
      <c r="H29" s="237"/>
      <c r="I29" s="46"/>
      <c r="J29" s="223"/>
      <c r="K29" s="224"/>
    </row>
    <row r="30" spans="1:11">
      <c r="A30" s="220"/>
      <c r="B30" s="221"/>
      <c r="C30" s="222"/>
      <c r="D30" s="222"/>
      <c r="E30" s="222"/>
      <c r="F30" s="222"/>
      <c r="G30" s="222"/>
      <c r="H30" s="222"/>
      <c r="I30" s="45"/>
      <c r="J30" s="223"/>
      <c r="K30" s="224"/>
    </row>
    <row r="31" spans="1:11">
      <c r="A31" s="220"/>
      <c r="B31" s="221"/>
      <c r="C31" s="222"/>
      <c r="D31" s="222"/>
      <c r="E31" s="222"/>
      <c r="F31" s="222"/>
      <c r="G31" s="222"/>
      <c r="H31" s="222"/>
      <c r="I31" s="45"/>
      <c r="J31" s="223">
        <f>I31*A31</f>
        <v>0</v>
      </c>
      <c r="K31" s="224"/>
    </row>
    <row r="32" spans="1:11">
      <c r="A32" s="220"/>
      <c r="B32" s="221"/>
      <c r="C32" s="222"/>
      <c r="D32" s="222"/>
      <c r="E32" s="222"/>
      <c r="F32" s="222"/>
      <c r="G32" s="222"/>
      <c r="H32" s="222"/>
      <c r="I32" s="45"/>
      <c r="J32" s="223">
        <f>I32*A32</f>
        <v>0</v>
      </c>
      <c r="K32" s="224"/>
    </row>
    <row r="33" spans="1:11">
      <c r="A33" s="220"/>
      <c r="B33" s="221"/>
      <c r="C33" s="222"/>
      <c r="D33" s="222"/>
      <c r="E33" s="222"/>
      <c r="F33" s="222"/>
      <c r="G33" s="222"/>
      <c r="H33" s="222"/>
      <c r="I33" s="45"/>
      <c r="J33" s="223">
        <f>I33*A33</f>
        <v>0</v>
      </c>
      <c r="K33" s="224"/>
    </row>
    <row r="34" spans="1:11">
      <c r="A34" s="220"/>
      <c r="B34" s="221"/>
      <c r="C34" s="222"/>
      <c r="D34" s="222"/>
      <c r="E34" s="222"/>
      <c r="F34" s="222"/>
      <c r="G34" s="222"/>
      <c r="H34" s="222"/>
      <c r="I34" s="45"/>
      <c r="J34" s="223">
        <f>I34*A34</f>
        <v>0</v>
      </c>
      <c r="K34" s="224"/>
    </row>
    <row r="35" spans="1:11">
      <c r="A35" s="220"/>
      <c r="B35" s="221"/>
      <c r="C35" s="222"/>
      <c r="D35" s="222"/>
      <c r="E35" s="222"/>
      <c r="F35" s="222"/>
      <c r="G35" s="222"/>
      <c r="H35" s="222"/>
      <c r="I35" s="45"/>
      <c r="J35" s="223"/>
      <c r="K35" s="224"/>
    </row>
    <row r="36" spans="1:11">
      <c r="A36" s="220"/>
      <c r="B36" s="221"/>
      <c r="C36" s="222"/>
      <c r="D36" s="222"/>
      <c r="E36" s="222"/>
      <c r="F36" s="222"/>
      <c r="G36" s="222"/>
      <c r="H36" s="222"/>
      <c r="I36" s="45"/>
      <c r="J36" s="223"/>
      <c r="K36" s="224"/>
    </row>
    <row r="37" spans="1:11">
      <c r="A37" s="220"/>
      <c r="B37" s="221"/>
      <c r="C37" s="222"/>
      <c r="D37" s="222"/>
      <c r="E37" s="222"/>
      <c r="F37" s="222"/>
      <c r="G37" s="222"/>
      <c r="H37" s="222"/>
      <c r="I37" s="45"/>
      <c r="J37" s="223"/>
      <c r="K37" s="224"/>
    </row>
    <row r="38" spans="1:11">
      <c r="A38" s="220"/>
      <c r="B38" s="221"/>
      <c r="C38" s="222"/>
      <c r="D38" s="222"/>
      <c r="E38" s="222"/>
      <c r="F38" s="222"/>
      <c r="G38" s="222"/>
      <c r="H38" s="222"/>
      <c r="I38" s="45"/>
      <c r="J38" s="223"/>
      <c r="K38" s="224"/>
    </row>
    <row r="39" spans="1:11">
      <c r="A39" s="220"/>
      <c r="B39" s="221"/>
      <c r="C39" s="222"/>
      <c r="D39" s="222"/>
      <c r="E39" s="222"/>
      <c r="F39" s="222"/>
      <c r="G39" s="222"/>
      <c r="H39" s="222"/>
      <c r="I39" s="45"/>
      <c r="J39" s="223"/>
      <c r="K39" s="224"/>
    </row>
    <row r="40" spans="1:11">
      <c r="A40" s="220"/>
      <c r="B40" s="221"/>
      <c r="C40" s="222"/>
      <c r="D40" s="222"/>
      <c r="E40" s="222"/>
      <c r="F40" s="222"/>
      <c r="G40" s="222"/>
      <c r="H40" s="222"/>
      <c r="I40" s="45"/>
      <c r="J40" s="223"/>
      <c r="K40" s="224"/>
    </row>
    <row r="41" spans="1:11">
      <c r="A41" s="220"/>
      <c r="B41" s="221"/>
      <c r="C41" s="222"/>
      <c r="D41" s="222"/>
      <c r="E41" s="222"/>
      <c r="F41" s="222"/>
      <c r="G41" s="222"/>
      <c r="H41" s="222"/>
      <c r="I41" s="45"/>
      <c r="J41" s="223"/>
      <c r="K41" s="224"/>
    </row>
    <row r="42" spans="1:11">
      <c r="A42" s="220"/>
      <c r="B42" s="221"/>
      <c r="C42" s="222"/>
      <c r="D42" s="222"/>
      <c r="E42" s="222"/>
      <c r="F42" s="222"/>
      <c r="G42" s="222"/>
      <c r="H42" s="222"/>
      <c r="I42" s="45"/>
      <c r="J42" s="223"/>
      <c r="K42" s="224"/>
    </row>
    <row r="43" spans="1:11">
      <c r="A43" s="220"/>
      <c r="B43" s="221"/>
      <c r="C43" s="222"/>
      <c r="D43" s="222"/>
      <c r="E43" s="222"/>
      <c r="F43" s="222"/>
      <c r="G43" s="222"/>
      <c r="H43" s="222"/>
      <c r="I43" s="45"/>
      <c r="J43" s="223"/>
      <c r="K43" s="224"/>
    </row>
    <row r="44" spans="1:11">
      <c r="A44" s="220"/>
      <c r="B44" s="221"/>
      <c r="C44" s="222"/>
      <c r="D44" s="222"/>
      <c r="E44" s="222"/>
      <c r="F44" s="222"/>
      <c r="G44" s="222"/>
      <c r="H44" s="222"/>
      <c r="I44" s="45"/>
      <c r="J44" s="223"/>
      <c r="K44" s="224"/>
    </row>
    <row r="45" spans="1:11">
      <c r="A45" s="220"/>
      <c r="B45" s="221"/>
      <c r="C45" s="222"/>
      <c r="D45" s="222"/>
      <c r="E45" s="222"/>
      <c r="F45" s="222"/>
      <c r="G45" s="222"/>
      <c r="H45" s="222"/>
      <c r="I45" s="45"/>
      <c r="J45" s="223"/>
      <c r="K45" s="224"/>
    </row>
    <row r="46" spans="1:11">
      <c r="A46" s="220"/>
      <c r="B46" s="221"/>
      <c r="C46" s="222"/>
      <c r="D46" s="222"/>
      <c r="E46" s="222"/>
      <c r="F46" s="222"/>
      <c r="G46" s="222"/>
      <c r="H46" s="222"/>
      <c r="I46" s="45"/>
      <c r="J46" s="223"/>
      <c r="K46" s="224"/>
    </row>
    <row r="47" spans="1:11">
      <c r="A47" s="220"/>
      <c r="B47" s="221"/>
      <c r="C47" s="222"/>
      <c r="D47" s="222"/>
      <c r="E47" s="222"/>
      <c r="F47" s="222"/>
      <c r="G47" s="222"/>
      <c r="H47" s="222"/>
      <c r="I47" s="45"/>
      <c r="J47" s="223"/>
      <c r="K47" s="224"/>
    </row>
    <row r="48" spans="1:11">
      <c r="A48" s="220"/>
      <c r="B48" s="221"/>
      <c r="C48" s="222"/>
      <c r="D48" s="222"/>
      <c r="E48" s="222"/>
      <c r="F48" s="222"/>
      <c r="G48" s="222"/>
      <c r="H48" s="222"/>
      <c r="I48" s="45"/>
      <c r="J48" s="223"/>
      <c r="K48" s="224"/>
    </row>
    <row r="49" spans="1:11">
      <c r="A49" s="220"/>
      <c r="B49" s="221"/>
      <c r="C49" s="222"/>
      <c r="D49" s="222"/>
      <c r="E49" s="222"/>
      <c r="F49" s="222"/>
      <c r="G49" s="222"/>
      <c r="H49" s="222"/>
      <c r="I49" s="45"/>
      <c r="J49" s="223"/>
      <c r="K49" s="224"/>
    </row>
    <row r="50" spans="1:11">
      <c r="A50" s="220"/>
      <c r="B50" s="221"/>
      <c r="C50" s="222"/>
      <c r="D50" s="222"/>
      <c r="E50" s="222"/>
      <c r="F50" s="222"/>
      <c r="G50" s="222"/>
      <c r="H50" s="222"/>
      <c r="I50" s="45"/>
      <c r="J50" s="223"/>
      <c r="K50" s="224"/>
    </row>
    <row r="51" spans="1:11">
      <c r="A51" s="220"/>
      <c r="B51" s="221"/>
      <c r="C51" s="222"/>
      <c r="D51" s="222"/>
      <c r="E51" s="222"/>
      <c r="F51" s="222"/>
      <c r="G51" s="222"/>
      <c r="H51" s="222"/>
      <c r="I51" s="45"/>
      <c r="J51" s="223"/>
      <c r="K51" s="224"/>
    </row>
    <row r="52" spans="1:11">
      <c r="A52" s="220"/>
      <c r="B52" s="221"/>
      <c r="C52" s="222"/>
      <c r="D52" s="222"/>
      <c r="E52" s="222"/>
      <c r="F52" s="222"/>
      <c r="G52" s="222"/>
      <c r="H52" s="222"/>
      <c r="I52" s="45"/>
      <c r="J52" s="223"/>
      <c r="K52" s="224"/>
    </row>
    <row r="53" spans="1:11">
      <c r="A53" s="220"/>
      <c r="B53" s="221"/>
      <c r="C53" s="222"/>
      <c r="D53" s="222"/>
      <c r="E53" s="222"/>
      <c r="F53" s="222"/>
      <c r="G53" s="222"/>
      <c r="H53" s="222"/>
      <c r="I53" s="45"/>
      <c r="J53" s="223"/>
      <c r="K53" s="224"/>
    </row>
    <row r="54" spans="1:11">
      <c r="A54" s="220"/>
      <c r="B54" s="221"/>
      <c r="C54" s="222"/>
      <c r="D54" s="222"/>
      <c r="E54" s="222"/>
      <c r="F54" s="222"/>
      <c r="G54" s="222"/>
      <c r="H54" s="222"/>
      <c r="I54" s="45"/>
      <c r="J54" s="223"/>
      <c r="K54" s="224"/>
    </row>
    <row r="55" spans="1:11">
      <c r="A55" s="220"/>
      <c r="B55" s="221"/>
      <c r="C55" s="222"/>
      <c r="D55" s="222"/>
      <c r="E55" s="222"/>
      <c r="F55" s="222"/>
      <c r="G55" s="222"/>
      <c r="H55" s="222"/>
      <c r="I55" s="45"/>
      <c r="J55" s="223"/>
      <c r="K55" s="224"/>
    </row>
    <row r="56" spans="1:11">
      <c r="A56" s="220"/>
      <c r="B56" s="221"/>
      <c r="C56" s="222"/>
      <c r="D56" s="222"/>
      <c r="E56" s="222"/>
      <c r="F56" s="222"/>
      <c r="G56" s="222"/>
      <c r="H56" s="222"/>
      <c r="I56" s="46"/>
      <c r="J56" s="261"/>
      <c r="K56" s="262"/>
    </row>
    <row r="57" spans="1:11" ht="15" thickBot="1">
      <c r="A57" s="229" t="s">
        <v>20</v>
      </c>
      <c r="B57" s="230"/>
      <c r="C57" s="230"/>
      <c r="D57" s="230"/>
      <c r="E57" s="230"/>
      <c r="F57" s="230"/>
      <c r="G57" s="230"/>
      <c r="H57" s="230"/>
      <c r="I57" s="231"/>
      <c r="J57" s="232" t="e">
        <f>SUM(J19:K55)</f>
        <v>#REF!</v>
      </c>
      <c r="K57" s="233"/>
    </row>
    <row r="58" spans="1:11">
      <c r="A58" s="4"/>
      <c r="K58" s="5"/>
    </row>
    <row r="59" spans="1:11">
      <c r="A59" s="4"/>
      <c r="K59" s="5"/>
    </row>
    <row r="60" spans="1:11">
      <c r="A60" s="4"/>
      <c r="B60" s="225" t="s">
        <v>63</v>
      </c>
      <c r="C60" s="225"/>
      <c r="D60" s="225"/>
      <c r="E60" s="225"/>
      <c r="H60" s="226" t="s">
        <v>5</v>
      </c>
      <c r="I60" s="226"/>
      <c r="J60" s="226"/>
      <c r="K60" s="5"/>
    </row>
    <row r="61" spans="1:11">
      <c r="A61" s="4"/>
      <c r="B61" s="227" t="s">
        <v>21</v>
      </c>
      <c r="C61" s="227"/>
      <c r="D61" s="227"/>
      <c r="E61" s="227"/>
      <c r="H61" s="227" t="s">
        <v>22</v>
      </c>
      <c r="I61" s="227"/>
      <c r="J61" s="227"/>
      <c r="K61" s="5"/>
    </row>
    <row r="62" spans="1:11">
      <c r="A62" s="4"/>
      <c r="B62" s="228"/>
      <c r="C62" s="228"/>
      <c r="D62" s="228"/>
      <c r="E62" s="228"/>
      <c r="H62" s="227" t="s">
        <v>23</v>
      </c>
      <c r="I62" s="227"/>
      <c r="J62" s="227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I8:J8"/>
    <mergeCell ref="C9:H9"/>
    <mergeCell ref="G13:J13"/>
    <mergeCell ref="B14:C14"/>
    <mergeCell ref="D14:J14"/>
    <mergeCell ref="F15:J15"/>
    <mergeCell ref="B2:J2"/>
    <mergeCell ref="B3:J3"/>
    <mergeCell ref="B4:J4"/>
    <mergeCell ref="B5:J5"/>
    <mergeCell ref="B6:J6"/>
    <mergeCell ref="I7:J7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A22:B22"/>
    <mergeCell ref="C22:D22"/>
    <mergeCell ref="E22:H22"/>
    <mergeCell ref="J22:K22"/>
    <mergeCell ref="A23:B23"/>
    <mergeCell ref="C23:D23"/>
    <mergeCell ref="E23:H23"/>
    <mergeCell ref="J23:K23"/>
    <mergeCell ref="A20:B20"/>
    <mergeCell ref="C20:D20"/>
    <mergeCell ref="E20:H20"/>
    <mergeCell ref="J20:K20"/>
    <mergeCell ref="A21:B21"/>
    <mergeCell ref="C21:D21"/>
    <mergeCell ref="E21:H21"/>
    <mergeCell ref="J21:K21"/>
    <mergeCell ref="A26:B26"/>
    <mergeCell ref="C26:D26"/>
    <mergeCell ref="E26:H26"/>
    <mergeCell ref="J26:K26"/>
    <mergeCell ref="A27:B27"/>
    <mergeCell ref="C27:D27"/>
    <mergeCell ref="E27:H27"/>
    <mergeCell ref="J27:K27"/>
    <mergeCell ref="A24:B24"/>
    <mergeCell ref="C24:D24"/>
    <mergeCell ref="E24:H24"/>
    <mergeCell ref="J24:K24"/>
    <mergeCell ref="A25:B25"/>
    <mergeCell ref="C25:D25"/>
    <mergeCell ref="E25:H25"/>
    <mergeCell ref="J25:K25"/>
    <mergeCell ref="A30:B30"/>
    <mergeCell ref="C30:D30"/>
    <mergeCell ref="E30:H30"/>
    <mergeCell ref="J30:K30"/>
    <mergeCell ref="A31:B31"/>
    <mergeCell ref="C31:D31"/>
    <mergeCell ref="E31:H31"/>
    <mergeCell ref="J31:K31"/>
    <mergeCell ref="A28:B28"/>
    <mergeCell ref="C28:D28"/>
    <mergeCell ref="E28:H28"/>
    <mergeCell ref="J28:K28"/>
    <mergeCell ref="A29:B29"/>
    <mergeCell ref="C29:D29"/>
    <mergeCell ref="E29:H29"/>
    <mergeCell ref="J29:K29"/>
    <mergeCell ref="A34:B34"/>
    <mergeCell ref="C34:D34"/>
    <mergeCell ref="E34:H34"/>
    <mergeCell ref="J34:K34"/>
    <mergeCell ref="A35:B35"/>
    <mergeCell ref="C35:D35"/>
    <mergeCell ref="E35:H35"/>
    <mergeCell ref="J35:K35"/>
    <mergeCell ref="A32:B32"/>
    <mergeCell ref="C32:D32"/>
    <mergeCell ref="E32:H32"/>
    <mergeCell ref="J32:K32"/>
    <mergeCell ref="A33:B33"/>
    <mergeCell ref="C33:D33"/>
    <mergeCell ref="E33:H33"/>
    <mergeCell ref="J33:K33"/>
    <mergeCell ref="A38:B38"/>
    <mergeCell ref="C38:D38"/>
    <mergeCell ref="E38:H38"/>
    <mergeCell ref="J38:K38"/>
    <mergeCell ref="A39:B39"/>
    <mergeCell ref="C39:D39"/>
    <mergeCell ref="E39:H39"/>
    <mergeCell ref="J39:K39"/>
    <mergeCell ref="A36:B36"/>
    <mergeCell ref="C36:D36"/>
    <mergeCell ref="E36:H36"/>
    <mergeCell ref="J36:K36"/>
    <mergeCell ref="A37:B37"/>
    <mergeCell ref="C37:D37"/>
    <mergeCell ref="E37:H37"/>
    <mergeCell ref="J37:K37"/>
    <mergeCell ref="A42:B42"/>
    <mergeCell ref="C42:D42"/>
    <mergeCell ref="E42:H42"/>
    <mergeCell ref="J42:K42"/>
    <mergeCell ref="A43:B43"/>
    <mergeCell ref="C43:D43"/>
    <mergeCell ref="E43:H43"/>
    <mergeCell ref="J43:K43"/>
    <mergeCell ref="A40:B40"/>
    <mergeCell ref="C40:D40"/>
    <mergeCell ref="E40:H40"/>
    <mergeCell ref="J40:K40"/>
    <mergeCell ref="A41:B41"/>
    <mergeCell ref="C41:D41"/>
    <mergeCell ref="E41:H41"/>
    <mergeCell ref="J41:K41"/>
    <mergeCell ref="A46:B46"/>
    <mergeCell ref="C46:D46"/>
    <mergeCell ref="E46:H46"/>
    <mergeCell ref="J46:K46"/>
    <mergeCell ref="A47:B47"/>
    <mergeCell ref="C47:D47"/>
    <mergeCell ref="E47:H47"/>
    <mergeCell ref="J47:K47"/>
    <mergeCell ref="A44:B44"/>
    <mergeCell ref="C44:D44"/>
    <mergeCell ref="E44:H44"/>
    <mergeCell ref="J44:K44"/>
    <mergeCell ref="A45:B45"/>
    <mergeCell ref="C45:D45"/>
    <mergeCell ref="E45:H45"/>
    <mergeCell ref="J45:K45"/>
    <mergeCell ref="A48:B48"/>
    <mergeCell ref="C48:D48"/>
    <mergeCell ref="E48:H48"/>
    <mergeCell ref="J48:K48"/>
    <mergeCell ref="A49:B49"/>
    <mergeCell ref="C49:D49"/>
    <mergeCell ref="E49:H49"/>
    <mergeCell ref="J49:K49"/>
    <mergeCell ref="A52:B52"/>
    <mergeCell ref="C52:D52"/>
    <mergeCell ref="E52:H52"/>
    <mergeCell ref="J52:K52"/>
    <mergeCell ref="A53:B53"/>
    <mergeCell ref="C53:D53"/>
    <mergeCell ref="E53:H53"/>
    <mergeCell ref="J53:K53"/>
    <mergeCell ref="A50:B50"/>
    <mergeCell ref="C50:D50"/>
    <mergeCell ref="E50:H50"/>
    <mergeCell ref="J50:K50"/>
    <mergeCell ref="A51:B51"/>
    <mergeCell ref="C51:D51"/>
    <mergeCell ref="E51:H51"/>
    <mergeCell ref="J51:K51"/>
    <mergeCell ref="A55:B55"/>
    <mergeCell ref="C55:D55"/>
    <mergeCell ref="E55:H55"/>
    <mergeCell ref="J55:K55"/>
    <mergeCell ref="A54:B54"/>
    <mergeCell ref="C54:D54"/>
    <mergeCell ref="E54:H54"/>
    <mergeCell ref="J54:K54"/>
    <mergeCell ref="B60:E60"/>
    <mergeCell ref="H60:J60"/>
    <mergeCell ref="B61:E61"/>
    <mergeCell ref="H61:J61"/>
    <mergeCell ref="B62:E62"/>
    <mergeCell ref="H62:J62"/>
    <mergeCell ref="A56:B56"/>
    <mergeCell ref="C56:D56"/>
    <mergeCell ref="E56:H56"/>
    <mergeCell ref="J56:K56"/>
    <mergeCell ref="A57:I57"/>
    <mergeCell ref="J57:K57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5C6A-E766-4B09-86A7-545A1F4BC1D7}">
  <dimension ref="A1:N63"/>
  <sheetViews>
    <sheetView view="pageBreakPreview" topLeftCell="A4" zoomScale="115" zoomScaleNormal="100" zoomScaleSheetLayoutView="115" workbookViewId="0">
      <selection activeCell="J6" sqref="J6:M6"/>
    </sheetView>
  </sheetViews>
  <sheetFormatPr defaultColWidth="9.21875" defaultRowHeight="14.4"/>
  <cols>
    <col min="1" max="1" width="0.77734375" style="8" customWidth="1"/>
    <col min="2" max="2" width="17.21875" style="8" customWidth="1"/>
    <col min="3" max="3" width="7.77734375" style="8" customWidth="1"/>
    <col min="4" max="4" width="4.44140625" style="8" customWidth="1"/>
    <col min="5" max="5" width="11" style="8" customWidth="1"/>
    <col min="6" max="6" width="15.77734375" style="8" customWidth="1"/>
    <col min="7" max="8" width="9.21875" style="8"/>
    <col min="9" max="10" width="15.77734375" style="8" customWidth="1"/>
    <col min="11" max="11" width="0.77734375" style="8" customWidth="1"/>
    <col min="12" max="16384" width="9.21875" style="8"/>
  </cols>
  <sheetData>
    <row r="1" spans="1:14" ht="5.099999999999999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4"/>
      <c r="B2" s="227" t="s">
        <v>7</v>
      </c>
      <c r="C2" s="227"/>
      <c r="D2" s="227"/>
      <c r="E2" s="227"/>
      <c r="F2" s="227"/>
      <c r="G2" s="227"/>
      <c r="H2" s="227"/>
      <c r="I2" s="227"/>
      <c r="J2" s="227"/>
      <c r="K2" s="5"/>
    </row>
    <row r="3" spans="1:14">
      <c r="A3" s="4"/>
      <c r="B3" s="227" t="s">
        <v>0</v>
      </c>
      <c r="C3" s="227"/>
      <c r="D3" s="227"/>
      <c r="E3" s="227"/>
      <c r="F3" s="227"/>
      <c r="G3" s="227"/>
      <c r="H3" s="227"/>
      <c r="I3" s="227"/>
      <c r="J3" s="227"/>
      <c r="K3" s="5"/>
    </row>
    <row r="4" spans="1:14">
      <c r="A4" s="4"/>
      <c r="B4" s="227" t="s">
        <v>8</v>
      </c>
      <c r="C4" s="227"/>
      <c r="D4" s="227"/>
      <c r="E4" s="227"/>
      <c r="F4" s="227"/>
      <c r="G4" s="227"/>
      <c r="H4" s="227"/>
      <c r="I4" s="227"/>
      <c r="J4" s="227"/>
      <c r="K4" s="5"/>
    </row>
    <row r="5" spans="1:14" ht="15.6">
      <c r="A5" s="4"/>
      <c r="B5" s="247" t="s">
        <v>9</v>
      </c>
      <c r="C5" s="247"/>
      <c r="D5" s="247"/>
      <c r="E5" s="247"/>
      <c r="F5" s="247"/>
      <c r="G5" s="247"/>
      <c r="H5" s="247"/>
      <c r="I5" s="247"/>
      <c r="J5" s="247"/>
      <c r="K5" s="5"/>
    </row>
    <row r="6" spans="1:14">
      <c r="A6" s="4"/>
      <c r="B6" s="227" t="s">
        <v>10</v>
      </c>
      <c r="C6" s="227"/>
      <c r="D6" s="227"/>
      <c r="E6" s="227"/>
      <c r="F6" s="227"/>
      <c r="G6" s="227"/>
      <c r="H6" s="227"/>
      <c r="I6" s="227"/>
      <c r="J6" s="227"/>
      <c r="K6" s="5"/>
    </row>
    <row r="7" spans="1:14">
      <c r="A7" s="4"/>
      <c r="I7" s="248">
        <f>'Q1'!I7</f>
        <v>44648</v>
      </c>
      <c r="J7" s="248"/>
      <c r="K7" s="5"/>
    </row>
    <row r="8" spans="1:14">
      <c r="A8" s="4"/>
      <c r="I8" s="227" t="s">
        <v>2</v>
      </c>
      <c r="J8" s="227"/>
      <c r="K8" s="5"/>
    </row>
    <row r="9" spans="1:14">
      <c r="A9" s="4"/>
      <c r="B9" s="41" t="s">
        <v>11</v>
      </c>
      <c r="C9" s="257" t="s">
        <v>64</v>
      </c>
      <c r="D9" s="257"/>
      <c r="E9" s="257"/>
      <c r="F9" s="257"/>
      <c r="G9" s="257"/>
      <c r="H9" s="257"/>
      <c r="K9" s="5"/>
    </row>
    <row r="10" spans="1:14" ht="5.0999999999999996" customHeight="1">
      <c r="A10" s="4"/>
      <c r="K10" s="5"/>
    </row>
    <row r="11" spans="1:14">
      <c r="A11" s="4"/>
      <c r="B11" s="42" t="s">
        <v>12</v>
      </c>
      <c r="C11" s="42"/>
      <c r="D11" s="42"/>
      <c r="E11" s="42"/>
      <c r="F11" s="42"/>
      <c r="K11" s="5"/>
    </row>
    <row r="12" spans="1:14" ht="5.0999999999999996" customHeight="1">
      <c r="A12" s="4"/>
      <c r="B12" s="42"/>
      <c r="C12" s="42"/>
      <c r="D12" s="42"/>
      <c r="E12" s="42"/>
      <c r="F12" s="42"/>
      <c r="K12" s="5"/>
    </row>
    <row r="13" spans="1:14">
      <c r="A13" s="4"/>
      <c r="B13" s="42"/>
      <c r="C13" s="42" t="s">
        <v>13</v>
      </c>
      <c r="D13" s="42"/>
      <c r="E13" s="43"/>
      <c r="F13" s="43"/>
      <c r="G13" s="258">
        <f>'Q1'!G13</f>
        <v>0</v>
      </c>
      <c r="H13" s="258"/>
      <c r="I13" s="258"/>
      <c r="J13" s="258"/>
      <c r="K13" s="5"/>
    </row>
    <row r="14" spans="1:14" ht="16.5" customHeight="1">
      <c r="A14" s="4"/>
      <c r="B14" s="259" t="s">
        <v>14</v>
      </c>
      <c r="C14" s="259"/>
      <c r="D14" s="260">
        <f>'Q1'!D14</f>
        <v>0</v>
      </c>
      <c r="E14" s="260"/>
      <c r="F14" s="260"/>
      <c r="G14" s="260"/>
      <c r="H14" s="260"/>
      <c r="I14" s="260"/>
      <c r="J14" s="260"/>
      <c r="K14" s="6"/>
      <c r="L14" s="7"/>
      <c r="M14" s="7"/>
      <c r="N14" s="7"/>
    </row>
    <row r="15" spans="1:14">
      <c r="A15" s="4"/>
      <c r="B15" s="42" t="s">
        <v>15</v>
      </c>
      <c r="C15" s="42"/>
      <c r="D15" s="42"/>
      <c r="E15" s="42"/>
      <c r="F15" s="258" t="s">
        <v>1</v>
      </c>
      <c r="G15" s="258"/>
      <c r="H15" s="258"/>
      <c r="I15" s="258"/>
      <c r="J15" s="258"/>
      <c r="K15" s="5"/>
    </row>
    <row r="16" spans="1:14">
      <c r="A16" s="4"/>
      <c r="B16" s="42" t="s">
        <v>16</v>
      </c>
      <c r="C16" s="42"/>
      <c r="D16" s="42"/>
      <c r="E16" s="249"/>
      <c r="F16" s="249"/>
      <c r="G16" s="249"/>
      <c r="H16" s="249"/>
      <c r="I16" s="249"/>
      <c r="K16" s="5"/>
    </row>
    <row r="17" spans="1:11" ht="5.0999999999999996" customHeight="1" thickBot="1">
      <c r="A17" s="4"/>
      <c r="K17" s="5"/>
    </row>
    <row r="18" spans="1:11" ht="15" thickBot="1">
      <c r="A18" s="250" t="s">
        <v>4</v>
      </c>
      <c r="B18" s="251"/>
      <c r="C18" s="252" t="s">
        <v>3</v>
      </c>
      <c r="D18" s="252"/>
      <c r="E18" s="252" t="s">
        <v>17</v>
      </c>
      <c r="F18" s="252"/>
      <c r="G18" s="252"/>
      <c r="H18" s="252"/>
      <c r="I18" s="44" t="s">
        <v>18</v>
      </c>
      <c r="J18" s="252" t="s">
        <v>19</v>
      </c>
      <c r="K18" s="253"/>
    </row>
    <row r="19" spans="1:11" ht="15.75" customHeight="1" thickTop="1">
      <c r="A19" s="220" t="e">
        <f>#REF!</f>
        <v>#REF!</v>
      </c>
      <c r="B19" s="221"/>
      <c r="C19" s="222"/>
      <c r="D19" s="222"/>
      <c r="E19" s="254"/>
      <c r="F19" s="255"/>
      <c r="G19" s="255"/>
      <c r="H19" s="256"/>
      <c r="I19" s="45"/>
      <c r="J19" s="223" t="e">
        <f>I19*A19</f>
        <v>#REF!</v>
      </c>
      <c r="K19" s="224"/>
    </row>
    <row r="20" spans="1:11">
      <c r="A20" s="220"/>
      <c r="B20" s="221"/>
      <c r="C20" s="222"/>
      <c r="D20" s="222"/>
      <c r="E20" s="241"/>
      <c r="F20" s="242"/>
      <c r="G20" s="242"/>
      <c r="H20" s="243"/>
      <c r="I20" s="45"/>
      <c r="J20" s="223">
        <f t="shared" ref="J20:J29" si="0">I20*A20</f>
        <v>0</v>
      </c>
      <c r="K20" s="224"/>
    </row>
    <row r="21" spans="1:11">
      <c r="A21" s="220"/>
      <c r="B21" s="221"/>
      <c r="C21" s="222"/>
      <c r="D21" s="222"/>
      <c r="E21" s="241"/>
      <c r="F21" s="242"/>
      <c r="G21" s="242"/>
      <c r="H21" s="243"/>
      <c r="I21" s="45"/>
      <c r="J21" s="223">
        <f t="shared" si="0"/>
        <v>0</v>
      </c>
      <c r="K21" s="224"/>
    </row>
    <row r="22" spans="1:11">
      <c r="A22" s="220"/>
      <c r="B22" s="221"/>
      <c r="C22" s="222"/>
      <c r="D22" s="222"/>
      <c r="E22" s="241"/>
      <c r="F22" s="242"/>
      <c r="G22" s="242"/>
      <c r="H22" s="243"/>
      <c r="I22" s="45"/>
      <c r="J22" s="223">
        <f t="shared" si="0"/>
        <v>0</v>
      </c>
      <c r="K22" s="224"/>
    </row>
    <row r="23" spans="1:11">
      <c r="A23" s="220"/>
      <c r="B23" s="221"/>
      <c r="C23" s="222"/>
      <c r="D23" s="222"/>
      <c r="E23" s="244"/>
      <c r="F23" s="245"/>
      <c r="G23" s="245"/>
      <c r="H23" s="246"/>
      <c r="I23" s="45"/>
      <c r="J23" s="223">
        <f t="shared" si="0"/>
        <v>0</v>
      </c>
      <c r="K23" s="224"/>
    </row>
    <row r="24" spans="1:11" ht="15" customHeight="1">
      <c r="A24" s="220"/>
      <c r="B24" s="221"/>
      <c r="C24" s="222"/>
      <c r="D24" s="222"/>
      <c r="E24" s="244"/>
      <c r="F24" s="245"/>
      <c r="G24" s="245"/>
      <c r="H24" s="246"/>
      <c r="I24" s="45"/>
      <c r="J24" s="223">
        <f t="shared" si="0"/>
        <v>0</v>
      </c>
      <c r="K24" s="224"/>
    </row>
    <row r="25" spans="1:11" ht="15" customHeight="1">
      <c r="A25" s="220"/>
      <c r="B25" s="221"/>
      <c r="C25" s="222"/>
      <c r="D25" s="222"/>
      <c r="E25" s="238"/>
      <c r="F25" s="239"/>
      <c r="G25" s="239"/>
      <c r="H25" s="240"/>
      <c r="I25" s="46"/>
      <c r="J25" s="223">
        <f t="shared" si="0"/>
        <v>0</v>
      </c>
      <c r="K25" s="224"/>
    </row>
    <row r="26" spans="1:11" ht="15" customHeight="1">
      <c r="A26" s="220"/>
      <c r="B26" s="221"/>
      <c r="C26" s="222"/>
      <c r="D26" s="222"/>
      <c r="E26" s="238"/>
      <c r="F26" s="239"/>
      <c r="G26" s="239"/>
      <c r="H26" s="240"/>
      <c r="I26" s="46"/>
      <c r="J26" s="223">
        <f t="shared" si="0"/>
        <v>0</v>
      </c>
      <c r="K26" s="224"/>
    </row>
    <row r="27" spans="1:11" ht="15" customHeight="1">
      <c r="A27" s="220"/>
      <c r="B27" s="221"/>
      <c r="C27" s="222"/>
      <c r="D27" s="222"/>
      <c r="E27" s="238"/>
      <c r="F27" s="239"/>
      <c r="G27" s="239"/>
      <c r="H27" s="240"/>
      <c r="I27" s="46"/>
      <c r="J27" s="223">
        <f t="shared" si="0"/>
        <v>0</v>
      </c>
      <c r="K27" s="224"/>
    </row>
    <row r="28" spans="1:11">
      <c r="A28" s="220"/>
      <c r="B28" s="221"/>
      <c r="C28" s="222"/>
      <c r="D28" s="222"/>
      <c r="E28" s="235"/>
      <c r="F28" s="236"/>
      <c r="G28" s="236"/>
      <c r="H28" s="237"/>
      <c r="I28" s="46"/>
      <c r="J28" s="223">
        <f t="shared" si="0"/>
        <v>0</v>
      </c>
      <c r="K28" s="224"/>
    </row>
    <row r="29" spans="1:11">
      <c r="A29" s="220"/>
      <c r="B29" s="221"/>
      <c r="C29" s="222"/>
      <c r="D29" s="222"/>
      <c r="E29" s="235"/>
      <c r="F29" s="236"/>
      <c r="G29" s="236"/>
      <c r="H29" s="237"/>
      <c r="I29" s="46"/>
      <c r="J29" s="223">
        <f t="shared" si="0"/>
        <v>0</v>
      </c>
      <c r="K29" s="224"/>
    </row>
    <row r="30" spans="1:11">
      <c r="A30" s="220"/>
      <c r="B30" s="221"/>
      <c r="C30" s="222"/>
      <c r="D30" s="222"/>
      <c r="E30" s="222"/>
      <c r="F30" s="222"/>
      <c r="G30" s="222"/>
      <c r="H30" s="222"/>
      <c r="I30" s="45"/>
      <c r="J30" s="223">
        <f>I30*A30</f>
        <v>0</v>
      </c>
      <c r="K30" s="224"/>
    </row>
    <row r="31" spans="1:11">
      <c r="A31" s="220"/>
      <c r="B31" s="221"/>
      <c r="C31" s="222"/>
      <c r="D31" s="222"/>
      <c r="E31" s="222"/>
      <c r="F31" s="222"/>
      <c r="G31" s="222"/>
      <c r="H31" s="222"/>
      <c r="I31" s="45"/>
      <c r="J31" s="223">
        <f>I31*A31</f>
        <v>0</v>
      </c>
      <c r="K31" s="224"/>
    </row>
    <row r="32" spans="1:11">
      <c r="A32" s="220"/>
      <c r="B32" s="221"/>
      <c r="C32" s="222"/>
      <c r="D32" s="222"/>
      <c r="E32" s="222"/>
      <c r="F32" s="222"/>
      <c r="G32" s="222"/>
      <c r="H32" s="222"/>
      <c r="I32" s="45"/>
      <c r="J32" s="223">
        <f>I32*A32</f>
        <v>0</v>
      </c>
      <c r="K32" s="224"/>
    </row>
    <row r="33" spans="1:11">
      <c r="A33" s="220"/>
      <c r="B33" s="221"/>
      <c r="C33" s="222"/>
      <c r="D33" s="222"/>
      <c r="E33" s="222"/>
      <c r="F33" s="222"/>
      <c r="G33" s="222"/>
      <c r="H33" s="222"/>
      <c r="I33" s="45"/>
      <c r="J33" s="223">
        <f>I33*A33</f>
        <v>0</v>
      </c>
      <c r="K33" s="224"/>
    </row>
    <row r="34" spans="1:11">
      <c r="A34" s="220"/>
      <c r="B34" s="221"/>
      <c r="C34" s="222"/>
      <c r="D34" s="222"/>
      <c r="E34" s="222"/>
      <c r="F34" s="222"/>
      <c r="G34" s="222"/>
      <c r="H34" s="222"/>
      <c r="I34" s="45"/>
      <c r="J34" s="223">
        <f>I34*A34</f>
        <v>0</v>
      </c>
      <c r="K34" s="224"/>
    </row>
    <row r="35" spans="1:11">
      <c r="A35" s="220"/>
      <c r="B35" s="221"/>
      <c r="C35" s="222"/>
      <c r="D35" s="222"/>
      <c r="E35" s="222"/>
      <c r="F35" s="222"/>
      <c r="G35" s="222"/>
      <c r="H35" s="222"/>
      <c r="I35" s="45"/>
      <c r="J35" s="223"/>
      <c r="K35" s="224"/>
    </row>
    <row r="36" spans="1:11">
      <c r="A36" s="220"/>
      <c r="B36" s="221"/>
      <c r="C36" s="222"/>
      <c r="D36" s="222"/>
      <c r="E36" s="222"/>
      <c r="F36" s="222"/>
      <c r="G36" s="222"/>
      <c r="H36" s="222"/>
      <c r="I36" s="45"/>
      <c r="J36" s="223"/>
      <c r="K36" s="224"/>
    </row>
    <row r="37" spans="1:11">
      <c r="A37" s="220"/>
      <c r="B37" s="221"/>
      <c r="C37" s="222"/>
      <c r="D37" s="222"/>
      <c r="E37" s="222"/>
      <c r="F37" s="222"/>
      <c r="G37" s="222"/>
      <c r="H37" s="222"/>
      <c r="I37" s="45"/>
      <c r="J37" s="223"/>
      <c r="K37" s="224"/>
    </row>
    <row r="38" spans="1:11">
      <c r="A38" s="220"/>
      <c r="B38" s="221"/>
      <c r="C38" s="222"/>
      <c r="D38" s="222"/>
      <c r="E38" s="222"/>
      <c r="F38" s="222"/>
      <c r="G38" s="222"/>
      <c r="H38" s="222"/>
      <c r="I38" s="45"/>
      <c r="J38" s="223"/>
      <c r="K38" s="224"/>
    </row>
    <row r="39" spans="1:11">
      <c r="A39" s="220"/>
      <c r="B39" s="221"/>
      <c r="C39" s="222"/>
      <c r="D39" s="222"/>
      <c r="E39" s="222"/>
      <c r="F39" s="222"/>
      <c r="G39" s="222"/>
      <c r="H39" s="222"/>
      <c r="I39" s="45"/>
      <c r="J39" s="223"/>
      <c r="K39" s="224"/>
    </row>
    <row r="40" spans="1:11">
      <c r="A40" s="220"/>
      <c r="B40" s="221"/>
      <c r="C40" s="222"/>
      <c r="D40" s="222"/>
      <c r="E40" s="222"/>
      <c r="F40" s="222"/>
      <c r="G40" s="222"/>
      <c r="H40" s="222"/>
      <c r="I40" s="45"/>
      <c r="J40" s="223"/>
      <c r="K40" s="224"/>
    </row>
    <row r="41" spans="1:11">
      <c r="A41" s="220"/>
      <c r="B41" s="221"/>
      <c r="C41" s="222"/>
      <c r="D41" s="222"/>
      <c r="E41" s="222"/>
      <c r="F41" s="222"/>
      <c r="G41" s="222"/>
      <c r="H41" s="222"/>
      <c r="I41" s="45"/>
      <c r="J41" s="223"/>
      <c r="K41" s="224"/>
    </row>
    <row r="42" spans="1:11">
      <c r="A42" s="220"/>
      <c r="B42" s="221"/>
      <c r="C42" s="222"/>
      <c r="D42" s="222"/>
      <c r="E42" s="222"/>
      <c r="F42" s="222"/>
      <c r="G42" s="222"/>
      <c r="H42" s="222"/>
      <c r="I42" s="45"/>
      <c r="J42" s="223"/>
      <c r="K42" s="224"/>
    </row>
    <row r="43" spans="1:11">
      <c r="A43" s="220"/>
      <c r="B43" s="221"/>
      <c r="C43" s="222"/>
      <c r="D43" s="222"/>
      <c r="E43" s="222"/>
      <c r="F43" s="222"/>
      <c r="G43" s="222"/>
      <c r="H43" s="222"/>
      <c r="I43" s="45"/>
      <c r="J43" s="223"/>
      <c r="K43" s="224"/>
    </row>
    <row r="44" spans="1:11">
      <c r="A44" s="220"/>
      <c r="B44" s="221"/>
      <c r="C44" s="222"/>
      <c r="D44" s="222"/>
      <c r="E44" s="222"/>
      <c r="F44" s="222"/>
      <c r="G44" s="222"/>
      <c r="H44" s="222"/>
      <c r="I44" s="45"/>
      <c r="J44" s="223"/>
      <c r="K44" s="224"/>
    </row>
    <row r="45" spans="1:11">
      <c r="A45" s="220"/>
      <c r="B45" s="221"/>
      <c r="C45" s="222"/>
      <c r="D45" s="222"/>
      <c r="E45" s="222"/>
      <c r="F45" s="222"/>
      <c r="G45" s="222"/>
      <c r="H45" s="222"/>
      <c r="I45" s="45"/>
      <c r="J45" s="223"/>
      <c r="K45" s="224"/>
    </row>
    <row r="46" spans="1:11">
      <c r="A46" s="220"/>
      <c r="B46" s="221"/>
      <c r="C46" s="222"/>
      <c r="D46" s="222"/>
      <c r="E46" s="222"/>
      <c r="F46" s="222"/>
      <c r="G46" s="222"/>
      <c r="H46" s="222"/>
      <c r="I46" s="45"/>
      <c r="J46" s="223"/>
      <c r="K46" s="224"/>
    </row>
    <row r="47" spans="1:11">
      <c r="A47" s="220"/>
      <c r="B47" s="221"/>
      <c r="C47" s="222"/>
      <c r="D47" s="222"/>
      <c r="E47" s="222"/>
      <c r="F47" s="222"/>
      <c r="G47" s="222"/>
      <c r="H47" s="222"/>
      <c r="I47" s="45"/>
      <c r="J47" s="223"/>
      <c r="K47" s="224"/>
    </row>
    <row r="48" spans="1:11">
      <c r="A48" s="220"/>
      <c r="B48" s="221"/>
      <c r="C48" s="222"/>
      <c r="D48" s="222"/>
      <c r="E48" s="222"/>
      <c r="F48" s="222"/>
      <c r="G48" s="222"/>
      <c r="H48" s="222"/>
      <c r="I48" s="45"/>
      <c r="J48" s="223"/>
      <c r="K48" s="224"/>
    </row>
    <row r="49" spans="1:11">
      <c r="A49" s="220"/>
      <c r="B49" s="221"/>
      <c r="C49" s="222"/>
      <c r="D49" s="222"/>
      <c r="E49" s="222"/>
      <c r="F49" s="222"/>
      <c r="G49" s="222"/>
      <c r="H49" s="222"/>
      <c r="I49" s="45"/>
      <c r="J49" s="223"/>
      <c r="K49" s="224"/>
    </row>
    <row r="50" spans="1:11">
      <c r="A50" s="220"/>
      <c r="B50" s="221"/>
      <c r="C50" s="222"/>
      <c r="D50" s="222"/>
      <c r="E50" s="222"/>
      <c r="F50" s="222"/>
      <c r="G50" s="222"/>
      <c r="H50" s="222"/>
      <c r="I50" s="45"/>
      <c r="J50" s="223"/>
      <c r="K50" s="224"/>
    </row>
    <row r="51" spans="1:11">
      <c r="A51" s="220"/>
      <c r="B51" s="221"/>
      <c r="C51" s="222"/>
      <c r="D51" s="222"/>
      <c r="E51" s="222"/>
      <c r="F51" s="222"/>
      <c r="G51" s="222"/>
      <c r="H51" s="222"/>
      <c r="I51" s="45"/>
      <c r="J51" s="223"/>
      <c r="K51" s="224"/>
    </row>
    <row r="52" spans="1:11">
      <c r="A52" s="220"/>
      <c r="B52" s="221"/>
      <c r="C52" s="222"/>
      <c r="D52" s="222"/>
      <c r="E52" s="222"/>
      <c r="F52" s="222"/>
      <c r="G52" s="222"/>
      <c r="H52" s="222"/>
      <c r="I52" s="45"/>
      <c r="J52" s="223"/>
      <c r="K52" s="224"/>
    </row>
    <row r="53" spans="1:11">
      <c r="A53" s="220"/>
      <c r="B53" s="221"/>
      <c r="C53" s="222"/>
      <c r="D53" s="222"/>
      <c r="E53" s="222"/>
      <c r="F53" s="222"/>
      <c r="G53" s="222"/>
      <c r="H53" s="222"/>
      <c r="I53" s="45"/>
      <c r="J53" s="223"/>
      <c r="K53" s="224"/>
    </row>
    <row r="54" spans="1:11">
      <c r="A54" s="220"/>
      <c r="B54" s="221"/>
      <c r="C54" s="222"/>
      <c r="D54" s="222"/>
      <c r="E54" s="222"/>
      <c r="F54" s="222"/>
      <c r="G54" s="222"/>
      <c r="H54" s="222"/>
      <c r="I54" s="45"/>
      <c r="J54" s="223"/>
      <c r="K54" s="224"/>
    </row>
    <row r="55" spans="1:11">
      <c r="A55" s="220"/>
      <c r="B55" s="221"/>
      <c r="C55" s="222"/>
      <c r="D55" s="222"/>
      <c r="E55" s="222"/>
      <c r="F55" s="222"/>
      <c r="G55" s="222"/>
      <c r="H55" s="222"/>
      <c r="I55" s="45"/>
      <c r="J55" s="223"/>
      <c r="K55" s="224"/>
    </row>
    <row r="56" spans="1:11">
      <c r="A56" s="220"/>
      <c r="B56" s="221"/>
      <c r="C56" s="222"/>
      <c r="D56" s="222"/>
      <c r="E56" s="222"/>
      <c r="F56" s="222"/>
      <c r="G56" s="222"/>
      <c r="H56" s="222"/>
      <c r="I56" s="46"/>
      <c r="J56" s="261"/>
      <c r="K56" s="262"/>
    </row>
    <row r="57" spans="1:11" ht="15" thickBot="1">
      <c r="A57" s="229" t="s">
        <v>20</v>
      </c>
      <c r="B57" s="230"/>
      <c r="C57" s="230"/>
      <c r="D57" s="230"/>
      <c r="E57" s="230"/>
      <c r="F57" s="230"/>
      <c r="G57" s="230"/>
      <c r="H57" s="230"/>
      <c r="I57" s="231"/>
      <c r="J57" s="232" t="e">
        <f>SUM(J19:K55)</f>
        <v>#REF!</v>
      </c>
      <c r="K57" s="233"/>
    </row>
    <row r="58" spans="1:11">
      <c r="A58" s="4"/>
      <c r="K58" s="5"/>
    </row>
    <row r="59" spans="1:11">
      <c r="A59" s="4"/>
      <c r="K59" s="5"/>
    </row>
    <row r="60" spans="1:11">
      <c r="A60" s="4"/>
      <c r="B60" s="225" t="s">
        <v>65</v>
      </c>
      <c r="C60" s="225"/>
      <c r="D60" s="225"/>
      <c r="E60" s="225"/>
      <c r="H60" s="226" t="s">
        <v>5</v>
      </c>
      <c r="I60" s="226"/>
      <c r="J60" s="226"/>
      <c r="K60" s="5"/>
    </row>
    <row r="61" spans="1:11">
      <c r="A61" s="4"/>
      <c r="B61" s="227" t="s">
        <v>21</v>
      </c>
      <c r="C61" s="227"/>
      <c r="D61" s="227"/>
      <c r="E61" s="227"/>
      <c r="H61" s="227" t="s">
        <v>22</v>
      </c>
      <c r="I61" s="227"/>
      <c r="J61" s="227"/>
      <c r="K61" s="5"/>
    </row>
    <row r="62" spans="1:11">
      <c r="A62" s="4"/>
      <c r="B62" s="228"/>
      <c r="C62" s="228"/>
      <c r="D62" s="228"/>
      <c r="E62" s="228"/>
      <c r="H62" s="227" t="s">
        <v>23</v>
      </c>
      <c r="I62" s="227"/>
      <c r="J62" s="227"/>
      <c r="K62" s="5"/>
    </row>
    <row r="63" spans="1:11" ht="5.0999999999999996" customHeight="1" thickBot="1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1"/>
    </row>
  </sheetData>
  <mergeCells count="177">
    <mergeCell ref="B60:E60"/>
    <mergeCell ref="H60:J60"/>
    <mergeCell ref="B61:E61"/>
    <mergeCell ref="H61:J61"/>
    <mergeCell ref="B62:E62"/>
    <mergeCell ref="H62:J62"/>
    <mergeCell ref="A56:B56"/>
    <mergeCell ref="C56:D56"/>
    <mergeCell ref="E56:H56"/>
    <mergeCell ref="J56:K56"/>
    <mergeCell ref="A57:I57"/>
    <mergeCell ref="J57:K57"/>
    <mergeCell ref="A54:B54"/>
    <mergeCell ref="C54:D54"/>
    <mergeCell ref="E54:H54"/>
    <mergeCell ref="J54:K54"/>
    <mergeCell ref="A55:B55"/>
    <mergeCell ref="C55:D55"/>
    <mergeCell ref="E55:H55"/>
    <mergeCell ref="J55:K55"/>
    <mergeCell ref="A52:B52"/>
    <mergeCell ref="C52:D52"/>
    <mergeCell ref="E52:H52"/>
    <mergeCell ref="J52:K52"/>
    <mergeCell ref="A53:B53"/>
    <mergeCell ref="C53:D53"/>
    <mergeCell ref="E53:H53"/>
    <mergeCell ref="J53:K53"/>
    <mergeCell ref="A50:B50"/>
    <mergeCell ref="C50:D50"/>
    <mergeCell ref="E50:H50"/>
    <mergeCell ref="J50:K50"/>
    <mergeCell ref="A51:B51"/>
    <mergeCell ref="C51:D51"/>
    <mergeCell ref="E51:H51"/>
    <mergeCell ref="J51:K51"/>
    <mergeCell ref="A48:B48"/>
    <mergeCell ref="C48:D48"/>
    <mergeCell ref="E48:H48"/>
    <mergeCell ref="J48:K48"/>
    <mergeCell ref="A49:B49"/>
    <mergeCell ref="C49:D49"/>
    <mergeCell ref="E49:H49"/>
    <mergeCell ref="J49:K49"/>
    <mergeCell ref="A46:B46"/>
    <mergeCell ref="C46:D46"/>
    <mergeCell ref="E46:H46"/>
    <mergeCell ref="J46:K46"/>
    <mergeCell ref="A47:B47"/>
    <mergeCell ref="C47:D47"/>
    <mergeCell ref="E47:H47"/>
    <mergeCell ref="J47:K47"/>
    <mergeCell ref="A44:B44"/>
    <mergeCell ref="C44:D44"/>
    <mergeCell ref="E44:H44"/>
    <mergeCell ref="J44:K44"/>
    <mergeCell ref="A45:B45"/>
    <mergeCell ref="C45:D45"/>
    <mergeCell ref="E45:H45"/>
    <mergeCell ref="J45:K45"/>
    <mergeCell ref="A42:B42"/>
    <mergeCell ref="C42:D42"/>
    <mergeCell ref="E42:H42"/>
    <mergeCell ref="J42:K42"/>
    <mergeCell ref="A43:B43"/>
    <mergeCell ref="C43:D43"/>
    <mergeCell ref="E43:H43"/>
    <mergeCell ref="J43:K43"/>
    <mergeCell ref="A40:B40"/>
    <mergeCell ref="C40:D40"/>
    <mergeCell ref="E40:H40"/>
    <mergeCell ref="J40:K40"/>
    <mergeCell ref="A41:B41"/>
    <mergeCell ref="C41:D41"/>
    <mergeCell ref="E41:H41"/>
    <mergeCell ref="J41:K41"/>
    <mergeCell ref="A38:B38"/>
    <mergeCell ref="C38:D38"/>
    <mergeCell ref="E38:H38"/>
    <mergeCell ref="J38:K38"/>
    <mergeCell ref="A39:B39"/>
    <mergeCell ref="C39:D39"/>
    <mergeCell ref="E39:H39"/>
    <mergeCell ref="J39:K39"/>
    <mergeCell ref="A36:B36"/>
    <mergeCell ref="C36:D36"/>
    <mergeCell ref="E36:H36"/>
    <mergeCell ref="J36:K36"/>
    <mergeCell ref="A37:B37"/>
    <mergeCell ref="C37:D37"/>
    <mergeCell ref="E37:H37"/>
    <mergeCell ref="J37:K37"/>
    <mergeCell ref="A34:B34"/>
    <mergeCell ref="C34:D34"/>
    <mergeCell ref="E34:H34"/>
    <mergeCell ref="J34:K34"/>
    <mergeCell ref="A35:B35"/>
    <mergeCell ref="C35:D35"/>
    <mergeCell ref="E35:H35"/>
    <mergeCell ref="J35:K35"/>
    <mergeCell ref="A32:B32"/>
    <mergeCell ref="C32:D32"/>
    <mergeCell ref="E32:H32"/>
    <mergeCell ref="J32:K32"/>
    <mergeCell ref="A33:B33"/>
    <mergeCell ref="C33:D33"/>
    <mergeCell ref="E33:H33"/>
    <mergeCell ref="J33:K33"/>
    <mergeCell ref="A30:B30"/>
    <mergeCell ref="C30:D30"/>
    <mergeCell ref="E30:H30"/>
    <mergeCell ref="J30:K30"/>
    <mergeCell ref="A31:B31"/>
    <mergeCell ref="C31:D31"/>
    <mergeCell ref="E31:H31"/>
    <mergeCell ref="J31:K31"/>
    <mergeCell ref="A28:B28"/>
    <mergeCell ref="C28:D28"/>
    <mergeCell ref="E28:H28"/>
    <mergeCell ref="J28:K28"/>
    <mergeCell ref="A29:B29"/>
    <mergeCell ref="C29:D29"/>
    <mergeCell ref="E29:H29"/>
    <mergeCell ref="J29:K29"/>
    <mergeCell ref="A26:B26"/>
    <mergeCell ref="C26:D26"/>
    <mergeCell ref="J26:K26"/>
    <mergeCell ref="A27:B27"/>
    <mergeCell ref="C27:D27"/>
    <mergeCell ref="J27:K27"/>
    <mergeCell ref="A24:B24"/>
    <mergeCell ref="C24:D24"/>
    <mergeCell ref="E24:H24"/>
    <mergeCell ref="J24:K24"/>
    <mergeCell ref="A25:B25"/>
    <mergeCell ref="C25:D25"/>
    <mergeCell ref="J25:K25"/>
    <mergeCell ref="E25:H25"/>
    <mergeCell ref="E26:H26"/>
    <mergeCell ref="E27:H27"/>
    <mergeCell ref="A22:B22"/>
    <mergeCell ref="C22:D22"/>
    <mergeCell ref="J22:K22"/>
    <mergeCell ref="A23:B23"/>
    <mergeCell ref="C23:D23"/>
    <mergeCell ref="E23:H23"/>
    <mergeCell ref="J23:K23"/>
    <mergeCell ref="A20:B20"/>
    <mergeCell ref="C20:D20"/>
    <mergeCell ref="J20:K20"/>
    <mergeCell ref="A21:B21"/>
    <mergeCell ref="C21:D21"/>
    <mergeCell ref="J21:K21"/>
    <mergeCell ref="E20:H20"/>
    <mergeCell ref="E21:H21"/>
    <mergeCell ref="E22:H22"/>
    <mergeCell ref="E16:I16"/>
    <mergeCell ref="A18:B18"/>
    <mergeCell ref="C18:D18"/>
    <mergeCell ref="E18:H18"/>
    <mergeCell ref="J18:K18"/>
    <mergeCell ref="A19:B19"/>
    <mergeCell ref="C19:D19"/>
    <mergeCell ref="E19:H19"/>
    <mergeCell ref="J19:K19"/>
    <mergeCell ref="I8:J8"/>
    <mergeCell ref="C9:H9"/>
    <mergeCell ref="G13:J13"/>
    <mergeCell ref="B14:C14"/>
    <mergeCell ref="D14:J14"/>
    <mergeCell ref="F15:J15"/>
    <mergeCell ref="B2:J2"/>
    <mergeCell ref="B3:J3"/>
    <mergeCell ref="B4:J4"/>
    <mergeCell ref="B5:J5"/>
    <mergeCell ref="B6:J6"/>
    <mergeCell ref="I7:J7"/>
  </mergeCells>
  <pageMargins left="0.12" right="0.12" top="0.12" bottom="0.12" header="0.3" footer="0.2"/>
  <pageSetup paperSize="9" scale="95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22F0-5C3B-428C-9CDB-0D3FD5FBC1DD}">
  <dimension ref="A1:N64"/>
  <sheetViews>
    <sheetView view="pageBreakPreview" zoomScale="115" zoomScaleNormal="100" zoomScaleSheetLayoutView="115" workbookViewId="0">
      <selection activeCell="P15" sqref="P15:Q15"/>
    </sheetView>
  </sheetViews>
  <sheetFormatPr defaultColWidth="9.21875" defaultRowHeight="15.6"/>
  <cols>
    <col min="1" max="1" width="0.77734375" style="12" customWidth="1"/>
    <col min="2" max="2" width="5.21875" style="8" customWidth="1"/>
    <col min="3" max="3" width="3" style="12" customWidth="1"/>
    <col min="4" max="4" width="2" style="12" customWidth="1"/>
    <col min="5" max="6" width="4.77734375" style="12" customWidth="1"/>
    <col min="7" max="7" width="8.21875" style="12" customWidth="1"/>
    <col min="8" max="8" width="36.5546875" style="12" customWidth="1"/>
    <col min="9" max="9" width="7" style="12" customWidth="1"/>
    <col min="10" max="10" width="2.77734375" style="12" customWidth="1"/>
    <col min="11" max="11" width="10.44140625" style="12" customWidth="1"/>
    <col min="12" max="12" width="7.44140625" style="12" customWidth="1"/>
    <col min="13" max="13" width="15.77734375" style="12" customWidth="1"/>
    <col min="14" max="14" width="0.77734375" style="12" customWidth="1"/>
    <col min="15" max="16384" width="9.21875" style="12"/>
  </cols>
  <sheetData>
    <row r="1" spans="1:14" ht="5.0999999999999996" customHeight="1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22.8">
      <c r="A2" s="17"/>
      <c r="B2" s="332" t="s">
        <v>24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18"/>
    </row>
    <row r="3" spans="1:14">
      <c r="A3" s="17"/>
      <c r="B3" s="333" t="s">
        <v>25</v>
      </c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18"/>
    </row>
    <row r="4" spans="1:14">
      <c r="A4" s="17"/>
      <c r="B4" s="290" t="s">
        <v>26</v>
      </c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18"/>
    </row>
    <row r="5" spans="1:14" ht="5.0999999999999996" customHeight="1" thickBot="1">
      <c r="A5" s="17"/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18"/>
    </row>
    <row r="6" spans="1:14">
      <c r="A6" s="13"/>
      <c r="B6" s="19" t="s">
        <v>27</v>
      </c>
      <c r="C6" s="19"/>
      <c r="D6" s="335" t="s">
        <v>66</v>
      </c>
      <c r="E6" s="335"/>
      <c r="F6" s="335"/>
      <c r="G6" s="335"/>
      <c r="H6" s="335"/>
      <c r="I6" s="20" t="s">
        <v>28</v>
      </c>
      <c r="J6" s="336" t="e">
        <f>#REF!</f>
        <v>#REF!</v>
      </c>
      <c r="K6" s="336"/>
      <c r="L6" s="336"/>
      <c r="M6" s="336"/>
      <c r="N6" s="16"/>
    </row>
    <row r="7" spans="1:14">
      <c r="A7" s="17"/>
      <c r="B7" s="21" t="s">
        <v>29</v>
      </c>
      <c r="C7" s="21"/>
      <c r="D7" s="346" t="s">
        <v>67</v>
      </c>
      <c r="E7" s="346"/>
      <c r="F7" s="346"/>
      <c r="G7" s="346"/>
      <c r="H7" s="346"/>
      <c r="I7" s="22" t="s">
        <v>30</v>
      </c>
      <c r="J7" s="347">
        <f>'Q1'!I7</f>
        <v>44648</v>
      </c>
      <c r="K7" s="347"/>
      <c r="L7" s="347"/>
      <c r="M7" s="347"/>
      <c r="N7" s="18"/>
    </row>
    <row r="8" spans="1:14">
      <c r="A8" s="17"/>
      <c r="B8" s="21" t="s">
        <v>31</v>
      </c>
      <c r="C8" s="346" t="s">
        <v>68</v>
      </c>
      <c r="D8" s="346"/>
      <c r="E8" s="346"/>
      <c r="F8" s="346"/>
      <c r="G8" s="346"/>
      <c r="H8" s="346"/>
      <c r="I8" s="22" t="s">
        <v>32</v>
      </c>
      <c r="J8" s="22"/>
      <c r="K8" s="22"/>
      <c r="L8" s="348"/>
      <c r="M8" s="348"/>
      <c r="N8" s="18"/>
    </row>
    <row r="9" spans="1:14" ht="5.0999999999999996" customHeight="1" thickBot="1">
      <c r="A9" s="23"/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</row>
    <row r="10" spans="1:14">
      <c r="A10" s="13"/>
      <c r="B10" s="349" t="s">
        <v>33</v>
      </c>
      <c r="C10" s="349"/>
      <c r="D10" s="349"/>
      <c r="E10" s="349"/>
      <c r="F10" s="350" t="s">
        <v>34</v>
      </c>
      <c r="G10" s="350"/>
      <c r="H10" s="350"/>
      <c r="I10" s="350"/>
      <c r="J10" s="350"/>
      <c r="K10" s="350"/>
      <c r="L10" s="350"/>
      <c r="M10" s="350"/>
      <c r="N10" s="16"/>
    </row>
    <row r="11" spans="1:14">
      <c r="A11" s="17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18"/>
    </row>
    <row r="12" spans="1:14" ht="5.0999999999999996" customHeight="1" thickBot="1">
      <c r="A12" s="23"/>
      <c r="B12" s="344"/>
      <c r="C12" s="344"/>
      <c r="D12" s="344"/>
      <c r="E12" s="344"/>
      <c r="F12" s="344"/>
      <c r="G12" s="344"/>
      <c r="H12" s="344"/>
      <c r="I12" s="344"/>
      <c r="J12" s="344"/>
      <c r="K12" s="344"/>
      <c r="L12" s="344"/>
      <c r="M12" s="344"/>
      <c r="N12" s="26"/>
    </row>
    <row r="13" spans="1:14" ht="5.0999999999999996" customHeight="1">
      <c r="A13" s="13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16"/>
    </row>
    <row r="14" spans="1:14">
      <c r="A14" s="17"/>
      <c r="B14" s="320" t="s">
        <v>35</v>
      </c>
      <c r="C14" s="320"/>
      <c r="D14" s="320"/>
      <c r="E14" s="320"/>
      <c r="F14" s="345" t="s">
        <v>1</v>
      </c>
      <c r="G14" s="345"/>
      <c r="H14" s="345"/>
      <c r="I14" s="322" t="s">
        <v>36</v>
      </c>
      <c r="J14" s="322"/>
      <c r="K14" s="322"/>
      <c r="L14" s="323"/>
      <c r="M14" s="323"/>
      <c r="N14" s="18"/>
    </row>
    <row r="15" spans="1:14">
      <c r="A15" s="17"/>
      <c r="B15" s="320" t="s">
        <v>37</v>
      </c>
      <c r="C15" s="320"/>
      <c r="D15" s="320"/>
      <c r="E15" s="320"/>
      <c r="F15" s="321"/>
      <c r="G15" s="321"/>
      <c r="H15" s="321"/>
      <c r="I15" s="322" t="s">
        <v>38</v>
      </c>
      <c r="J15" s="322"/>
      <c r="K15" s="322"/>
      <c r="L15" s="323"/>
      <c r="M15" s="323"/>
      <c r="N15" s="18"/>
    </row>
    <row r="16" spans="1:14" ht="5.0999999999999996" customHeight="1" thickBot="1">
      <c r="A16" s="2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6"/>
    </row>
    <row r="17" spans="1:14" ht="30" customHeight="1" thickBot="1">
      <c r="A17" s="324" t="s">
        <v>39</v>
      </c>
      <c r="B17" s="325"/>
      <c r="C17" s="325"/>
      <c r="D17" s="326"/>
      <c r="E17" s="327" t="s">
        <v>40</v>
      </c>
      <c r="F17" s="327"/>
      <c r="G17" s="328" t="s">
        <v>41</v>
      </c>
      <c r="H17" s="326"/>
      <c r="I17" s="329" t="s">
        <v>42</v>
      </c>
      <c r="J17" s="329"/>
      <c r="K17" s="329" t="s">
        <v>43</v>
      </c>
      <c r="L17" s="329"/>
      <c r="M17" s="330" t="s">
        <v>44</v>
      </c>
      <c r="N17" s="331"/>
    </row>
    <row r="18" spans="1:14" ht="16.2" thickTop="1">
      <c r="A18" s="311"/>
      <c r="B18" s="312"/>
      <c r="C18" s="312"/>
      <c r="D18" s="313"/>
      <c r="E18" s="266" t="e">
        <f>'Q1'!C19</f>
        <v>#REF!</v>
      </c>
      <c r="F18" s="266"/>
      <c r="G18" s="314" t="e">
        <f>'Q1'!E19</f>
        <v>#REF!</v>
      </c>
      <c r="H18" s="315"/>
      <c r="I18" s="316" t="e">
        <f>'Q1'!A19</f>
        <v>#REF!</v>
      </c>
      <c r="J18" s="317"/>
      <c r="K18" s="269" t="e">
        <f>'Q1'!I19</f>
        <v>#REF!</v>
      </c>
      <c r="L18" s="269"/>
      <c r="M18" s="318" t="e">
        <f>I18*K18</f>
        <v>#REF!</v>
      </c>
      <c r="N18" s="319"/>
    </row>
    <row r="19" spans="1:14" ht="17.25" customHeight="1">
      <c r="A19" s="263"/>
      <c r="B19" s="264"/>
      <c r="C19" s="264"/>
      <c r="D19" s="265"/>
      <c r="E19" s="267" t="e">
        <f>'Q1'!C20</f>
        <v>#REF!</v>
      </c>
      <c r="F19" s="265"/>
      <c r="G19" s="282" t="e">
        <f>'Q1'!E20</f>
        <v>#REF!</v>
      </c>
      <c r="H19" s="283"/>
      <c r="I19" s="274" t="e">
        <f>'Q1'!A20</f>
        <v>#REF!</v>
      </c>
      <c r="J19" s="275"/>
      <c r="K19" s="270" t="e">
        <f>'Q1'!I20</f>
        <v>#REF!</v>
      </c>
      <c r="L19" s="284"/>
      <c r="M19" s="270" t="e">
        <f>I19*K19</f>
        <v>#REF!</v>
      </c>
      <c r="N19" s="271"/>
    </row>
    <row r="20" spans="1:14" ht="17.25" customHeight="1">
      <c r="A20" s="263"/>
      <c r="B20" s="264"/>
      <c r="C20" s="264"/>
      <c r="D20" s="265"/>
      <c r="E20" s="266"/>
      <c r="F20" s="266"/>
      <c r="G20" s="282"/>
      <c r="H20" s="283"/>
      <c r="I20" s="274"/>
      <c r="J20" s="275"/>
      <c r="K20" s="269">
        <f>'Q1'!I21</f>
        <v>0</v>
      </c>
      <c r="L20" s="269"/>
      <c r="M20" s="270">
        <f t="shared" ref="M20:M33" si="0">I20*K20</f>
        <v>0</v>
      </c>
      <c r="N20" s="271"/>
    </row>
    <row r="21" spans="1:14" ht="17.25" customHeight="1">
      <c r="A21" s="263"/>
      <c r="B21" s="264"/>
      <c r="C21" s="264"/>
      <c r="D21" s="265"/>
      <c r="E21" s="266"/>
      <c r="F21" s="266"/>
      <c r="G21" s="282"/>
      <c r="H21" s="283"/>
      <c r="I21" s="274"/>
      <c r="J21" s="275"/>
      <c r="K21" s="269">
        <f>'Q1'!I22</f>
        <v>0</v>
      </c>
      <c r="L21" s="269"/>
      <c r="M21" s="270">
        <f t="shared" si="0"/>
        <v>0</v>
      </c>
      <c r="N21" s="271"/>
    </row>
    <row r="22" spans="1:14" ht="17.25" customHeight="1">
      <c r="A22" s="263"/>
      <c r="B22" s="264"/>
      <c r="C22" s="264"/>
      <c r="D22" s="265"/>
      <c r="E22" s="266"/>
      <c r="F22" s="266"/>
      <c r="G22" s="285"/>
      <c r="H22" s="286"/>
      <c r="I22" s="274"/>
      <c r="J22" s="275"/>
      <c r="K22" s="269">
        <f>'Q1'!I23</f>
        <v>0</v>
      </c>
      <c r="L22" s="269"/>
      <c r="M22" s="270">
        <f t="shared" si="0"/>
        <v>0</v>
      </c>
      <c r="N22" s="271"/>
    </row>
    <row r="23" spans="1:14" ht="16.5" customHeight="1">
      <c r="A23" s="263"/>
      <c r="B23" s="264"/>
      <c r="C23" s="264"/>
      <c r="D23" s="265"/>
      <c r="E23" s="266"/>
      <c r="F23" s="266"/>
      <c r="G23" s="280"/>
      <c r="H23" s="281"/>
      <c r="I23" s="274"/>
      <c r="J23" s="275"/>
      <c r="K23" s="269">
        <f>'Q1'!I24</f>
        <v>0</v>
      </c>
      <c r="L23" s="269"/>
      <c r="M23" s="270">
        <f t="shared" si="0"/>
        <v>0</v>
      </c>
      <c r="N23" s="271"/>
    </row>
    <row r="24" spans="1:14">
      <c r="A24" s="263"/>
      <c r="B24" s="264"/>
      <c r="C24" s="264"/>
      <c r="D24" s="265"/>
      <c r="E24" s="266"/>
      <c r="F24" s="266"/>
      <c r="G24" s="278"/>
      <c r="H24" s="279"/>
      <c r="I24" s="274"/>
      <c r="J24" s="275"/>
      <c r="K24" s="269">
        <f>'Q1'!I25</f>
        <v>0</v>
      </c>
      <c r="L24" s="269"/>
      <c r="M24" s="270">
        <f t="shared" si="0"/>
        <v>0</v>
      </c>
      <c r="N24" s="271"/>
    </row>
    <row r="25" spans="1:14">
      <c r="A25" s="263"/>
      <c r="B25" s="264"/>
      <c r="C25" s="264"/>
      <c r="D25" s="265"/>
      <c r="E25" s="266"/>
      <c r="F25" s="266"/>
      <c r="G25" s="278"/>
      <c r="H25" s="279"/>
      <c r="I25" s="274"/>
      <c r="J25" s="275"/>
      <c r="K25" s="269">
        <f>'Q1'!I26</f>
        <v>0</v>
      </c>
      <c r="L25" s="269"/>
      <c r="M25" s="270">
        <f t="shared" si="0"/>
        <v>0</v>
      </c>
      <c r="N25" s="271"/>
    </row>
    <row r="26" spans="1:14">
      <c r="A26" s="263"/>
      <c r="B26" s="264"/>
      <c r="C26" s="264"/>
      <c r="D26" s="265"/>
      <c r="E26" s="266"/>
      <c r="F26" s="266"/>
      <c r="G26" s="278"/>
      <c r="H26" s="279"/>
      <c r="I26" s="274"/>
      <c r="J26" s="275"/>
      <c r="K26" s="269">
        <f>'Q1'!I27</f>
        <v>0</v>
      </c>
      <c r="L26" s="269"/>
      <c r="M26" s="270">
        <f t="shared" si="0"/>
        <v>0</v>
      </c>
      <c r="N26" s="271"/>
    </row>
    <row r="27" spans="1:14">
      <c r="A27" s="263"/>
      <c r="B27" s="264"/>
      <c r="C27" s="264"/>
      <c r="D27" s="265"/>
      <c r="E27" s="266"/>
      <c r="F27" s="266"/>
      <c r="G27" s="276"/>
      <c r="H27" s="277"/>
      <c r="I27" s="274"/>
      <c r="J27" s="275"/>
      <c r="K27" s="269">
        <f>'Q1'!I28</f>
        <v>0</v>
      </c>
      <c r="L27" s="269"/>
      <c r="M27" s="270">
        <f t="shared" si="0"/>
        <v>0</v>
      </c>
      <c r="N27" s="271"/>
    </row>
    <row r="28" spans="1:14">
      <c r="A28" s="263"/>
      <c r="B28" s="264"/>
      <c r="C28" s="264"/>
      <c r="D28" s="265"/>
      <c r="E28" s="266"/>
      <c r="F28" s="266"/>
      <c r="G28" s="272"/>
      <c r="H28" s="273"/>
      <c r="I28" s="274"/>
      <c r="J28" s="275"/>
      <c r="K28" s="269">
        <f>'Q1'!I29</f>
        <v>0</v>
      </c>
      <c r="L28" s="269"/>
      <c r="M28" s="270">
        <f t="shared" si="0"/>
        <v>0</v>
      </c>
      <c r="N28" s="271"/>
    </row>
    <row r="29" spans="1:14">
      <c r="A29" s="263"/>
      <c r="B29" s="264"/>
      <c r="C29" s="264"/>
      <c r="D29" s="265"/>
      <c r="E29" s="266"/>
      <c r="F29" s="266"/>
      <c r="G29" s="267"/>
      <c r="H29" s="265"/>
      <c r="I29" s="268"/>
      <c r="J29" s="268"/>
      <c r="K29" s="269">
        <f>'Q1'!I30</f>
        <v>0</v>
      </c>
      <c r="L29" s="269"/>
      <c r="M29" s="270">
        <f t="shared" si="0"/>
        <v>0</v>
      </c>
      <c r="N29" s="271"/>
    </row>
    <row r="30" spans="1:14">
      <c r="A30" s="263"/>
      <c r="B30" s="264"/>
      <c r="C30" s="264"/>
      <c r="D30" s="265"/>
      <c r="E30" s="266"/>
      <c r="F30" s="266"/>
      <c r="G30" s="267"/>
      <c r="H30" s="265"/>
      <c r="I30" s="268"/>
      <c r="J30" s="268"/>
      <c r="K30" s="269">
        <f>'Q1'!I31</f>
        <v>0</v>
      </c>
      <c r="L30" s="269"/>
      <c r="M30" s="270">
        <f t="shared" si="0"/>
        <v>0</v>
      </c>
      <c r="N30" s="271"/>
    </row>
    <row r="31" spans="1:14">
      <c r="A31" s="263"/>
      <c r="B31" s="264"/>
      <c r="C31" s="264"/>
      <c r="D31" s="265"/>
      <c r="E31" s="266"/>
      <c r="F31" s="266"/>
      <c r="G31" s="267"/>
      <c r="H31" s="265"/>
      <c r="I31" s="268"/>
      <c r="J31" s="268"/>
      <c r="K31" s="269">
        <f>'Q1'!I32</f>
        <v>0</v>
      </c>
      <c r="L31" s="269"/>
      <c r="M31" s="270">
        <f t="shared" si="0"/>
        <v>0</v>
      </c>
      <c r="N31" s="271"/>
    </row>
    <row r="32" spans="1:14">
      <c r="A32" s="263"/>
      <c r="B32" s="264"/>
      <c r="C32" s="264"/>
      <c r="D32" s="265"/>
      <c r="E32" s="266"/>
      <c r="F32" s="266"/>
      <c r="G32" s="267"/>
      <c r="H32" s="265"/>
      <c r="I32" s="268"/>
      <c r="J32" s="268"/>
      <c r="K32" s="269">
        <f>'Q1'!I33</f>
        <v>0</v>
      </c>
      <c r="L32" s="269"/>
      <c r="M32" s="270">
        <f t="shared" si="0"/>
        <v>0</v>
      </c>
      <c r="N32" s="271"/>
    </row>
    <row r="33" spans="1:14">
      <c r="A33" s="263"/>
      <c r="B33" s="264"/>
      <c r="C33" s="264"/>
      <c r="D33" s="265"/>
      <c r="E33" s="266"/>
      <c r="F33" s="266"/>
      <c r="G33" s="267"/>
      <c r="H33" s="265"/>
      <c r="I33" s="268"/>
      <c r="J33" s="268"/>
      <c r="K33" s="269">
        <f>'Q1'!I34</f>
        <v>0</v>
      </c>
      <c r="L33" s="269"/>
      <c r="M33" s="270">
        <f t="shared" si="0"/>
        <v>0</v>
      </c>
      <c r="N33" s="271"/>
    </row>
    <row r="34" spans="1:14">
      <c r="A34" s="263"/>
      <c r="B34" s="264"/>
      <c r="C34" s="264"/>
      <c r="D34" s="265"/>
      <c r="E34" s="266"/>
      <c r="F34" s="266"/>
      <c r="G34" s="267"/>
      <c r="H34" s="265"/>
      <c r="I34" s="268"/>
      <c r="J34" s="268"/>
      <c r="K34" s="269"/>
      <c r="L34" s="269"/>
      <c r="M34" s="270"/>
      <c r="N34" s="271"/>
    </row>
    <row r="35" spans="1:14">
      <c r="A35" s="263"/>
      <c r="B35" s="264"/>
      <c r="C35" s="264"/>
      <c r="D35" s="265"/>
      <c r="E35" s="266"/>
      <c r="F35" s="266"/>
      <c r="G35" s="267"/>
      <c r="H35" s="265"/>
      <c r="I35" s="268"/>
      <c r="J35" s="268"/>
      <c r="K35" s="269"/>
      <c r="L35" s="269"/>
      <c r="M35" s="270"/>
      <c r="N35" s="271"/>
    </row>
    <row r="36" spans="1:14">
      <c r="A36" s="263"/>
      <c r="B36" s="264"/>
      <c r="C36" s="264"/>
      <c r="D36" s="265"/>
      <c r="E36" s="266"/>
      <c r="F36" s="266"/>
      <c r="G36" s="267"/>
      <c r="H36" s="265"/>
      <c r="I36" s="268"/>
      <c r="J36" s="268"/>
      <c r="K36" s="269"/>
      <c r="L36" s="269"/>
      <c r="M36" s="270"/>
      <c r="N36" s="271"/>
    </row>
    <row r="37" spans="1:14">
      <c r="A37" s="263"/>
      <c r="B37" s="264"/>
      <c r="C37" s="264"/>
      <c r="D37" s="265"/>
      <c r="E37" s="266"/>
      <c r="F37" s="266"/>
      <c r="G37" s="267"/>
      <c r="H37" s="265"/>
      <c r="I37" s="268"/>
      <c r="J37" s="268"/>
      <c r="K37" s="269"/>
      <c r="L37" s="269"/>
      <c r="M37" s="270"/>
      <c r="N37" s="271"/>
    </row>
    <row r="38" spans="1:14">
      <c r="A38" s="263"/>
      <c r="B38" s="264"/>
      <c r="C38" s="264"/>
      <c r="D38" s="265"/>
      <c r="E38" s="266"/>
      <c r="F38" s="266"/>
      <c r="G38" s="267"/>
      <c r="H38" s="265"/>
      <c r="I38" s="268"/>
      <c r="J38" s="268"/>
      <c r="K38" s="269"/>
      <c r="L38" s="269"/>
      <c r="M38" s="270"/>
      <c r="N38" s="271"/>
    </row>
    <row r="39" spans="1:14">
      <c r="A39" s="263"/>
      <c r="B39" s="264"/>
      <c r="C39" s="264"/>
      <c r="D39" s="265"/>
      <c r="E39" s="266"/>
      <c r="F39" s="266"/>
      <c r="G39" s="267"/>
      <c r="H39" s="265"/>
      <c r="I39" s="268"/>
      <c r="J39" s="268"/>
      <c r="K39" s="269"/>
      <c r="L39" s="269"/>
      <c r="M39" s="270"/>
      <c r="N39" s="271"/>
    </row>
    <row r="40" spans="1:14">
      <c r="A40" s="263"/>
      <c r="B40" s="264"/>
      <c r="C40" s="264"/>
      <c r="D40" s="265"/>
      <c r="E40" s="266"/>
      <c r="F40" s="266"/>
      <c r="G40" s="267"/>
      <c r="H40" s="265"/>
      <c r="I40" s="268"/>
      <c r="J40" s="268"/>
      <c r="K40" s="269"/>
      <c r="L40" s="269"/>
      <c r="M40" s="270"/>
      <c r="N40" s="271"/>
    </row>
    <row r="41" spans="1:14">
      <c r="A41" s="263"/>
      <c r="B41" s="264"/>
      <c r="C41" s="264"/>
      <c r="D41" s="265"/>
      <c r="E41" s="266"/>
      <c r="F41" s="266"/>
      <c r="G41" s="267"/>
      <c r="H41" s="265"/>
      <c r="I41" s="268"/>
      <c r="J41" s="268"/>
      <c r="K41" s="269"/>
      <c r="L41" s="269"/>
      <c r="M41" s="270"/>
      <c r="N41" s="271"/>
    </row>
    <row r="42" spans="1:14">
      <c r="A42" s="263"/>
      <c r="B42" s="264"/>
      <c r="C42" s="264"/>
      <c r="D42" s="265"/>
      <c r="E42" s="267"/>
      <c r="F42" s="265"/>
      <c r="G42" s="267"/>
      <c r="H42" s="265"/>
      <c r="I42" s="274"/>
      <c r="J42" s="275"/>
      <c r="K42" s="270"/>
      <c r="L42" s="284"/>
      <c r="M42" s="270"/>
      <c r="N42" s="271"/>
    </row>
    <row r="43" spans="1:14" ht="16.2" thickBot="1">
      <c r="A43" s="342"/>
      <c r="B43" s="343"/>
      <c r="C43" s="343"/>
      <c r="D43" s="341"/>
      <c r="E43" s="340"/>
      <c r="F43" s="341"/>
      <c r="G43" s="340"/>
      <c r="H43" s="341"/>
      <c r="I43" s="340"/>
      <c r="J43" s="341"/>
      <c r="K43" s="337"/>
      <c r="L43" s="339"/>
      <c r="M43" s="337"/>
      <c r="N43" s="338"/>
    </row>
    <row r="44" spans="1:14" ht="16.2" thickBot="1">
      <c r="A44" s="292" t="s">
        <v>20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4" t="e">
        <f>SUM(M18:N43)</f>
        <v>#REF!</v>
      </c>
      <c r="N44" s="295"/>
    </row>
    <row r="45" spans="1:14" ht="15.75" customHeight="1">
      <c r="A45" s="29"/>
      <c r="B45" s="296" t="s">
        <v>45</v>
      </c>
      <c r="C45" s="296"/>
      <c r="D45" s="296"/>
      <c r="E45" s="296"/>
      <c r="F45" s="296"/>
      <c r="G45" s="296"/>
      <c r="H45" s="297" t="s">
        <v>69</v>
      </c>
      <c r="I45" s="297"/>
      <c r="J45" s="297"/>
      <c r="K45" s="297"/>
      <c r="L45" s="297"/>
      <c r="M45" s="297"/>
      <c r="N45" s="16"/>
    </row>
    <row r="46" spans="1:14" ht="4.5" customHeight="1" thickBot="1">
      <c r="A46" s="23"/>
      <c r="B46" s="30"/>
      <c r="C46" s="30"/>
      <c r="D46" s="30"/>
      <c r="E46" s="30"/>
      <c r="F46" s="30"/>
      <c r="G46" s="30"/>
      <c r="H46" s="298"/>
      <c r="I46" s="298"/>
      <c r="J46" s="298"/>
      <c r="K46" s="298"/>
      <c r="L46" s="298"/>
      <c r="M46" s="298"/>
      <c r="N46" s="26"/>
    </row>
    <row r="47" spans="1:14" ht="15.75" customHeight="1">
      <c r="A47" s="13"/>
      <c r="B47" s="299" t="s">
        <v>46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16"/>
    </row>
    <row r="48" spans="1:14">
      <c r="A48" s="17"/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18"/>
    </row>
    <row r="49" spans="1:14" ht="5.0999999999999996" customHeight="1" thickBot="1">
      <c r="A49" s="23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6"/>
    </row>
    <row r="50" spans="1:14">
      <c r="A50" s="13"/>
      <c r="B50" s="31" t="s">
        <v>47</v>
      </c>
      <c r="C50" s="31"/>
      <c r="D50" s="31"/>
      <c r="E50" s="31"/>
      <c r="F50" s="31"/>
      <c r="G50" s="31"/>
      <c r="H50" s="31"/>
      <c r="I50" s="31" t="s">
        <v>48</v>
      </c>
      <c r="J50" s="31"/>
      <c r="K50" s="32"/>
      <c r="L50" s="32"/>
      <c r="M50" s="32"/>
      <c r="N50" s="16"/>
    </row>
    <row r="51" spans="1:14">
      <c r="A51" s="17"/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18"/>
    </row>
    <row r="52" spans="1:14">
      <c r="A52" s="17"/>
      <c r="B52" s="306" t="s">
        <v>71</v>
      </c>
      <c r="C52" s="306"/>
      <c r="D52" s="306"/>
      <c r="E52" s="306"/>
      <c r="F52" s="306"/>
      <c r="G52" s="306"/>
      <c r="H52" s="306"/>
      <c r="I52" s="306" t="s">
        <v>6</v>
      </c>
      <c r="J52" s="306"/>
      <c r="K52" s="306"/>
      <c r="L52" s="306"/>
      <c r="M52" s="306"/>
      <c r="N52" s="18"/>
    </row>
    <row r="53" spans="1:14">
      <c r="A53" s="17"/>
      <c r="B53" s="291" t="s">
        <v>49</v>
      </c>
      <c r="C53" s="291"/>
      <c r="D53" s="291"/>
      <c r="E53" s="291"/>
      <c r="F53" s="291"/>
      <c r="G53" s="291"/>
      <c r="H53" s="291"/>
      <c r="I53" s="291" t="s">
        <v>50</v>
      </c>
      <c r="J53" s="291"/>
      <c r="K53" s="291"/>
      <c r="L53" s="291"/>
      <c r="M53" s="291"/>
      <c r="N53" s="18"/>
    </row>
    <row r="54" spans="1:14">
      <c r="A54" s="17"/>
      <c r="B54" s="309" t="s">
        <v>70</v>
      </c>
      <c r="C54" s="309"/>
      <c r="D54" s="309"/>
      <c r="E54" s="309"/>
      <c r="F54" s="309"/>
      <c r="G54" s="309"/>
      <c r="H54" s="309"/>
      <c r="I54" s="310" t="s">
        <v>51</v>
      </c>
      <c r="J54" s="310"/>
      <c r="K54" s="310"/>
      <c r="L54" s="310"/>
      <c r="M54" s="310"/>
      <c r="N54" s="18"/>
    </row>
    <row r="55" spans="1:14">
      <c r="A55" s="17"/>
      <c r="B55" s="291" t="s">
        <v>2</v>
      </c>
      <c r="C55" s="291"/>
      <c r="D55" s="291"/>
      <c r="E55" s="291"/>
      <c r="F55" s="291"/>
      <c r="G55" s="291"/>
      <c r="H55" s="291"/>
      <c r="I55" s="291" t="s">
        <v>52</v>
      </c>
      <c r="J55" s="291"/>
      <c r="K55" s="291"/>
      <c r="L55" s="291"/>
      <c r="M55" s="291"/>
      <c r="N55" s="18"/>
    </row>
    <row r="56" spans="1:14" ht="5.0999999999999996" customHeight="1" thickBot="1">
      <c r="A56" s="23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6"/>
    </row>
    <row r="57" spans="1:14">
      <c r="A57" s="13"/>
      <c r="B57" s="14" t="s">
        <v>53</v>
      </c>
      <c r="C57" s="15"/>
      <c r="D57" s="15"/>
      <c r="E57" s="15"/>
      <c r="F57" s="301"/>
      <c r="G57" s="301"/>
      <c r="H57" s="301"/>
      <c r="I57" s="35" t="s">
        <v>54</v>
      </c>
      <c r="J57" s="15"/>
      <c r="K57" s="15"/>
      <c r="L57" s="36"/>
      <c r="M57" s="36"/>
      <c r="N57" s="16"/>
    </row>
    <row r="58" spans="1:14">
      <c r="A58" s="17"/>
      <c r="B58" s="37" t="s">
        <v>55</v>
      </c>
      <c r="C58" s="38"/>
      <c r="D58" s="38"/>
      <c r="E58" s="38"/>
      <c r="F58" s="302"/>
      <c r="G58" s="302"/>
      <c r="H58" s="302"/>
      <c r="I58" s="39" t="s">
        <v>56</v>
      </c>
      <c r="J58" s="38"/>
      <c r="K58" s="38"/>
      <c r="L58" s="40"/>
      <c r="M58" s="40"/>
      <c r="N58" s="18"/>
    </row>
    <row r="59" spans="1:14" ht="5.0999999999999996" customHeight="1">
      <c r="A59" s="17"/>
      <c r="B59" s="37"/>
      <c r="C59" s="38"/>
      <c r="D59" s="38"/>
      <c r="E59" s="38"/>
      <c r="F59" s="38"/>
      <c r="G59" s="38"/>
      <c r="H59" s="38"/>
      <c r="I59" s="17"/>
      <c r="J59" s="38"/>
      <c r="K59" s="38"/>
      <c r="L59" s="38"/>
      <c r="M59" s="38"/>
      <c r="N59" s="18"/>
    </row>
    <row r="60" spans="1:14" ht="16.2" thickBot="1">
      <c r="A60" s="303"/>
      <c r="B60" s="304"/>
      <c r="C60" s="304"/>
      <c r="D60" s="304"/>
      <c r="E60" s="304"/>
      <c r="F60" s="304"/>
      <c r="G60" s="304"/>
      <c r="H60" s="304"/>
      <c r="I60" s="305" t="s">
        <v>57</v>
      </c>
      <c r="J60" s="306"/>
      <c r="K60" s="307" t="e">
        <f>M44</f>
        <v>#REF!</v>
      </c>
      <c r="L60" s="308"/>
      <c r="M60" s="308"/>
      <c r="N60" s="18"/>
    </row>
    <row r="61" spans="1:14" ht="16.2" thickTop="1">
      <c r="A61" s="287" t="s">
        <v>58</v>
      </c>
      <c r="B61" s="288"/>
      <c r="C61" s="288"/>
      <c r="D61" s="288"/>
      <c r="E61" s="288"/>
      <c r="F61" s="288"/>
      <c r="G61" s="288"/>
      <c r="H61" s="288"/>
      <c r="I61" s="17"/>
      <c r="J61" s="38"/>
      <c r="K61" s="38"/>
      <c r="L61" s="38"/>
      <c r="M61" s="38"/>
      <c r="N61" s="18"/>
    </row>
    <row r="62" spans="1:14">
      <c r="A62" s="289" t="s">
        <v>59</v>
      </c>
      <c r="B62" s="290"/>
      <c r="C62" s="290"/>
      <c r="D62" s="290"/>
      <c r="E62" s="290"/>
      <c r="F62" s="290"/>
      <c r="G62" s="290"/>
      <c r="H62" s="290"/>
      <c r="I62" s="17"/>
      <c r="J62" s="38"/>
      <c r="K62" s="38"/>
      <c r="L62" s="38"/>
      <c r="M62" s="38"/>
      <c r="N62" s="18"/>
    </row>
    <row r="63" spans="1:14">
      <c r="A63" s="289" t="s">
        <v>60</v>
      </c>
      <c r="B63" s="290"/>
      <c r="C63" s="290"/>
      <c r="D63" s="290"/>
      <c r="E63" s="290"/>
      <c r="F63" s="290"/>
      <c r="G63" s="290"/>
      <c r="H63" s="290"/>
      <c r="I63" s="17"/>
      <c r="J63" s="38"/>
      <c r="K63" s="38"/>
      <c r="L63" s="38"/>
      <c r="M63" s="38"/>
      <c r="N63" s="18"/>
    </row>
    <row r="64" spans="1:14" ht="5.0999999999999996" customHeight="1" thickBot="1">
      <c r="A64" s="23"/>
      <c r="B64" s="27"/>
      <c r="C64" s="28"/>
      <c r="D64" s="28"/>
      <c r="E64" s="28"/>
      <c r="F64" s="28"/>
      <c r="G64" s="28"/>
      <c r="H64" s="28"/>
      <c r="I64" s="23"/>
      <c r="J64" s="28"/>
      <c r="K64" s="28"/>
      <c r="L64" s="28"/>
      <c r="M64" s="28"/>
      <c r="N64" s="26"/>
    </row>
  </sheetData>
  <mergeCells count="206">
    <mergeCell ref="B2:M2"/>
    <mergeCell ref="B3:M3"/>
    <mergeCell ref="B4:M4"/>
    <mergeCell ref="B5:M5"/>
    <mergeCell ref="D6:H6"/>
    <mergeCell ref="J6:M6"/>
    <mergeCell ref="M43:N43"/>
    <mergeCell ref="K43:L43"/>
    <mergeCell ref="I43:J43"/>
    <mergeCell ref="G43:H43"/>
    <mergeCell ref="E43:F43"/>
    <mergeCell ref="A43:D43"/>
    <mergeCell ref="B11:M11"/>
    <mergeCell ref="B12:M12"/>
    <mergeCell ref="B14:E14"/>
    <mergeCell ref="F14:H14"/>
    <mergeCell ref="I14:K14"/>
    <mergeCell ref="L14:M14"/>
    <mergeCell ref="D7:H7"/>
    <mergeCell ref="J7:M7"/>
    <mergeCell ref="C8:H8"/>
    <mergeCell ref="L8:M8"/>
    <mergeCell ref="B10:E10"/>
    <mergeCell ref="F10:M10"/>
    <mergeCell ref="A18:D18"/>
    <mergeCell ref="E18:F18"/>
    <mergeCell ref="G18:H18"/>
    <mergeCell ref="I18:J18"/>
    <mergeCell ref="K18:L18"/>
    <mergeCell ref="M18:N18"/>
    <mergeCell ref="B15:E15"/>
    <mergeCell ref="F15:H15"/>
    <mergeCell ref="I15:K15"/>
    <mergeCell ref="L15:M15"/>
    <mergeCell ref="A17:D17"/>
    <mergeCell ref="E17:F17"/>
    <mergeCell ref="G17:H17"/>
    <mergeCell ref="I17:J17"/>
    <mergeCell ref="K17:L17"/>
    <mergeCell ref="M17:N17"/>
    <mergeCell ref="A38:D38"/>
    <mergeCell ref="E38:F38"/>
    <mergeCell ref="G38:H38"/>
    <mergeCell ref="I38:J38"/>
    <mergeCell ref="K38:L38"/>
    <mergeCell ref="M38:N38"/>
    <mergeCell ref="A37:D37"/>
    <mergeCell ref="E37:F37"/>
    <mergeCell ref="G37:H37"/>
    <mergeCell ref="I37:J37"/>
    <mergeCell ref="K37:L37"/>
    <mergeCell ref="M37:N37"/>
    <mergeCell ref="M44:N44"/>
    <mergeCell ref="B45:G45"/>
    <mergeCell ref="H45:M45"/>
    <mergeCell ref="H46:M46"/>
    <mergeCell ref="B47:M48"/>
    <mergeCell ref="I55:M55"/>
    <mergeCell ref="F57:H57"/>
    <mergeCell ref="F58:H58"/>
    <mergeCell ref="A60:H60"/>
    <mergeCell ref="I60:J60"/>
    <mergeCell ref="K60:M60"/>
    <mergeCell ref="B52:H52"/>
    <mergeCell ref="I52:M52"/>
    <mergeCell ref="B53:H53"/>
    <mergeCell ref="I53:M53"/>
    <mergeCell ref="B54:H54"/>
    <mergeCell ref="I54:M54"/>
    <mergeCell ref="A61:H61"/>
    <mergeCell ref="A62:H62"/>
    <mergeCell ref="A63:H63"/>
    <mergeCell ref="A39:D39"/>
    <mergeCell ref="E39:F39"/>
    <mergeCell ref="G39:H39"/>
    <mergeCell ref="A41:D41"/>
    <mergeCell ref="E41:F41"/>
    <mergeCell ref="G41:H41"/>
    <mergeCell ref="B55:H55"/>
    <mergeCell ref="A44:L44"/>
    <mergeCell ref="I39:J39"/>
    <mergeCell ref="K39:L39"/>
    <mergeCell ref="A42:D42"/>
    <mergeCell ref="E42:F42"/>
    <mergeCell ref="G42:H42"/>
    <mergeCell ref="I42:J42"/>
    <mergeCell ref="K42:L42"/>
    <mergeCell ref="M39:N39"/>
    <mergeCell ref="A40:D40"/>
    <mergeCell ref="E40:F40"/>
    <mergeCell ref="G40:H40"/>
    <mergeCell ref="I40:J40"/>
    <mergeCell ref="K40:L40"/>
    <mergeCell ref="M40:N40"/>
    <mergeCell ref="I41:J41"/>
    <mergeCell ref="K41:L41"/>
    <mergeCell ref="M41:N41"/>
    <mergeCell ref="M42:N42"/>
    <mergeCell ref="A19:D19"/>
    <mergeCell ref="E19:F19"/>
    <mergeCell ref="G19:H19"/>
    <mergeCell ref="I19:J19"/>
    <mergeCell ref="K19:L19"/>
    <mergeCell ref="M19:N19"/>
    <mergeCell ref="A20:D20"/>
    <mergeCell ref="M21:N21"/>
    <mergeCell ref="A22:D22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A21:D21"/>
    <mergeCell ref="E21:F21"/>
    <mergeCell ref="G21:H21"/>
    <mergeCell ref="I21:J21"/>
    <mergeCell ref="K21:L21"/>
    <mergeCell ref="A24:D24"/>
    <mergeCell ref="E24:F24"/>
    <mergeCell ref="G24:H24"/>
    <mergeCell ref="I24:J24"/>
    <mergeCell ref="K24:L24"/>
    <mergeCell ref="M24:N24"/>
    <mergeCell ref="A23:D23"/>
    <mergeCell ref="E23:F23"/>
    <mergeCell ref="G23:H23"/>
    <mergeCell ref="I23:J23"/>
    <mergeCell ref="K23:L23"/>
    <mergeCell ref="M23:N23"/>
    <mergeCell ref="A26:D26"/>
    <mergeCell ref="E26:F26"/>
    <mergeCell ref="G26:H26"/>
    <mergeCell ref="I26:J26"/>
    <mergeCell ref="K26:L26"/>
    <mergeCell ref="M26:N26"/>
    <mergeCell ref="A25:D25"/>
    <mergeCell ref="E25:F25"/>
    <mergeCell ref="G25:H25"/>
    <mergeCell ref="I25:J25"/>
    <mergeCell ref="K25:L25"/>
    <mergeCell ref="M25:N25"/>
    <mergeCell ref="A28:D28"/>
    <mergeCell ref="E28:F28"/>
    <mergeCell ref="G28:H28"/>
    <mergeCell ref="I28:J28"/>
    <mergeCell ref="K28:L28"/>
    <mergeCell ref="M28:N28"/>
    <mergeCell ref="A27:D27"/>
    <mergeCell ref="E27:F27"/>
    <mergeCell ref="G27:H27"/>
    <mergeCell ref="I27:J27"/>
    <mergeCell ref="K27:L27"/>
    <mergeCell ref="M27:N27"/>
    <mergeCell ref="A30:D30"/>
    <mergeCell ref="E30:F30"/>
    <mergeCell ref="G30:H30"/>
    <mergeCell ref="I30:J30"/>
    <mergeCell ref="K30:L30"/>
    <mergeCell ref="M30:N30"/>
    <mergeCell ref="A29:D29"/>
    <mergeCell ref="E29:F29"/>
    <mergeCell ref="G29:H29"/>
    <mergeCell ref="I29:J29"/>
    <mergeCell ref="K29:L29"/>
    <mergeCell ref="M29:N29"/>
    <mergeCell ref="A32:D32"/>
    <mergeCell ref="E32:F32"/>
    <mergeCell ref="G32:H32"/>
    <mergeCell ref="I32:J32"/>
    <mergeCell ref="K32:L32"/>
    <mergeCell ref="M32:N32"/>
    <mergeCell ref="A31:D31"/>
    <mergeCell ref="E31:F31"/>
    <mergeCell ref="G31:H31"/>
    <mergeCell ref="I31:J31"/>
    <mergeCell ref="K31:L31"/>
    <mergeCell ref="M31:N31"/>
    <mergeCell ref="A34:D34"/>
    <mergeCell ref="E34:F34"/>
    <mergeCell ref="G34:H34"/>
    <mergeCell ref="I34:J34"/>
    <mergeCell ref="K34:L34"/>
    <mergeCell ref="M34:N34"/>
    <mergeCell ref="A33:D33"/>
    <mergeCell ref="E33:F33"/>
    <mergeCell ref="G33:H33"/>
    <mergeCell ref="I33:J33"/>
    <mergeCell ref="K33:L33"/>
    <mergeCell ref="M33:N33"/>
    <mergeCell ref="A36:D36"/>
    <mergeCell ref="E36:F36"/>
    <mergeCell ref="G36:H36"/>
    <mergeCell ref="I36:J36"/>
    <mergeCell ref="K36:L36"/>
    <mergeCell ref="M36:N36"/>
    <mergeCell ref="A35:D35"/>
    <mergeCell ref="E35:F35"/>
    <mergeCell ref="G35:H35"/>
    <mergeCell ref="I35:J35"/>
    <mergeCell ref="K35:L35"/>
    <mergeCell ref="M35:N35"/>
  </mergeCells>
  <pageMargins left="0.12" right="0.12" top="0.12" bottom="0.12" header="0.3" footer="0.2"/>
  <pageSetup paperSize="9" scale="9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Sheet2</vt:lpstr>
      <vt:lpstr>List</vt:lpstr>
      <vt:lpstr>Sheet1</vt:lpstr>
      <vt:lpstr>Printer</vt:lpstr>
      <vt:lpstr>Sticker</vt:lpstr>
      <vt:lpstr>Q1</vt:lpstr>
      <vt:lpstr>Q2</vt:lpstr>
      <vt:lpstr>Q3</vt:lpstr>
      <vt:lpstr>PO</vt:lpstr>
      <vt:lpstr>PO!Print_Area</vt:lpstr>
      <vt:lpstr>Printer!Print_Area</vt:lpstr>
      <vt:lpstr>'Q1'!Print_Area</vt:lpstr>
      <vt:lpstr>'Q2'!Print_Area</vt:lpstr>
      <vt:lpstr>'Q3'!Print_Area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Karl Manuel Cordora</cp:lastModifiedBy>
  <cp:lastPrinted>2026-02-05T07:47:47Z</cp:lastPrinted>
  <dcterms:created xsi:type="dcterms:W3CDTF">2022-02-11T10:31:57Z</dcterms:created>
  <dcterms:modified xsi:type="dcterms:W3CDTF">2026-02-05T08:08:04Z</dcterms:modified>
</cp:coreProperties>
</file>