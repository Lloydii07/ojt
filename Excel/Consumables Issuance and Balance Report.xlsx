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ITSD\Desktop\RSMI\"/>
    </mc:Choice>
  </mc:AlternateContent>
  <xr:revisionPtr revIDLastSave="0" documentId="13_ncr:1_{528A12A8-D5F6-4094-89C7-B3997C66E156}" xr6:coauthVersionLast="47" xr6:coauthVersionMax="47" xr10:uidLastSave="{00000000-0000-0000-0000-000000000000}"/>
  <bookViews>
    <workbookView xWindow="-110" yWindow="-110" windowWidth="19420" windowHeight="10300" firstSheet="1" activeTab="9" xr2:uid="{0A3F8620-F0FA-4AB8-9CFA-8467CF9264DB}"/>
  </bookViews>
  <sheets>
    <sheet name="Table13" sheetId="13" state="hidden" r:id="rId1"/>
    <sheet name="Inventory 2025 - Summary" sheetId="4" r:id="rId2"/>
    <sheet name="Jan2025 Summary" sheetId="5" state="hidden" r:id="rId3"/>
    <sheet name="February 2025 Summary" sheetId="8" state="hidden" r:id="rId4"/>
    <sheet name="March 2025 Summary " sheetId="17" state="hidden" r:id="rId5"/>
    <sheet name="April 2025 Summary" sheetId="14" r:id="rId6"/>
    <sheet name="Mar-OfS (1)" sheetId="9" state="hidden" r:id="rId7"/>
    <sheet name="Mar-OtS (2)" sheetId="15" state="hidden" r:id="rId8"/>
    <sheet name="April-OfS (1)" sheetId="16" r:id="rId9"/>
    <sheet name="April-OtS(2)" sheetId="10" r:id="rId10"/>
    <sheet name="RPCI-OfS-Feb2025" sheetId="6" r:id="rId11"/>
    <sheet name="RPCI-OtS-Feb2025" sheetId="7" r:id="rId12"/>
  </sheets>
  <definedNames>
    <definedName name="ExternalData_1" localSheetId="0" hidden="1">Table13!$A$1:$Y$157</definedName>
    <definedName name="_xlnm.Print_Area" localSheetId="5">'April 2025 Summary'!$A$1:$J$197</definedName>
    <definedName name="_xlnm.Print_Area" localSheetId="8">'April-OfS (1)'!$A$1:$H$88</definedName>
    <definedName name="_xlnm.Print_Area" localSheetId="9">'April-OtS(2)'!$A$1:$H$86</definedName>
    <definedName name="_xlnm.Print_Area" localSheetId="3">'February 2025 Summary'!$A$1:$H$110</definedName>
    <definedName name="_xlnm.Print_Area" localSheetId="2">'Jan2025 Summary'!$A$1:$H$78</definedName>
    <definedName name="_xlnm.Print_Area" localSheetId="4">'March 2025 Summary '!$A$1:$H$195</definedName>
    <definedName name="_xlnm.Print_Area" localSheetId="6">'Mar-OfS (1)'!$A$1:$H$158</definedName>
    <definedName name="_xlnm.Print_Area" localSheetId="7">'Mar-OtS (2)'!$A$1:$H$84</definedName>
    <definedName name="_xlnm.Print_Area" localSheetId="10">'RPCI-OfS-Feb2025'!$A$1:$J$169</definedName>
    <definedName name="_xlnm.Print_Area" localSheetId="11">'RPCI-OtS-Feb2025'!$A$1:$J$94</definedName>
    <definedName name="_xlnm.Print_Titles" localSheetId="5">'April 2025 Summary'!$1:$1</definedName>
    <definedName name="_xlnm.Print_Titles" localSheetId="8">'April-OfS (1)'!$1:$10</definedName>
    <definedName name="_xlnm.Print_Titles" localSheetId="9">'April-OtS(2)'!$1:$10</definedName>
    <definedName name="_xlnm.Print_Titles" localSheetId="6">'Mar-OfS (1)'!$1:$10</definedName>
    <definedName name="_xlnm.Print_Titles" localSheetId="10">'RPCI-OfS-Feb2025'!$1:$10</definedName>
    <definedName name="_xlnm.Print_Titles" localSheetId="11">'RPCI-OtS-Feb2025'!$1:$10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6" l="1"/>
  <c r="G32" i="10"/>
  <c r="G33" i="10"/>
  <c r="H33" i="10" s="1"/>
  <c r="E33" i="10"/>
  <c r="G31" i="16"/>
  <c r="H31" i="16" s="1"/>
  <c r="E31" i="16"/>
  <c r="E86" i="14"/>
  <c r="G86" i="14"/>
  <c r="H86" i="14" s="1"/>
  <c r="J86" i="14"/>
  <c r="G47" i="10"/>
  <c r="H47" i="10" s="1"/>
  <c r="E47" i="10"/>
  <c r="U57" i="4"/>
  <c r="G72" i="10"/>
  <c r="H72" i="10" s="1"/>
  <c r="G73" i="10"/>
  <c r="H73" i="10" s="1"/>
  <c r="E72" i="10"/>
  <c r="E73" i="10"/>
  <c r="E45" i="10"/>
  <c r="G46" i="10"/>
  <c r="H46" i="10" s="1"/>
  <c r="E46" i="10"/>
  <c r="B11" i="6"/>
  <c r="D11" i="6"/>
  <c r="G45" i="10"/>
  <c r="H45" i="10" s="1"/>
  <c r="G39" i="16"/>
  <c r="H39" i="16" s="1"/>
  <c r="E39" i="16"/>
  <c r="J102" i="14"/>
  <c r="G161" i="4" l="1"/>
  <c r="H161" i="4"/>
  <c r="I161" i="4" s="1"/>
  <c r="N161" i="4"/>
  <c r="O161" i="4"/>
  <c r="P161" i="4" s="1"/>
  <c r="V161" i="4"/>
  <c r="W161" i="4" s="1"/>
  <c r="AC161" i="4"/>
  <c r="AD161" i="4" s="1"/>
  <c r="G148" i="4"/>
  <c r="H148" i="4"/>
  <c r="I148" i="4" s="1"/>
  <c r="N148" i="4"/>
  <c r="O148" i="4"/>
  <c r="P148" i="4" s="1"/>
  <c r="U148" i="4"/>
  <c r="V148" i="4"/>
  <c r="W148" i="4" s="1"/>
  <c r="AB148" i="4"/>
  <c r="AC148" i="4"/>
  <c r="AD148" i="4" s="1"/>
  <c r="G149" i="4"/>
  <c r="H149" i="4"/>
  <c r="I149" i="4" s="1"/>
  <c r="N149" i="4"/>
  <c r="O149" i="4"/>
  <c r="P149" i="4" s="1"/>
  <c r="U149" i="4"/>
  <c r="V149" i="4"/>
  <c r="W149" i="4" s="1"/>
  <c r="AB149" i="4"/>
  <c r="AC149" i="4"/>
  <c r="AD149" i="4" s="1"/>
  <c r="G150" i="4"/>
  <c r="H150" i="4"/>
  <c r="I150" i="4" s="1"/>
  <c r="N150" i="4"/>
  <c r="O150" i="4"/>
  <c r="P150" i="4" s="1"/>
  <c r="U150" i="4"/>
  <c r="V150" i="4"/>
  <c r="W150" i="4" s="1"/>
  <c r="AB150" i="4"/>
  <c r="AC150" i="4"/>
  <c r="AD150" i="4" s="1"/>
  <c r="G151" i="4"/>
  <c r="H151" i="4"/>
  <c r="I151" i="4" s="1"/>
  <c r="N151" i="4"/>
  <c r="O151" i="4"/>
  <c r="P151" i="4" s="1"/>
  <c r="U151" i="4"/>
  <c r="V151" i="4"/>
  <c r="W151" i="4" s="1"/>
  <c r="AB151" i="4"/>
  <c r="AC151" i="4"/>
  <c r="AD151" i="4" s="1"/>
  <c r="G152" i="4"/>
  <c r="H152" i="4"/>
  <c r="I152" i="4" s="1"/>
  <c r="N152" i="4"/>
  <c r="O152" i="4"/>
  <c r="P152" i="4" s="1"/>
  <c r="U152" i="4"/>
  <c r="V152" i="4"/>
  <c r="W152" i="4" s="1"/>
  <c r="AB152" i="4"/>
  <c r="AC152" i="4"/>
  <c r="AD152" i="4" s="1"/>
  <c r="G153" i="4"/>
  <c r="H153" i="4"/>
  <c r="I153" i="4" s="1"/>
  <c r="N153" i="4"/>
  <c r="O153" i="4"/>
  <c r="P153" i="4" s="1"/>
  <c r="U153" i="4"/>
  <c r="V153" i="4"/>
  <c r="W153" i="4" s="1"/>
  <c r="AB153" i="4"/>
  <c r="AC153" i="4"/>
  <c r="AD153" i="4" s="1"/>
  <c r="G154" i="4"/>
  <c r="H154" i="4"/>
  <c r="I154" i="4" s="1"/>
  <c r="N154" i="4"/>
  <c r="O154" i="4"/>
  <c r="P154" i="4" s="1"/>
  <c r="U154" i="4"/>
  <c r="V154" i="4"/>
  <c r="W154" i="4" s="1"/>
  <c r="AB154" i="4"/>
  <c r="AC154" i="4"/>
  <c r="AD154" i="4" s="1"/>
  <c r="G155" i="4"/>
  <c r="H155" i="4"/>
  <c r="J155" i="4" s="1"/>
  <c r="K155" i="4" s="1"/>
  <c r="N155" i="4"/>
  <c r="O155" i="4"/>
  <c r="P155" i="4" s="1"/>
  <c r="U155" i="4"/>
  <c r="V155" i="4"/>
  <c r="W155" i="4" s="1"/>
  <c r="AB155" i="4"/>
  <c r="AC155" i="4"/>
  <c r="AD155" i="4" s="1"/>
  <c r="G156" i="4"/>
  <c r="H156" i="4"/>
  <c r="I156" i="4" s="1"/>
  <c r="N156" i="4"/>
  <c r="O156" i="4"/>
  <c r="P156" i="4" s="1"/>
  <c r="U156" i="4"/>
  <c r="V156" i="4"/>
  <c r="W156" i="4" s="1"/>
  <c r="AB156" i="4"/>
  <c r="AC156" i="4"/>
  <c r="AD156" i="4" s="1"/>
  <c r="G157" i="4"/>
  <c r="H157" i="4"/>
  <c r="J157" i="4" s="1"/>
  <c r="N157" i="4"/>
  <c r="O157" i="4"/>
  <c r="P157" i="4" s="1"/>
  <c r="U157" i="4"/>
  <c r="V157" i="4"/>
  <c r="W157" i="4" s="1"/>
  <c r="AB157" i="4"/>
  <c r="AC157" i="4"/>
  <c r="AD157" i="4" s="1"/>
  <c r="E74" i="16"/>
  <c r="E75" i="16"/>
  <c r="E76" i="16"/>
  <c r="G60" i="16"/>
  <c r="H60" i="16" s="1"/>
  <c r="G62" i="16"/>
  <c r="H62" i="16" s="1"/>
  <c r="G63" i="16"/>
  <c r="H63" i="16" s="1"/>
  <c r="G64" i="16"/>
  <c r="H64" i="16" s="1"/>
  <c r="G65" i="16"/>
  <c r="H65" i="16" s="1"/>
  <c r="G66" i="16"/>
  <c r="H66" i="16" s="1"/>
  <c r="G67" i="16"/>
  <c r="H67" i="16" s="1"/>
  <c r="G68" i="16"/>
  <c r="H68" i="16" s="1"/>
  <c r="G69" i="16"/>
  <c r="H69" i="16" s="1"/>
  <c r="G70" i="16"/>
  <c r="H70" i="16" s="1"/>
  <c r="G71" i="16"/>
  <c r="H71" i="16" s="1"/>
  <c r="G72" i="16"/>
  <c r="H72" i="16" s="1"/>
  <c r="G73" i="16"/>
  <c r="H73" i="16" s="1"/>
  <c r="G74" i="16"/>
  <c r="H74" i="16" s="1"/>
  <c r="G75" i="16"/>
  <c r="H75" i="16" s="1"/>
  <c r="G76" i="16"/>
  <c r="H76" i="16" s="1"/>
  <c r="G77" i="16"/>
  <c r="H77" i="16" s="1"/>
  <c r="G78" i="16"/>
  <c r="H78" i="16" s="1"/>
  <c r="E60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J197" i="14"/>
  <c r="G197" i="14"/>
  <c r="H197" i="14" s="1"/>
  <c r="E197" i="14"/>
  <c r="J196" i="14"/>
  <c r="G196" i="14"/>
  <c r="H196" i="14" s="1"/>
  <c r="E196" i="14"/>
  <c r="J195" i="14"/>
  <c r="G195" i="14"/>
  <c r="H195" i="14" s="1"/>
  <c r="E195" i="14"/>
  <c r="I155" i="4" l="1"/>
  <c r="J148" i="4"/>
  <c r="K148" i="4" s="1"/>
  <c r="I157" i="4"/>
  <c r="J150" i="4"/>
  <c r="K150" i="4" s="1"/>
  <c r="J154" i="4"/>
  <c r="K154" i="4" s="1"/>
  <c r="J153" i="4"/>
  <c r="K153" i="4" s="1"/>
  <c r="J149" i="4"/>
  <c r="K149" i="4" s="1"/>
  <c r="J156" i="4"/>
  <c r="K156" i="4" s="1"/>
  <c r="J151" i="4"/>
  <c r="K151" i="4" s="1"/>
  <c r="Q148" i="4"/>
  <c r="R148" i="4" s="1"/>
  <c r="J152" i="4"/>
  <c r="K152" i="4" s="1"/>
  <c r="Q156" i="4"/>
  <c r="X156" i="4" s="1"/>
  <c r="J161" i="4"/>
  <c r="Q157" i="4"/>
  <c r="K157" i="4"/>
  <c r="Q155" i="4"/>
  <c r="AC6" i="4"/>
  <c r="AD6" i="4" s="1"/>
  <c r="AB6" i="4"/>
  <c r="G67" i="10"/>
  <c r="H67" i="10" s="1"/>
  <c r="G68" i="10"/>
  <c r="H68" i="10" s="1"/>
  <c r="G69" i="10"/>
  <c r="H69" i="10" s="1"/>
  <c r="G70" i="10"/>
  <c r="H70" i="10" s="1"/>
  <c r="G71" i="10"/>
  <c r="H71" i="10" s="1"/>
  <c r="G74" i="10"/>
  <c r="H74" i="10" s="1"/>
  <c r="G75" i="10"/>
  <c r="H75" i="10" s="1"/>
  <c r="G76" i="10"/>
  <c r="H76" i="10" s="1"/>
  <c r="G77" i="10"/>
  <c r="H77" i="10" s="1"/>
  <c r="E67" i="10"/>
  <c r="E68" i="10"/>
  <c r="E69" i="10"/>
  <c r="E70" i="10"/>
  <c r="E71" i="10"/>
  <c r="E74" i="10"/>
  <c r="E75" i="10"/>
  <c r="E76" i="10"/>
  <c r="E77" i="10"/>
  <c r="G79" i="16"/>
  <c r="H79" i="16" s="1"/>
  <c r="E77" i="16"/>
  <c r="E78" i="16"/>
  <c r="E79" i="16"/>
  <c r="AB57" i="4"/>
  <c r="E19" i="14"/>
  <c r="G19" i="14"/>
  <c r="H19" i="14" s="1"/>
  <c r="J19" i="14"/>
  <c r="E9" i="14"/>
  <c r="G9" i="14"/>
  <c r="H9" i="14" s="1"/>
  <c r="J9" i="14"/>
  <c r="Q150" i="4" l="1"/>
  <c r="R150" i="4" s="1"/>
  <c r="X148" i="4"/>
  <c r="AE148" i="4" s="1"/>
  <c r="AF148" i="4" s="1"/>
  <c r="Q154" i="4"/>
  <c r="X154" i="4" s="1"/>
  <c r="AE154" i="4" s="1"/>
  <c r="Q149" i="4"/>
  <c r="R149" i="4" s="1"/>
  <c r="Q153" i="4"/>
  <c r="X153" i="4" s="1"/>
  <c r="AE153" i="4" s="1"/>
  <c r="R154" i="4"/>
  <c r="Q151" i="4"/>
  <c r="R151" i="4" s="1"/>
  <c r="R156" i="4"/>
  <c r="Q152" i="4"/>
  <c r="X152" i="4" s="1"/>
  <c r="Y148" i="4"/>
  <c r="Y154" i="4"/>
  <c r="K161" i="4"/>
  <c r="Q161" i="4"/>
  <c r="X150" i="4"/>
  <c r="Y150" i="4" s="1"/>
  <c r="X157" i="4"/>
  <c r="R157" i="4"/>
  <c r="AE156" i="4"/>
  <c r="Y156" i="4"/>
  <c r="R155" i="4"/>
  <c r="X155" i="4"/>
  <c r="E27" i="14"/>
  <c r="G27" i="14"/>
  <c r="H27" i="14" s="1"/>
  <c r="J27" i="14"/>
  <c r="E5" i="14"/>
  <c r="G5" i="14"/>
  <c r="H5" i="14" s="1"/>
  <c r="J5" i="14"/>
  <c r="E37" i="14"/>
  <c r="G37" i="14"/>
  <c r="H37" i="14" s="1"/>
  <c r="J37" i="14"/>
  <c r="E34" i="14"/>
  <c r="G34" i="14"/>
  <c r="H34" i="14" s="1"/>
  <c r="J34" i="14"/>
  <c r="E30" i="14"/>
  <c r="G30" i="14"/>
  <c r="H30" i="14" s="1"/>
  <c r="J30" i="14"/>
  <c r="E15" i="14"/>
  <c r="G15" i="14"/>
  <c r="H15" i="14" s="1"/>
  <c r="J15" i="14"/>
  <c r="V6" i="4"/>
  <c r="W6" i="4" s="1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58" i="4"/>
  <c r="V159" i="4"/>
  <c r="V160" i="4"/>
  <c r="V162" i="4"/>
  <c r="AC162" i="4"/>
  <c r="AC160" i="4"/>
  <c r="AB160" i="4"/>
  <c r="AC159" i="4"/>
  <c r="AB159" i="4"/>
  <c r="AC158" i="4"/>
  <c r="AB158" i="4"/>
  <c r="AC147" i="4"/>
  <c r="AB147" i="4"/>
  <c r="AC146" i="4"/>
  <c r="AB146" i="4"/>
  <c r="AC145" i="4"/>
  <c r="AB145" i="4"/>
  <c r="AC144" i="4"/>
  <c r="AD144" i="4" s="1"/>
  <c r="AB144" i="4"/>
  <c r="AC143" i="4"/>
  <c r="AB143" i="4"/>
  <c r="AC142" i="4"/>
  <c r="AB142" i="4"/>
  <c r="AC141" i="4"/>
  <c r="AB141" i="4"/>
  <c r="AC140" i="4"/>
  <c r="AB140" i="4"/>
  <c r="AC139" i="4"/>
  <c r="AB139" i="4"/>
  <c r="AC138" i="4"/>
  <c r="AB138" i="4"/>
  <c r="AC137" i="4"/>
  <c r="AB137" i="4"/>
  <c r="AC136" i="4"/>
  <c r="AB136" i="4"/>
  <c r="AC135" i="4"/>
  <c r="AB135" i="4"/>
  <c r="AC134" i="4"/>
  <c r="AB134" i="4"/>
  <c r="AC133" i="4"/>
  <c r="AB133" i="4"/>
  <c r="AC132" i="4"/>
  <c r="AD132" i="4" s="1"/>
  <c r="AB132" i="4"/>
  <c r="AC131" i="4"/>
  <c r="AB131" i="4"/>
  <c r="AC130" i="4"/>
  <c r="AB130" i="4"/>
  <c r="AC129" i="4"/>
  <c r="AB129" i="4"/>
  <c r="AC128" i="4"/>
  <c r="AB128" i="4"/>
  <c r="AC127" i="4"/>
  <c r="AB127" i="4"/>
  <c r="AC126" i="4"/>
  <c r="AB126" i="4"/>
  <c r="AC125" i="4"/>
  <c r="AB125" i="4"/>
  <c r="AC124" i="4"/>
  <c r="AB124" i="4"/>
  <c r="AC123" i="4"/>
  <c r="AB123" i="4"/>
  <c r="AC122" i="4"/>
  <c r="AB122" i="4"/>
  <c r="AC121" i="4"/>
  <c r="AB121" i="4"/>
  <c r="AC120" i="4"/>
  <c r="AD120" i="4" s="1"/>
  <c r="AB120" i="4"/>
  <c r="AC119" i="4"/>
  <c r="AB119" i="4"/>
  <c r="AC118" i="4"/>
  <c r="AB118" i="4"/>
  <c r="AC117" i="4"/>
  <c r="AB117" i="4"/>
  <c r="AC116" i="4"/>
  <c r="AB116" i="4"/>
  <c r="AC115" i="4"/>
  <c r="AB115" i="4"/>
  <c r="AC114" i="4"/>
  <c r="AB114" i="4"/>
  <c r="AC113" i="4"/>
  <c r="AB113" i="4"/>
  <c r="AC112" i="4"/>
  <c r="AB112" i="4"/>
  <c r="AC111" i="4"/>
  <c r="AB111" i="4"/>
  <c r="AC110" i="4"/>
  <c r="AB110" i="4"/>
  <c r="AC109" i="4"/>
  <c r="AB109" i="4"/>
  <c r="AC108" i="4"/>
  <c r="AD108" i="4" s="1"/>
  <c r="AB108" i="4"/>
  <c r="AC107" i="4"/>
  <c r="AB107" i="4"/>
  <c r="AC106" i="4"/>
  <c r="AB106" i="4"/>
  <c r="AC105" i="4"/>
  <c r="AB105" i="4"/>
  <c r="AC104" i="4"/>
  <c r="AB104" i="4"/>
  <c r="AC103" i="4"/>
  <c r="AB103" i="4"/>
  <c r="AC102" i="4"/>
  <c r="AB102" i="4"/>
  <c r="AC101" i="4"/>
  <c r="AB101" i="4"/>
  <c r="AC100" i="4"/>
  <c r="AB100" i="4"/>
  <c r="AC99" i="4"/>
  <c r="AB99" i="4"/>
  <c r="AC98" i="4"/>
  <c r="AB98" i="4"/>
  <c r="AC97" i="4"/>
  <c r="AB97" i="4"/>
  <c r="AC96" i="4"/>
  <c r="AB96" i="4"/>
  <c r="AC95" i="4"/>
  <c r="AB95" i="4"/>
  <c r="AC94" i="4"/>
  <c r="AB94" i="4"/>
  <c r="AC93" i="4"/>
  <c r="AB93" i="4"/>
  <c r="AC92" i="4"/>
  <c r="AB92" i="4"/>
  <c r="AC91" i="4"/>
  <c r="AB91" i="4"/>
  <c r="AC90" i="4"/>
  <c r="AB90" i="4"/>
  <c r="AC89" i="4"/>
  <c r="AB89" i="4"/>
  <c r="AC88" i="4"/>
  <c r="AB88" i="4"/>
  <c r="AC87" i="4"/>
  <c r="AB87" i="4"/>
  <c r="AC86" i="4"/>
  <c r="AB86" i="4"/>
  <c r="AC85" i="4"/>
  <c r="AB85" i="4"/>
  <c r="AC84" i="4"/>
  <c r="AB84" i="4"/>
  <c r="AC83" i="4"/>
  <c r="AB83" i="4"/>
  <c r="AC82" i="4"/>
  <c r="AB82" i="4"/>
  <c r="AC81" i="4"/>
  <c r="AB81" i="4"/>
  <c r="AC80" i="4"/>
  <c r="AB80" i="4"/>
  <c r="AC79" i="4"/>
  <c r="AB79" i="4"/>
  <c r="AC78" i="4"/>
  <c r="AB78" i="4"/>
  <c r="AC77" i="4"/>
  <c r="AB77" i="4"/>
  <c r="AC76" i="4"/>
  <c r="AB76" i="4"/>
  <c r="AC75" i="4"/>
  <c r="AB75" i="4"/>
  <c r="AC74" i="4"/>
  <c r="AB74" i="4"/>
  <c r="AC73" i="4"/>
  <c r="AB73" i="4"/>
  <c r="AC72" i="4"/>
  <c r="AB72" i="4"/>
  <c r="AC71" i="4"/>
  <c r="AB71" i="4"/>
  <c r="AC70" i="4"/>
  <c r="AB70" i="4"/>
  <c r="AC69" i="4"/>
  <c r="AB69" i="4"/>
  <c r="AC68" i="4"/>
  <c r="AB68" i="4"/>
  <c r="AC67" i="4"/>
  <c r="AB67" i="4"/>
  <c r="AC66" i="4"/>
  <c r="AB66" i="4"/>
  <c r="AC65" i="4"/>
  <c r="AB65" i="4"/>
  <c r="AC64" i="4"/>
  <c r="AB64" i="4"/>
  <c r="AC63" i="4"/>
  <c r="AB63" i="4"/>
  <c r="AC62" i="4"/>
  <c r="AB62" i="4"/>
  <c r="AC61" i="4"/>
  <c r="AB61" i="4"/>
  <c r="AC60" i="4"/>
  <c r="AD60" i="4" s="1"/>
  <c r="AB60" i="4"/>
  <c r="AC59" i="4"/>
  <c r="AB59" i="4"/>
  <c r="AC58" i="4"/>
  <c r="AB58" i="4"/>
  <c r="AC57" i="4"/>
  <c r="AC56" i="4"/>
  <c r="AB56" i="4"/>
  <c r="AC55" i="4"/>
  <c r="AB55" i="4"/>
  <c r="AC54" i="4"/>
  <c r="AB54" i="4"/>
  <c r="AC53" i="4"/>
  <c r="AB53" i="4"/>
  <c r="AC52" i="4"/>
  <c r="AB52" i="4"/>
  <c r="AC51" i="4"/>
  <c r="AB51" i="4"/>
  <c r="AC50" i="4"/>
  <c r="AB50" i="4"/>
  <c r="AC49" i="4"/>
  <c r="AB49" i="4"/>
  <c r="AC48" i="4"/>
  <c r="AB48" i="4"/>
  <c r="AC47" i="4"/>
  <c r="AB47" i="4"/>
  <c r="AC46" i="4"/>
  <c r="AB46" i="4"/>
  <c r="AC45" i="4"/>
  <c r="AB45" i="4"/>
  <c r="AC44" i="4"/>
  <c r="AB44" i="4"/>
  <c r="AC43" i="4"/>
  <c r="AB43" i="4"/>
  <c r="AC42" i="4"/>
  <c r="AB42" i="4"/>
  <c r="AC41" i="4"/>
  <c r="AB41" i="4"/>
  <c r="AC40" i="4"/>
  <c r="AB40" i="4"/>
  <c r="AC39" i="4"/>
  <c r="AB39" i="4"/>
  <c r="AC38" i="4"/>
  <c r="AC37" i="4"/>
  <c r="AB37" i="4"/>
  <c r="AC36" i="4"/>
  <c r="AD36" i="4" s="1"/>
  <c r="AB36" i="4"/>
  <c r="AC35" i="4"/>
  <c r="AB35" i="4"/>
  <c r="AC34" i="4"/>
  <c r="AB34" i="4"/>
  <c r="AC33" i="4"/>
  <c r="AB33" i="4"/>
  <c r="AC32" i="4"/>
  <c r="AB32" i="4"/>
  <c r="AC31" i="4"/>
  <c r="AB31" i="4"/>
  <c r="AC30" i="4"/>
  <c r="AB30" i="4"/>
  <c r="AC29" i="4"/>
  <c r="AB29" i="4"/>
  <c r="AC28" i="4"/>
  <c r="AB28" i="4"/>
  <c r="AC27" i="4"/>
  <c r="AB27" i="4"/>
  <c r="AC26" i="4"/>
  <c r="AB26" i="4"/>
  <c r="AC25" i="4"/>
  <c r="AB25" i="4"/>
  <c r="AC24" i="4"/>
  <c r="AB24" i="4"/>
  <c r="AC23" i="4"/>
  <c r="AB23" i="4"/>
  <c r="AC22" i="4"/>
  <c r="AB22" i="4"/>
  <c r="AC21" i="4"/>
  <c r="AB21" i="4"/>
  <c r="AC20" i="4"/>
  <c r="AB20" i="4"/>
  <c r="AC19" i="4"/>
  <c r="AD19" i="4" s="1"/>
  <c r="AB19" i="4"/>
  <c r="AC18" i="4"/>
  <c r="AD18" i="4" s="1"/>
  <c r="AB18" i="4"/>
  <c r="AC17" i="4"/>
  <c r="AD17" i="4" s="1"/>
  <c r="AB17" i="4"/>
  <c r="AC16" i="4"/>
  <c r="AD16" i="4" s="1"/>
  <c r="AB16" i="4"/>
  <c r="AC15" i="4"/>
  <c r="AD15" i="4" s="1"/>
  <c r="AB15" i="4"/>
  <c r="AC14" i="4"/>
  <c r="AD14" i="4" s="1"/>
  <c r="AB14" i="4"/>
  <c r="AC13" i="4"/>
  <c r="AB13" i="4"/>
  <c r="AC12" i="4"/>
  <c r="AD12" i="4" s="1"/>
  <c r="AB12" i="4"/>
  <c r="AC11" i="4"/>
  <c r="AD11" i="4" s="1"/>
  <c r="AB11" i="4"/>
  <c r="AC10" i="4"/>
  <c r="AD10" i="4" s="1"/>
  <c r="AB10" i="4"/>
  <c r="AC9" i="4"/>
  <c r="AD9" i="4" s="1"/>
  <c r="AB9" i="4"/>
  <c r="AC8" i="4"/>
  <c r="AD8" i="4" s="1"/>
  <c r="AB8" i="4"/>
  <c r="AC7" i="4"/>
  <c r="AB7" i="4"/>
  <c r="J195" i="17"/>
  <c r="J194" i="17"/>
  <c r="G194" i="17"/>
  <c r="H194" i="17" s="1"/>
  <c r="E194" i="17"/>
  <c r="J193" i="17"/>
  <c r="G193" i="17"/>
  <c r="H193" i="17" s="1"/>
  <c r="E193" i="17"/>
  <c r="J192" i="17"/>
  <c r="G192" i="17"/>
  <c r="H192" i="17" s="1"/>
  <c r="E192" i="17"/>
  <c r="J191" i="17"/>
  <c r="G191" i="17"/>
  <c r="H191" i="17" s="1"/>
  <c r="E191" i="17"/>
  <c r="J190" i="17"/>
  <c r="G190" i="17"/>
  <c r="H190" i="17" s="1"/>
  <c r="E190" i="17"/>
  <c r="J189" i="17"/>
  <c r="G189" i="17"/>
  <c r="H189" i="17" s="1"/>
  <c r="E189" i="17"/>
  <c r="J188" i="17"/>
  <c r="G188" i="17"/>
  <c r="H188" i="17" s="1"/>
  <c r="E188" i="17"/>
  <c r="J187" i="17"/>
  <c r="G187" i="17"/>
  <c r="H187" i="17" s="1"/>
  <c r="E187" i="17"/>
  <c r="J186" i="17"/>
  <c r="G186" i="17"/>
  <c r="H186" i="17" s="1"/>
  <c r="E186" i="17"/>
  <c r="J185" i="17"/>
  <c r="G185" i="17"/>
  <c r="H185" i="17" s="1"/>
  <c r="E185" i="17"/>
  <c r="J184" i="17"/>
  <c r="G184" i="17"/>
  <c r="H184" i="17" s="1"/>
  <c r="E184" i="17"/>
  <c r="J183" i="17"/>
  <c r="G183" i="17"/>
  <c r="H183" i="17" s="1"/>
  <c r="E183" i="17"/>
  <c r="J182" i="17"/>
  <c r="G182" i="17"/>
  <c r="H182" i="17" s="1"/>
  <c r="E182" i="17"/>
  <c r="J181" i="17"/>
  <c r="G181" i="17"/>
  <c r="H181" i="17" s="1"/>
  <c r="E181" i="17"/>
  <c r="J180" i="17"/>
  <c r="G180" i="17"/>
  <c r="H180" i="17" s="1"/>
  <c r="E180" i="17"/>
  <c r="J179" i="17"/>
  <c r="G179" i="17"/>
  <c r="H179" i="17" s="1"/>
  <c r="E179" i="17"/>
  <c r="J178" i="17"/>
  <c r="G178" i="17"/>
  <c r="H178" i="17" s="1"/>
  <c r="E178" i="17"/>
  <c r="J177" i="17"/>
  <c r="G177" i="17"/>
  <c r="H177" i="17" s="1"/>
  <c r="E177" i="17"/>
  <c r="J176" i="17"/>
  <c r="G176" i="17"/>
  <c r="H176" i="17" s="1"/>
  <c r="E176" i="17"/>
  <c r="J175" i="17"/>
  <c r="G175" i="17"/>
  <c r="H175" i="17" s="1"/>
  <c r="E175" i="17"/>
  <c r="J174" i="17"/>
  <c r="G174" i="17"/>
  <c r="H174" i="17" s="1"/>
  <c r="E174" i="17"/>
  <c r="J173" i="17"/>
  <c r="G173" i="17"/>
  <c r="H173" i="17" s="1"/>
  <c r="E173" i="17"/>
  <c r="J172" i="17"/>
  <c r="G172" i="17"/>
  <c r="H172" i="17" s="1"/>
  <c r="E172" i="17"/>
  <c r="J171" i="17"/>
  <c r="G171" i="17"/>
  <c r="H171" i="17" s="1"/>
  <c r="E171" i="17"/>
  <c r="J170" i="17"/>
  <c r="G170" i="17"/>
  <c r="H170" i="17" s="1"/>
  <c r="E170" i="17"/>
  <c r="J169" i="17"/>
  <c r="G169" i="17"/>
  <c r="H169" i="17" s="1"/>
  <c r="E169" i="17"/>
  <c r="J168" i="17"/>
  <c r="G168" i="17"/>
  <c r="H168" i="17" s="1"/>
  <c r="E168" i="17"/>
  <c r="J167" i="17"/>
  <c r="G167" i="17"/>
  <c r="H167" i="17" s="1"/>
  <c r="E167" i="17"/>
  <c r="J166" i="17"/>
  <c r="G166" i="17"/>
  <c r="H166" i="17" s="1"/>
  <c r="E166" i="17"/>
  <c r="J165" i="17"/>
  <c r="G165" i="17"/>
  <c r="H165" i="17" s="1"/>
  <c r="E165" i="17"/>
  <c r="J164" i="17"/>
  <c r="G164" i="17"/>
  <c r="H164" i="17" s="1"/>
  <c r="E164" i="17"/>
  <c r="J163" i="17"/>
  <c r="G163" i="17"/>
  <c r="H163" i="17" s="1"/>
  <c r="E163" i="17"/>
  <c r="J162" i="17"/>
  <c r="G162" i="17"/>
  <c r="H162" i="17" s="1"/>
  <c r="E162" i="17"/>
  <c r="J161" i="17"/>
  <c r="G161" i="17"/>
  <c r="H161" i="17" s="1"/>
  <c r="E161" i="17"/>
  <c r="J160" i="17"/>
  <c r="G160" i="17"/>
  <c r="H160" i="17" s="1"/>
  <c r="E160" i="17"/>
  <c r="J159" i="17"/>
  <c r="G159" i="17"/>
  <c r="H159" i="17" s="1"/>
  <c r="E159" i="17"/>
  <c r="J158" i="17"/>
  <c r="G158" i="17"/>
  <c r="H158" i="17" s="1"/>
  <c r="E158" i="17"/>
  <c r="J157" i="17"/>
  <c r="G157" i="17"/>
  <c r="H157" i="17" s="1"/>
  <c r="E157" i="17"/>
  <c r="J156" i="17"/>
  <c r="G156" i="17"/>
  <c r="H156" i="17" s="1"/>
  <c r="E156" i="17"/>
  <c r="J155" i="17"/>
  <c r="G155" i="17"/>
  <c r="H155" i="17" s="1"/>
  <c r="E155" i="17"/>
  <c r="J154" i="17"/>
  <c r="G154" i="17"/>
  <c r="H154" i="17" s="1"/>
  <c r="E154" i="17"/>
  <c r="J153" i="17"/>
  <c r="G153" i="17"/>
  <c r="H153" i="17" s="1"/>
  <c r="E153" i="17"/>
  <c r="J152" i="17"/>
  <c r="G152" i="17"/>
  <c r="H152" i="17" s="1"/>
  <c r="E152" i="17"/>
  <c r="J151" i="17"/>
  <c r="G151" i="17"/>
  <c r="H151" i="17" s="1"/>
  <c r="E151" i="17"/>
  <c r="J150" i="17"/>
  <c r="G150" i="17"/>
  <c r="H150" i="17" s="1"/>
  <c r="E150" i="17"/>
  <c r="J149" i="17"/>
  <c r="G149" i="17"/>
  <c r="H149" i="17" s="1"/>
  <c r="E149" i="17"/>
  <c r="J148" i="17"/>
  <c r="G148" i="17"/>
  <c r="H148" i="17" s="1"/>
  <c r="E148" i="17"/>
  <c r="J147" i="17"/>
  <c r="G147" i="17"/>
  <c r="H147" i="17" s="1"/>
  <c r="E147" i="17"/>
  <c r="J146" i="17"/>
  <c r="G146" i="17"/>
  <c r="H146" i="17" s="1"/>
  <c r="E146" i="17"/>
  <c r="J145" i="17"/>
  <c r="G145" i="17"/>
  <c r="H145" i="17" s="1"/>
  <c r="E145" i="17"/>
  <c r="J144" i="17"/>
  <c r="G144" i="17"/>
  <c r="H144" i="17" s="1"/>
  <c r="E144" i="17"/>
  <c r="J143" i="17"/>
  <c r="G143" i="17"/>
  <c r="H143" i="17" s="1"/>
  <c r="E143" i="17"/>
  <c r="J142" i="17"/>
  <c r="G142" i="17"/>
  <c r="H142" i="17" s="1"/>
  <c r="E142" i="17"/>
  <c r="J141" i="17"/>
  <c r="G141" i="17"/>
  <c r="H141" i="17" s="1"/>
  <c r="E141" i="17"/>
  <c r="J140" i="17"/>
  <c r="G140" i="17"/>
  <c r="H140" i="17" s="1"/>
  <c r="E140" i="17"/>
  <c r="J139" i="17"/>
  <c r="G139" i="17"/>
  <c r="H139" i="17" s="1"/>
  <c r="E139" i="17"/>
  <c r="J138" i="17"/>
  <c r="G138" i="17"/>
  <c r="H138" i="17" s="1"/>
  <c r="E138" i="17"/>
  <c r="J137" i="17"/>
  <c r="G137" i="17"/>
  <c r="H137" i="17" s="1"/>
  <c r="E137" i="17"/>
  <c r="J136" i="17"/>
  <c r="G136" i="17"/>
  <c r="H136" i="17" s="1"/>
  <c r="E136" i="17"/>
  <c r="J135" i="17"/>
  <c r="G135" i="17"/>
  <c r="H135" i="17" s="1"/>
  <c r="E135" i="17"/>
  <c r="J134" i="17"/>
  <c r="G134" i="17"/>
  <c r="H134" i="17" s="1"/>
  <c r="E134" i="17"/>
  <c r="J133" i="17"/>
  <c r="G133" i="17"/>
  <c r="H133" i="17" s="1"/>
  <c r="E133" i="17"/>
  <c r="J132" i="17"/>
  <c r="G132" i="17"/>
  <c r="H132" i="17" s="1"/>
  <c r="E132" i="17"/>
  <c r="J131" i="17"/>
  <c r="G131" i="17"/>
  <c r="H131" i="17" s="1"/>
  <c r="E131" i="17"/>
  <c r="J130" i="17"/>
  <c r="G130" i="17"/>
  <c r="H130" i="17" s="1"/>
  <c r="E130" i="17"/>
  <c r="J129" i="17"/>
  <c r="G129" i="17"/>
  <c r="H129" i="17" s="1"/>
  <c r="E129" i="17"/>
  <c r="J128" i="17"/>
  <c r="G128" i="17"/>
  <c r="H128" i="17" s="1"/>
  <c r="E128" i="17"/>
  <c r="J127" i="17"/>
  <c r="G127" i="17"/>
  <c r="H127" i="17" s="1"/>
  <c r="E127" i="17"/>
  <c r="J126" i="17"/>
  <c r="G126" i="17"/>
  <c r="H126" i="17" s="1"/>
  <c r="E126" i="17"/>
  <c r="J125" i="17"/>
  <c r="G125" i="17"/>
  <c r="H125" i="17" s="1"/>
  <c r="E125" i="17"/>
  <c r="J124" i="17"/>
  <c r="G124" i="17"/>
  <c r="H124" i="17" s="1"/>
  <c r="E124" i="17"/>
  <c r="J123" i="17"/>
  <c r="G123" i="17"/>
  <c r="H123" i="17" s="1"/>
  <c r="E123" i="17"/>
  <c r="J122" i="17"/>
  <c r="G122" i="17"/>
  <c r="H122" i="17" s="1"/>
  <c r="E122" i="17"/>
  <c r="J121" i="17"/>
  <c r="G121" i="17"/>
  <c r="H121" i="17" s="1"/>
  <c r="E121" i="17"/>
  <c r="J120" i="17"/>
  <c r="G120" i="17"/>
  <c r="H120" i="17" s="1"/>
  <c r="E120" i="17"/>
  <c r="J119" i="17"/>
  <c r="G119" i="17"/>
  <c r="H119" i="17" s="1"/>
  <c r="E119" i="17"/>
  <c r="J118" i="17"/>
  <c r="G118" i="17"/>
  <c r="H118" i="17" s="1"/>
  <c r="E118" i="17"/>
  <c r="J117" i="17"/>
  <c r="G117" i="17"/>
  <c r="H117" i="17" s="1"/>
  <c r="E117" i="17"/>
  <c r="J116" i="17"/>
  <c r="G116" i="17"/>
  <c r="H116" i="17" s="1"/>
  <c r="E116" i="17"/>
  <c r="J115" i="17"/>
  <c r="G115" i="17"/>
  <c r="H115" i="17" s="1"/>
  <c r="E115" i="17"/>
  <c r="J114" i="17"/>
  <c r="G114" i="17"/>
  <c r="H114" i="17" s="1"/>
  <c r="E114" i="17"/>
  <c r="J113" i="17"/>
  <c r="G113" i="17"/>
  <c r="H113" i="17" s="1"/>
  <c r="E113" i="17"/>
  <c r="J112" i="17"/>
  <c r="G112" i="17"/>
  <c r="H112" i="17" s="1"/>
  <c r="E112" i="17"/>
  <c r="J111" i="17"/>
  <c r="G111" i="17"/>
  <c r="H111" i="17" s="1"/>
  <c r="E111" i="17"/>
  <c r="J110" i="17"/>
  <c r="G110" i="17"/>
  <c r="H110" i="17" s="1"/>
  <c r="E110" i="17"/>
  <c r="J109" i="17"/>
  <c r="G109" i="17"/>
  <c r="H109" i="17" s="1"/>
  <c r="E109" i="17"/>
  <c r="J108" i="17"/>
  <c r="G108" i="17"/>
  <c r="H108" i="17" s="1"/>
  <c r="E108" i="17"/>
  <c r="J107" i="17"/>
  <c r="G107" i="17"/>
  <c r="H107" i="17" s="1"/>
  <c r="E107" i="17"/>
  <c r="J106" i="17"/>
  <c r="G106" i="17"/>
  <c r="H106" i="17" s="1"/>
  <c r="E106" i="17"/>
  <c r="J105" i="17"/>
  <c r="G105" i="17"/>
  <c r="H105" i="17" s="1"/>
  <c r="E105" i="17"/>
  <c r="J104" i="17"/>
  <c r="G104" i="17"/>
  <c r="H104" i="17" s="1"/>
  <c r="E104" i="17"/>
  <c r="J103" i="17"/>
  <c r="G103" i="17"/>
  <c r="H103" i="17" s="1"/>
  <c r="E103" i="17"/>
  <c r="J102" i="17"/>
  <c r="G102" i="17"/>
  <c r="H102" i="17" s="1"/>
  <c r="E102" i="17"/>
  <c r="J101" i="17"/>
  <c r="G101" i="17"/>
  <c r="H101" i="17" s="1"/>
  <c r="E101" i="17"/>
  <c r="J100" i="17"/>
  <c r="G100" i="17"/>
  <c r="H100" i="17" s="1"/>
  <c r="E100" i="17"/>
  <c r="J99" i="17"/>
  <c r="G99" i="17"/>
  <c r="H99" i="17" s="1"/>
  <c r="E99" i="17"/>
  <c r="J98" i="17"/>
  <c r="G98" i="17"/>
  <c r="H98" i="17" s="1"/>
  <c r="E98" i="17"/>
  <c r="J97" i="17"/>
  <c r="G97" i="17"/>
  <c r="H97" i="17" s="1"/>
  <c r="E97" i="17"/>
  <c r="J96" i="17"/>
  <c r="G96" i="17"/>
  <c r="H96" i="17" s="1"/>
  <c r="E96" i="17"/>
  <c r="J95" i="17"/>
  <c r="G95" i="17"/>
  <c r="H95" i="17" s="1"/>
  <c r="E95" i="17"/>
  <c r="J94" i="17"/>
  <c r="G94" i="17"/>
  <c r="H94" i="17" s="1"/>
  <c r="E94" i="17"/>
  <c r="J93" i="17"/>
  <c r="G93" i="17"/>
  <c r="H93" i="17" s="1"/>
  <c r="E93" i="17"/>
  <c r="J92" i="17"/>
  <c r="G92" i="17"/>
  <c r="H92" i="17" s="1"/>
  <c r="E92" i="17"/>
  <c r="J91" i="17"/>
  <c r="G91" i="17"/>
  <c r="H91" i="17" s="1"/>
  <c r="E91" i="17"/>
  <c r="J90" i="17"/>
  <c r="G90" i="17"/>
  <c r="H90" i="17" s="1"/>
  <c r="E90" i="17"/>
  <c r="J89" i="17"/>
  <c r="G89" i="17"/>
  <c r="H89" i="17" s="1"/>
  <c r="E89" i="17"/>
  <c r="J88" i="17"/>
  <c r="G88" i="17"/>
  <c r="H88" i="17" s="1"/>
  <c r="E88" i="17"/>
  <c r="J87" i="17"/>
  <c r="G87" i="17"/>
  <c r="H87" i="17" s="1"/>
  <c r="E87" i="17"/>
  <c r="J86" i="17"/>
  <c r="G86" i="17"/>
  <c r="H86" i="17" s="1"/>
  <c r="E86" i="17"/>
  <c r="J85" i="17"/>
  <c r="G85" i="17"/>
  <c r="H85" i="17" s="1"/>
  <c r="E85" i="17"/>
  <c r="J84" i="17"/>
  <c r="G84" i="17"/>
  <c r="H84" i="17" s="1"/>
  <c r="E84" i="17"/>
  <c r="J83" i="17"/>
  <c r="G83" i="17"/>
  <c r="H83" i="17" s="1"/>
  <c r="E83" i="17"/>
  <c r="J82" i="17"/>
  <c r="G82" i="17"/>
  <c r="H82" i="17" s="1"/>
  <c r="E82" i="17"/>
  <c r="J81" i="17"/>
  <c r="G81" i="17"/>
  <c r="H81" i="17" s="1"/>
  <c r="E81" i="17"/>
  <c r="J80" i="17"/>
  <c r="G80" i="17"/>
  <c r="H80" i="17" s="1"/>
  <c r="E80" i="17"/>
  <c r="J79" i="17"/>
  <c r="G79" i="17"/>
  <c r="H79" i="17" s="1"/>
  <c r="E79" i="17"/>
  <c r="J78" i="17"/>
  <c r="G78" i="17"/>
  <c r="H78" i="17" s="1"/>
  <c r="E78" i="17"/>
  <c r="J77" i="17"/>
  <c r="G77" i="17"/>
  <c r="H77" i="17" s="1"/>
  <c r="E77" i="17"/>
  <c r="J76" i="17"/>
  <c r="G76" i="17"/>
  <c r="H76" i="17" s="1"/>
  <c r="E76" i="17"/>
  <c r="J75" i="17"/>
  <c r="G75" i="17"/>
  <c r="H75" i="17" s="1"/>
  <c r="E75" i="17"/>
  <c r="J74" i="17"/>
  <c r="G74" i="17"/>
  <c r="H74" i="17" s="1"/>
  <c r="E74" i="17"/>
  <c r="J73" i="17"/>
  <c r="G73" i="17"/>
  <c r="H73" i="17" s="1"/>
  <c r="E73" i="17"/>
  <c r="J72" i="17"/>
  <c r="G72" i="17"/>
  <c r="H72" i="17" s="1"/>
  <c r="E72" i="17"/>
  <c r="J71" i="17"/>
  <c r="G71" i="17"/>
  <c r="H71" i="17" s="1"/>
  <c r="E71" i="17"/>
  <c r="J70" i="17"/>
  <c r="G70" i="17"/>
  <c r="H70" i="17" s="1"/>
  <c r="E70" i="17"/>
  <c r="J69" i="17"/>
  <c r="G69" i="17"/>
  <c r="H69" i="17" s="1"/>
  <c r="E69" i="17"/>
  <c r="J68" i="17"/>
  <c r="G68" i="17"/>
  <c r="H68" i="17" s="1"/>
  <c r="E68" i="17"/>
  <c r="J67" i="17"/>
  <c r="G67" i="17"/>
  <c r="H67" i="17" s="1"/>
  <c r="E67" i="17"/>
  <c r="J66" i="17"/>
  <c r="G66" i="17"/>
  <c r="H66" i="17" s="1"/>
  <c r="E66" i="17"/>
  <c r="J65" i="17"/>
  <c r="G65" i="17"/>
  <c r="H65" i="17" s="1"/>
  <c r="E65" i="17"/>
  <c r="J64" i="17"/>
  <c r="G64" i="17"/>
  <c r="H64" i="17" s="1"/>
  <c r="E64" i="17"/>
  <c r="J63" i="17"/>
  <c r="G63" i="17"/>
  <c r="H63" i="17" s="1"/>
  <c r="E63" i="17"/>
  <c r="J62" i="17"/>
  <c r="G62" i="17"/>
  <c r="H62" i="17" s="1"/>
  <c r="E62" i="17"/>
  <c r="J61" i="17"/>
  <c r="G61" i="17"/>
  <c r="H61" i="17" s="1"/>
  <c r="E61" i="17"/>
  <c r="J60" i="17"/>
  <c r="G60" i="17"/>
  <c r="H60" i="17" s="1"/>
  <c r="E60" i="17"/>
  <c r="J59" i="17"/>
  <c r="G59" i="17"/>
  <c r="H59" i="17" s="1"/>
  <c r="E59" i="17"/>
  <c r="J58" i="17"/>
  <c r="G58" i="17"/>
  <c r="H58" i="17" s="1"/>
  <c r="E58" i="17"/>
  <c r="J57" i="17"/>
  <c r="G57" i="17"/>
  <c r="H57" i="17" s="1"/>
  <c r="E57" i="17"/>
  <c r="J56" i="17"/>
  <c r="G56" i="17"/>
  <c r="H56" i="17" s="1"/>
  <c r="E56" i="17"/>
  <c r="J55" i="17"/>
  <c r="G55" i="17"/>
  <c r="H55" i="17" s="1"/>
  <c r="E55" i="17"/>
  <c r="J54" i="17"/>
  <c r="G54" i="17"/>
  <c r="H54" i="17" s="1"/>
  <c r="E54" i="17"/>
  <c r="J53" i="17"/>
  <c r="G53" i="17"/>
  <c r="H53" i="17" s="1"/>
  <c r="E53" i="17"/>
  <c r="J52" i="17"/>
  <c r="G52" i="17"/>
  <c r="H52" i="17" s="1"/>
  <c r="E52" i="17"/>
  <c r="J51" i="17"/>
  <c r="G51" i="17"/>
  <c r="H51" i="17" s="1"/>
  <c r="E51" i="17"/>
  <c r="J50" i="17"/>
  <c r="G50" i="17"/>
  <c r="H50" i="17" s="1"/>
  <c r="E50" i="17"/>
  <c r="J49" i="17"/>
  <c r="G49" i="17"/>
  <c r="H49" i="17" s="1"/>
  <c r="E49" i="17"/>
  <c r="J48" i="17"/>
  <c r="G48" i="17"/>
  <c r="H48" i="17" s="1"/>
  <c r="E48" i="17"/>
  <c r="J47" i="17"/>
  <c r="G47" i="17"/>
  <c r="H47" i="17" s="1"/>
  <c r="E47" i="17"/>
  <c r="J46" i="17"/>
  <c r="G46" i="17"/>
  <c r="H46" i="17" s="1"/>
  <c r="E46" i="17"/>
  <c r="J45" i="17"/>
  <c r="G45" i="17"/>
  <c r="H45" i="17" s="1"/>
  <c r="E45" i="17"/>
  <c r="J44" i="17"/>
  <c r="G44" i="17"/>
  <c r="H44" i="17" s="1"/>
  <c r="E44" i="17"/>
  <c r="J43" i="17"/>
  <c r="G43" i="17"/>
  <c r="H43" i="17" s="1"/>
  <c r="E43" i="17"/>
  <c r="J42" i="17"/>
  <c r="G42" i="17"/>
  <c r="H42" i="17" s="1"/>
  <c r="E42" i="17"/>
  <c r="J41" i="17"/>
  <c r="G41" i="17"/>
  <c r="H41" i="17" s="1"/>
  <c r="E41" i="17"/>
  <c r="J40" i="17"/>
  <c r="G40" i="17"/>
  <c r="H40" i="17" s="1"/>
  <c r="E40" i="17"/>
  <c r="J39" i="17"/>
  <c r="G39" i="17"/>
  <c r="H39" i="17" s="1"/>
  <c r="E39" i="17"/>
  <c r="J38" i="17"/>
  <c r="G38" i="17"/>
  <c r="H38" i="17" s="1"/>
  <c r="E38" i="17"/>
  <c r="J37" i="17"/>
  <c r="G37" i="17"/>
  <c r="H37" i="17" s="1"/>
  <c r="E37" i="17"/>
  <c r="J36" i="17"/>
  <c r="G36" i="17"/>
  <c r="H36" i="17" s="1"/>
  <c r="E36" i="17"/>
  <c r="J35" i="17"/>
  <c r="G35" i="17"/>
  <c r="H35" i="17" s="1"/>
  <c r="E35" i="17"/>
  <c r="J34" i="17"/>
  <c r="G34" i="17"/>
  <c r="H34" i="17" s="1"/>
  <c r="E34" i="17"/>
  <c r="J33" i="17"/>
  <c r="G33" i="17"/>
  <c r="H33" i="17" s="1"/>
  <c r="E33" i="17"/>
  <c r="J32" i="17"/>
  <c r="G32" i="17"/>
  <c r="H32" i="17" s="1"/>
  <c r="E32" i="17"/>
  <c r="J31" i="17"/>
  <c r="G31" i="17"/>
  <c r="H31" i="17" s="1"/>
  <c r="E31" i="17"/>
  <c r="J30" i="17"/>
  <c r="G30" i="17"/>
  <c r="H30" i="17" s="1"/>
  <c r="E30" i="17"/>
  <c r="J29" i="17"/>
  <c r="G29" i="17"/>
  <c r="H29" i="17" s="1"/>
  <c r="E29" i="17"/>
  <c r="J28" i="17"/>
  <c r="G28" i="17"/>
  <c r="H28" i="17" s="1"/>
  <c r="E28" i="17"/>
  <c r="J27" i="17"/>
  <c r="G27" i="17"/>
  <c r="H27" i="17" s="1"/>
  <c r="E27" i="17"/>
  <c r="J26" i="17"/>
  <c r="G26" i="17"/>
  <c r="H26" i="17" s="1"/>
  <c r="E26" i="17"/>
  <c r="J25" i="17"/>
  <c r="G25" i="17"/>
  <c r="H25" i="17" s="1"/>
  <c r="E25" i="17"/>
  <c r="J24" i="17"/>
  <c r="G24" i="17"/>
  <c r="H24" i="17" s="1"/>
  <c r="E24" i="17"/>
  <c r="J23" i="17"/>
  <c r="G23" i="17"/>
  <c r="H23" i="17" s="1"/>
  <c r="E23" i="17"/>
  <c r="J22" i="17"/>
  <c r="G22" i="17"/>
  <c r="H22" i="17" s="1"/>
  <c r="E22" i="17"/>
  <c r="J21" i="17"/>
  <c r="G21" i="17"/>
  <c r="H21" i="17" s="1"/>
  <c r="E21" i="17"/>
  <c r="J20" i="17"/>
  <c r="G20" i="17"/>
  <c r="H20" i="17" s="1"/>
  <c r="E20" i="17"/>
  <c r="J19" i="17"/>
  <c r="G19" i="17"/>
  <c r="H19" i="17" s="1"/>
  <c r="E19" i="17"/>
  <c r="J18" i="17"/>
  <c r="G18" i="17"/>
  <c r="H18" i="17" s="1"/>
  <c r="E18" i="17"/>
  <c r="J17" i="17"/>
  <c r="G17" i="17"/>
  <c r="H17" i="17" s="1"/>
  <c r="E17" i="17"/>
  <c r="J16" i="17"/>
  <c r="G16" i="17"/>
  <c r="H16" i="17" s="1"/>
  <c r="E16" i="17"/>
  <c r="J15" i="17"/>
  <c r="G15" i="17"/>
  <c r="H15" i="17" s="1"/>
  <c r="E15" i="17"/>
  <c r="J14" i="17"/>
  <c r="G14" i="17"/>
  <c r="H14" i="17" s="1"/>
  <c r="E14" i="17"/>
  <c r="J13" i="17"/>
  <c r="G13" i="17"/>
  <c r="H13" i="17" s="1"/>
  <c r="E13" i="17"/>
  <c r="J12" i="17"/>
  <c r="G12" i="17"/>
  <c r="H12" i="17" s="1"/>
  <c r="E12" i="17"/>
  <c r="J11" i="17"/>
  <c r="G11" i="17"/>
  <c r="H11" i="17" s="1"/>
  <c r="E11" i="17"/>
  <c r="J10" i="17"/>
  <c r="G10" i="17"/>
  <c r="H10" i="17" s="1"/>
  <c r="E10" i="17"/>
  <c r="J9" i="17"/>
  <c r="G9" i="17"/>
  <c r="H9" i="17" s="1"/>
  <c r="E9" i="17"/>
  <c r="J8" i="17"/>
  <c r="G8" i="17"/>
  <c r="H8" i="17" s="1"/>
  <c r="E8" i="17"/>
  <c r="J7" i="17"/>
  <c r="G7" i="17"/>
  <c r="H7" i="17" s="1"/>
  <c r="E7" i="17"/>
  <c r="J6" i="17"/>
  <c r="G6" i="17"/>
  <c r="H6" i="17" s="1"/>
  <c r="E6" i="17"/>
  <c r="J5" i="17"/>
  <c r="G5" i="17"/>
  <c r="H5" i="17" s="1"/>
  <c r="E5" i="17"/>
  <c r="J4" i="17"/>
  <c r="G4" i="17"/>
  <c r="H4" i="17" s="1"/>
  <c r="E4" i="17"/>
  <c r="J3" i="17"/>
  <c r="G3" i="17"/>
  <c r="H3" i="17" s="1"/>
  <c r="E3" i="17"/>
  <c r="J2" i="17"/>
  <c r="G2" i="17"/>
  <c r="H2" i="17" s="1"/>
  <c r="E2" i="17"/>
  <c r="E87" i="16"/>
  <c r="A87" i="16"/>
  <c r="G59" i="16"/>
  <c r="H59" i="16" s="1"/>
  <c r="E59" i="16"/>
  <c r="G58" i="16"/>
  <c r="H58" i="16" s="1"/>
  <c r="E58" i="16"/>
  <c r="G57" i="16"/>
  <c r="H57" i="16" s="1"/>
  <c r="E57" i="16"/>
  <c r="G56" i="16"/>
  <c r="H56" i="16" s="1"/>
  <c r="E56" i="16"/>
  <c r="G55" i="16"/>
  <c r="H55" i="16" s="1"/>
  <c r="E55" i="16"/>
  <c r="G54" i="16"/>
  <c r="H54" i="16" s="1"/>
  <c r="E54" i="16"/>
  <c r="G53" i="16"/>
  <c r="H53" i="16" s="1"/>
  <c r="E53" i="16"/>
  <c r="G52" i="16"/>
  <c r="H52" i="16" s="1"/>
  <c r="E52" i="16"/>
  <c r="G51" i="16"/>
  <c r="H51" i="16" s="1"/>
  <c r="E51" i="16"/>
  <c r="G50" i="16"/>
  <c r="H50" i="16" s="1"/>
  <c r="E50" i="16"/>
  <c r="G49" i="16"/>
  <c r="H49" i="16" s="1"/>
  <c r="E49" i="16"/>
  <c r="G48" i="16"/>
  <c r="H48" i="16" s="1"/>
  <c r="E48" i="16"/>
  <c r="G47" i="16"/>
  <c r="H47" i="16" s="1"/>
  <c r="E47" i="16"/>
  <c r="G46" i="16"/>
  <c r="H46" i="16" s="1"/>
  <c r="E46" i="16"/>
  <c r="G45" i="16"/>
  <c r="H45" i="16" s="1"/>
  <c r="E45" i="16"/>
  <c r="G44" i="16"/>
  <c r="H44" i="16" s="1"/>
  <c r="E44" i="16"/>
  <c r="G43" i="16"/>
  <c r="H43" i="16" s="1"/>
  <c r="E43" i="16"/>
  <c r="G42" i="16"/>
  <c r="H42" i="16" s="1"/>
  <c r="E42" i="16"/>
  <c r="G41" i="16"/>
  <c r="H41" i="16" s="1"/>
  <c r="E41" i="16"/>
  <c r="G40" i="16"/>
  <c r="H40" i="16" s="1"/>
  <c r="E40" i="16"/>
  <c r="G38" i="16"/>
  <c r="H38" i="16" s="1"/>
  <c r="E38" i="16"/>
  <c r="G37" i="16"/>
  <c r="H37" i="16" s="1"/>
  <c r="E37" i="16"/>
  <c r="G36" i="16"/>
  <c r="H36" i="16" s="1"/>
  <c r="E36" i="16"/>
  <c r="G35" i="16"/>
  <c r="H35" i="16" s="1"/>
  <c r="E35" i="16"/>
  <c r="G34" i="16"/>
  <c r="H34" i="16" s="1"/>
  <c r="E34" i="16"/>
  <c r="G33" i="16"/>
  <c r="H33" i="16" s="1"/>
  <c r="E33" i="16"/>
  <c r="G32" i="16"/>
  <c r="H32" i="16" s="1"/>
  <c r="E32" i="16"/>
  <c r="G30" i="16"/>
  <c r="H30" i="16" s="1"/>
  <c r="E30" i="16"/>
  <c r="G29" i="16"/>
  <c r="H29" i="16" s="1"/>
  <c r="E29" i="16"/>
  <c r="G28" i="16"/>
  <c r="H28" i="16" s="1"/>
  <c r="E28" i="16"/>
  <c r="G27" i="16"/>
  <c r="H27" i="16" s="1"/>
  <c r="E27" i="16"/>
  <c r="G26" i="16"/>
  <c r="H26" i="16" s="1"/>
  <c r="E26" i="16"/>
  <c r="G25" i="16"/>
  <c r="H25" i="16" s="1"/>
  <c r="E25" i="16"/>
  <c r="G24" i="16"/>
  <c r="H24" i="16" s="1"/>
  <c r="E24" i="16"/>
  <c r="G23" i="16"/>
  <c r="H23" i="16" s="1"/>
  <c r="E23" i="16"/>
  <c r="G22" i="16"/>
  <c r="H22" i="16" s="1"/>
  <c r="E22" i="16"/>
  <c r="G21" i="16"/>
  <c r="H21" i="16" s="1"/>
  <c r="E21" i="16"/>
  <c r="G20" i="16"/>
  <c r="H20" i="16" s="1"/>
  <c r="E20" i="16"/>
  <c r="G19" i="16"/>
  <c r="H19" i="16" s="1"/>
  <c r="E19" i="16"/>
  <c r="H18" i="16"/>
  <c r="E18" i="16"/>
  <c r="G17" i="16"/>
  <c r="H17" i="16" s="1"/>
  <c r="E17" i="16"/>
  <c r="G16" i="16"/>
  <c r="H16" i="16" s="1"/>
  <c r="E16" i="16"/>
  <c r="G15" i="16"/>
  <c r="H15" i="16" s="1"/>
  <c r="E15" i="16"/>
  <c r="G14" i="16"/>
  <c r="H14" i="16" s="1"/>
  <c r="E14" i="16"/>
  <c r="G13" i="16"/>
  <c r="H13" i="16" s="1"/>
  <c r="E13" i="16"/>
  <c r="G12" i="16"/>
  <c r="H12" i="16" s="1"/>
  <c r="E12" i="16"/>
  <c r="G11" i="16"/>
  <c r="H11" i="16" s="1"/>
  <c r="E11" i="16"/>
  <c r="E83" i="15"/>
  <c r="A83" i="15"/>
  <c r="G64" i="15"/>
  <c r="H64" i="15" s="1"/>
  <c r="E64" i="15"/>
  <c r="G63" i="15"/>
  <c r="H63" i="15" s="1"/>
  <c r="E63" i="15"/>
  <c r="G62" i="15"/>
  <c r="H62" i="15" s="1"/>
  <c r="E62" i="15"/>
  <c r="G61" i="15"/>
  <c r="H61" i="15" s="1"/>
  <c r="E61" i="15"/>
  <c r="G60" i="15"/>
  <c r="H60" i="15" s="1"/>
  <c r="E60" i="15"/>
  <c r="G59" i="15"/>
  <c r="H59" i="15" s="1"/>
  <c r="E59" i="15"/>
  <c r="G58" i="15"/>
  <c r="H58" i="15" s="1"/>
  <c r="E58" i="15"/>
  <c r="G57" i="15"/>
  <c r="H57" i="15" s="1"/>
  <c r="E57" i="15"/>
  <c r="G56" i="15"/>
  <c r="H56" i="15" s="1"/>
  <c r="E56" i="15"/>
  <c r="G55" i="15"/>
  <c r="H55" i="15" s="1"/>
  <c r="E55" i="15"/>
  <c r="G54" i="15"/>
  <c r="H54" i="15" s="1"/>
  <c r="E54" i="15"/>
  <c r="G53" i="15"/>
  <c r="H53" i="15" s="1"/>
  <c r="E53" i="15"/>
  <c r="G52" i="15"/>
  <c r="H52" i="15" s="1"/>
  <c r="E52" i="15"/>
  <c r="G51" i="15"/>
  <c r="H51" i="15" s="1"/>
  <c r="E51" i="15"/>
  <c r="G50" i="15"/>
  <c r="H50" i="15" s="1"/>
  <c r="E50" i="15"/>
  <c r="G49" i="15"/>
  <c r="H49" i="15" s="1"/>
  <c r="E49" i="15"/>
  <c r="G48" i="15"/>
  <c r="H48" i="15" s="1"/>
  <c r="E48" i="15"/>
  <c r="G47" i="15"/>
  <c r="H47" i="15" s="1"/>
  <c r="E47" i="15"/>
  <c r="G46" i="15"/>
  <c r="H46" i="15" s="1"/>
  <c r="E46" i="15"/>
  <c r="G45" i="15"/>
  <c r="H45" i="15" s="1"/>
  <c r="E45" i="15"/>
  <c r="G44" i="15"/>
  <c r="H44" i="15" s="1"/>
  <c r="E44" i="15"/>
  <c r="G43" i="15"/>
  <c r="H43" i="15" s="1"/>
  <c r="E43" i="15"/>
  <c r="G42" i="15"/>
  <c r="H42" i="15" s="1"/>
  <c r="E42" i="15"/>
  <c r="G41" i="15"/>
  <c r="H41" i="15" s="1"/>
  <c r="E41" i="15"/>
  <c r="G40" i="15"/>
  <c r="H40" i="15" s="1"/>
  <c r="E40" i="15"/>
  <c r="G39" i="15"/>
  <c r="H39" i="15" s="1"/>
  <c r="E39" i="15"/>
  <c r="G38" i="15"/>
  <c r="H38" i="15" s="1"/>
  <c r="E38" i="15"/>
  <c r="G37" i="15"/>
  <c r="H37" i="15" s="1"/>
  <c r="E37" i="15"/>
  <c r="G36" i="15"/>
  <c r="H36" i="15" s="1"/>
  <c r="E36" i="15"/>
  <c r="G35" i="15"/>
  <c r="H35" i="15" s="1"/>
  <c r="E35" i="15"/>
  <c r="G34" i="15"/>
  <c r="H34" i="15" s="1"/>
  <c r="E34" i="15"/>
  <c r="G33" i="15"/>
  <c r="H33" i="15" s="1"/>
  <c r="E33" i="15"/>
  <c r="G32" i="15"/>
  <c r="H32" i="15" s="1"/>
  <c r="E32" i="15"/>
  <c r="G31" i="15"/>
  <c r="H31" i="15" s="1"/>
  <c r="E31" i="15"/>
  <c r="G30" i="15"/>
  <c r="H30" i="15" s="1"/>
  <c r="E30" i="15"/>
  <c r="G29" i="15"/>
  <c r="H29" i="15" s="1"/>
  <c r="E29" i="15"/>
  <c r="G28" i="15"/>
  <c r="H28" i="15" s="1"/>
  <c r="E28" i="15"/>
  <c r="G27" i="15"/>
  <c r="H27" i="15" s="1"/>
  <c r="E27" i="15"/>
  <c r="G26" i="15"/>
  <c r="H26" i="15" s="1"/>
  <c r="E26" i="15"/>
  <c r="G25" i="15"/>
  <c r="H25" i="15" s="1"/>
  <c r="E25" i="15"/>
  <c r="G24" i="15"/>
  <c r="H24" i="15" s="1"/>
  <c r="E24" i="15"/>
  <c r="G23" i="15"/>
  <c r="H23" i="15" s="1"/>
  <c r="E23" i="15"/>
  <c r="G22" i="15"/>
  <c r="H22" i="15" s="1"/>
  <c r="E22" i="15"/>
  <c r="G21" i="15"/>
  <c r="H21" i="15" s="1"/>
  <c r="E21" i="15"/>
  <c r="G20" i="15"/>
  <c r="H20" i="15" s="1"/>
  <c r="E20" i="15"/>
  <c r="G19" i="15"/>
  <c r="H19" i="15" s="1"/>
  <c r="E19" i="15"/>
  <c r="G18" i="15"/>
  <c r="H18" i="15" s="1"/>
  <c r="E18" i="15"/>
  <c r="G17" i="15"/>
  <c r="H17" i="15" s="1"/>
  <c r="E17" i="15"/>
  <c r="G16" i="15"/>
  <c r="H16" i="15" s="1"/>
  <c r="E16" i="15"/>
  <c r="G15" i="15"/>
  <c r="H15" i="15" s="1"/>
  <c r="E15" i="15"/>
  <c r="G14" i="15"/>
  <c r="H14" i="15" s="1"/>
  <c r="E14" i="15"/>
  <c r="G13" i="15"/>
  <c r="H13" i="15" s="1"/>
  <c r="E13" i="15"/>
  <c r="G12" i="15"/>
  <c r="H12" i="15" s="1"/>
  <c r="E12" i="15"/>
  <c r="G11" i="15"/>
  <c r="H11" i="15" s="1"/>
  <c r="E11" i="15"/>
  <c r="X149" i="4" l="1"/>
  <c r="AE149" i="4" s="1"/>
  <c r="X151" i="4"/>
  <c r="R152" i="4"/>
  <c r="Y153" i="4"/>
  <c r="AF153" i="4"/>
  <c r="AF154" i="4"/>
  <c r="AF156" i="4"/>
  <c r="R153" i="4"/>
  <c r="Y151" i="4"/>
  <c r="AE151" i="4"/>
  <c r="X161" i="4"/>
  <c r="R161" i="4"/>
  <c r="AE150" i="4"/>
  <c r="AE157" i="4"/>
  <c r="Y157" i="4"/>
  <c r="Y149" i="4"/>
  <c r="AE152" i="4"/>
  <c r="Y152" i="4"/>
  <c r="AE155" i="4"/>
  <c r="Y155" i="4"/>
  <c r="AD7" i="4"/>
  <c r="AD96" i="4"/>
  <c r="AD84" i="4"/>
  <c r="AD162" i="4"/>
  <c r="AD145" i="4"/>
  <c r="AD133" i="4"/>
  <c r="AD121" i="4"/>
  <c r="AD109" i="4"/>
  <c r="AD97" i="4"/>
  <c r="AD85" i="4"/>
  <c r="AD73" i="4"/>
  <c r="AD61" i="4"/>
  <c r="AD49" i="4"/>
  <c r="AD37" i="4"/>
  <c r="AD25" i="4"/>
  <c r="AD13" i="4"/>
  <c r="AD143" i="4"/>
  <c r="AD131" i="4"/>
  <c r="AD119" i="4"/>
  <c r="AD107" i="4"/>
  <c r="AD95" i="4"/>
  <c r="AD83" i="4"/>
  <c r="AD71" i="4"/>
  <c r="AD59" i="4"/>
  <c r="AD47" i="4"/>
  <c r="AD35" i="4"/>
  <c r="AD23" i="4"/>
  <c r="AD142" i="4"/>
  <c r="AD130" i="4"/>
  <c r="AD118" i="4"/>
  <c r="AD106" i="4"/>
  <c r="AD94" i="4"/>
  <c r="AD82" i="4"/>
  <c r="AD70" i="4"/>
  <c r="AD58" i="4"/>
  <c r="AD46" i="4"/>
  <c r="AD34" i="4"/>
  <c r="AD22" i="4"/>
  <c r="AD72" i="4"/>
  <c r="AD141" i="4"/>
  <c r="AD129" i="4"/>
  <c r="AD117" i="4"/>
  <c r="AD105" i="4"/>
  <c r="AD93" i="4"/>
  <c r="AD81" i="4"/>
  <c r="AD69" i="4"/>
  <c r="AD57" i="4"/>
  <c r="AD45" i="4"/>
  <c r="AD33" i="4"/>
  <c r="AD21" i="4"/>
  <c r="AD48" i="4"/>
  <c r="AD140" i="4"/>
  <c r="AD128" i="4"/>
  <c r="AD116" i="4"/>
  <c r="AD104" i="4"/>
  <c r="AD92" i="4"/>
  <c r="AD80" i="4"/>
  <c r="AD68" i="4"/>
  <c r="AD56" i="4"/>
  <c r="AD44" i="4"/>
  <c r="AD32" i="4"/>
  <c r="AD20" i="4"/>
  <c r="AD139" i="4"/>
  <c r="AD127" i="4"/>
  <c r="AD115" i="4"/>
  <c r="AD103" i="4"/>
  <c r="AD91" i="4"/>
  <c r="AD79" i="4"/>
  <c r="AD67" i="4"/>
  <c r="AD55" i="4"/>
  <c r="AD43" i="4"/>
  <c r="AD31" i="4"/>
  <c r="AD138" i="4"/>
  <c r="AD126" i="4"/>
  <c r="AD114" i="4"/>
  <c r="AD102" i="4"/>
  <c r="AD90" i="4"/>
  <c r="AD78" i="4"/>
  <c r="AD66" i="4"/>
  <c r="AD54" i="4"/>
  <c r="AD42" i="4"/>
  <c r="AD30" i="4"/>
  <c r="AD137" i="4"/>
  <c r="AD125" i="4"/>
  <c r="AD113" i="4"/>
  <c r="AD101" i="4"/>
  <c r="AD89" i="4"/>
  <c r="AD77" i="4"/>
  <c r="AD65" i="4"/>
  <c r="AD53" i="4"/>
  <c r="AD41" i="4"/>
  <c r="AD29" i="4"/>
  <c r="AD24" i="4"/>
  <c r="AD160" i="4"/>
  <c r="AD136" i="4"/>
  <c r="AD124" i="4"/>
  <c r="AD112" i="4"/>
  <c r="AD100" i="4"/>
  <c r="AD88" i="4"/>
  <c r="AD76" i="4"/>
  <c r="AD64" i="4"/>
  <c r="AD52" i="4"/>
  <c r="AD40" i="4"/>
  <c r="AD28" i="4"/>
  <c r="AD159" i="4"/>
  <c r="AD147" i="4"/>
  <c r="AD135" i="4"/>
  <c r="AD123" i="4"/>
  <c r="AD111" i="4"/>
  <c r="AD99" i="4"/>
  <c r="AD87" i="4"/>
  <c r="AD75" i="4"/>
  <c r="AD63" i="4"/>
  <c r="AD51" i="4"/>
  <c r="AD39" i="4"/>
  <c r="AD27" i="4"/>
  <c r="AD158" i="4"/>
  <c r="AD146" i="4"/>
  <c r="AD134" i="4"/>
  <c r="AD122" i="4"/>
  <c r="AD110" i="4"/>
  <c r="AD98" i="4"/>
  <c r="AD86" i="4"/>
  <c r="AD74" i="4"/>
  <c r="AD62" i="4"/>
  <c r="AD50" i="4"/>
  <c r="AD38" i="4"/>
  <c r="AD26" i="4"/>
  <c r="H81" i="16"/>
  <c r="H77" i="15"/>
  <c r="AF150" i="4" l="1"/>
  <c r="AF155" i="4"/>
  <c r="AF152" i="4"/>
  <c r="AF151" i="4"/>
  <c r="AF149" i="4"/>
  <c r="AF157" i="4"/>
  <c r="Y161" i="4"/>
  <c r="AE161" i="4"/>
  <c r="G149" i="9"/>
  <c r="H149" i="9" s="1"/>
  <c r="G146" i="9"/>
  <c r="H146" i="9" s="1"/>
  <c r="G80" i="9"/>
  <c r="H80" i="9" s="1"/>
  <c r="E80" i="9"/>
  <c r="G79" i="9"/>
  <c r="H79" i="9" s="1"/>
  <c r="E79" i="9"/>
  <c r="G145" i="9"/>
  <c r="H145" i="9" s="1"/>
  <c r="G148" i="9"/>
  <c r="H148" i="9" s="1"/>
  <c r="G147" i="9"/>
  <c r="H147" i="9" s="1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81" i="9"/>
  <c r="E82" i="9"/>
  <c r="E83" i="9"/>
  <c r="E84" i="9"/>
  <c r="E85" i="9"/>
  <c r="E86" i="9"/>
  <c r="E87" i="9"/>
  <c r="E89" i="9"/>
  <c r="E90" i="9"/>
  <c r="G86" i="9"/>
  <c r="H86" i="9" s="1"/>
  <c r="G16" i="9"/>
  <c r="H16" i="9" s="1"/>
  <c r="E8" i="14"/>
  <c r="G8" i="14"/>
  <c r="H8" i="14" s="1"/>
  <c r="J8" i="14"/>
  <c r="G40" i="9"/>
  <c r="H40" i="9" s="1"/>
  <c r="E66" i="10"/>
  <c r="G66" i="10"/>
  <c r="H66" i="10" s="1"/>
  <c r="G141" i="9"/>
  <c r="H141" i="9" s="1"/>
  <c r="G142" i="9"/>
  <c r="H142" i="9" s="1"/>
  <c r="E51" i="10"/>
  <c r="G51" i="10"/>
  <c r="H51" i="10" s="1"/>
  <c r="E50" i="10"/>
  <c r="E44" i="10"/>
  <c r="G44" i="10"/>
  <c r="H44" i="10" s="1"/>
  <c r="E40" i="10"/>
  <c r="G40" i="10"/>
  <c r="H40" i="10" s="1"/>
  <c r="G113" i="9"/>
  <c r="H113" i="9" s="1"/>
  <c r="E38" i="10"/>
  <c r="G38" i="10"/>
  <c r="H38" i="10" s="1"/>
  <c r="G26" i="10"/>
  <c r="H26" i="10" s="1"/>
  <c r="G27" i="10"/>
  <c r="H27" i="10" s="1"/>
  <c r="E26" i="10"/>
  <c r="E27" i="10"/>
  <c r="G73" i="9"/>
  <c r="H73" i="9" s="1"/>
  <c r="G71" i="9"/>
  <c r="H71" i="9" s="1"/>
  <c r="G67" i="9"/>
  <c r="H67" i="9" s="1"/>
  <c r="G47" i="9"/>
  <c r="H47" i="9" s="1"/>
  <c r="G42" i="9"/>
  <c r="H42" i="9" s="1"/>
  <c r="G36" i="9"/>
  <c r="H36" i="9" s="1"/>
  <c r="G34" i="9"/>
  <c r="H34" i="9" s="1"/>
  <c r="G31" i="9"/>
  <c r="H31" i="9" s="1"/>
  <c r="G30" i="9"/>
  <c r="H30" i="9" s="1"/>
  <c r="G29" i="9"/>
  <c r="H29" i="9" s="1"/>
  <c r="W21" i="4"/>
  <c r="W76" i="4"/>
  <c r="G144" i="9"/>
  <c r="H144" i="9" s="1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58" i="4"/>
  <c r="W159" i="4"/>
  <c r="W160" i="4"/>
  <c r="W162" i="4"/>
  <c r="O7" i="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G133" i="14"/>
  <c r="H133" i="14" s="1"/>
  <c r="G134" i="14"/>
  <c r="H134" i="14" s="1"/>
  <c r="G135" i="14"/>
  <c r="H135" i="14" s="1"/>
  <c r="G136" i="14"/>
  <c r="H136" i="14" s="1"/>
  <c r="G137" i="14"/>
  <c r="H137" i="14" s="1"/>
  <c r="G138" i="14"/>
  <c r="H138" i="14" s="1"/>
  <c r="G139" i="14"/>
  <c r="H139" i="14" s="1"/>
  <c r="G140" i="14"/>
  <c r="H140" i="14" s="1"/>
  <c r="G141" i="14"/>
  <c r="H141" i="14" s="1"/>
  <c r="G142" i="14"/>
  <c r="H142" i="14" s="1"/>
  <c r="G143" i="14"/>
  <c r="H143" i="14" s="1"/>
  <c r="G144" i="14"/>
  <c r="H144" i="14" s="1"/>
  <c r="G145" i="14"/>
  <c r="H145" i="14" s="1"/>
  <c r="G146" i="14"/>
  <c r="H146" i="14" s="1"/>
  <c r="G147" i="14"/>
  <c r="H147" i="14" s="1"/>
  <c r="G148" i="14"/>
  <c r="H148" i="14" s="1"/>
  <c r="G149" i="14"/>
  <c r="H149" i="14" s="1"/>
  <c r="G150" i="14"/>
  <c r="H150" i="14" s="1"/>
  <c r="G151" i="14"/>
  <c r="H151" i="14" s="1"/>
  <c r="G152" i="14"/>
  <c r="H152" i="14" s="1"/>
  <c r="G153" i="14"/>
  <c r="H153" i="14" s="1"/>
  <c r="G154" i="14"/>
  <c r="H154" i="14" s="1"/>
  <c r="G155" i="14"/>
  <c r="H155" i="14" s="1"/>
  <c r="G156" i="14"/>
  <c r="H156" i="14" s="1"/>
  <c r="G157" i="14"/>
  <c r="H157" i="14" s="1"/>
  <c r="G158" i="14"/>
  <c r="H158" i="14" s="1"/>
  <c r="G159" i="14"/>
  <c r="H159" i="14" s="1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46" i="14"/>
  <c r="J147" i="14"/>
  <c r="J148" i="14"/>
  <c r="J149" i="14"/>
  <c r="J150" i="14"/>
  <c r="J151" i="14"/>
  <c r="J152" i="14"/>
  <c r="J153" i="14"/>
  <c r="J154" i="14"/>
  <c r="J155" i="14"/>
  <c r="J156" i="14"/>
  <c r="J157" i="14"/>
  <c r="J158" i="14"/>
  <c r="J159" i="14"/>
  <c r="E160" i="14"/>
  <c r="E161" i="14"/>
  <c r="E162" i="14"/>
  <c r="E163" i="14"/>
  <c r="E164" i="14"/>
  <c r="E165" i="14"/>
  <c r="E166" i="14"/>
  <c r="E167" i="14"/>
  <c r="G160" i="14"/>
  <c r="H160" i="14" s="1"/>
  <c r="G161" i="14"/>
  <c r="H161" i="14" s="1"/>
  <c r="G162" i="14"/>
  <c r="H162" i="14" s="1"/>
  <c r="G163" i="14"/>
  <c r="H163" i="14" s="1"/>
  <c r="G164" i="14"/>
  <c r="H164" i="14" s="1"/>
  <c r="G165" i="14"/>
  <c r="H165" i="14" s="1"/>
  <c r="G166" i="14"/>
  <c r="H166" i="14" s="1"/>
  <c r="G167" i="14"/>
  <c r="H167" i="14" s="1"/>
  <c r="J160" i="14"/>
  <c r="J161" i="14"/>
  <c r="J162" i="14"/>
  <c r="J163" i="14"/>
  <c r="J164" i="14"/>
  <c r="J165" i="14"/>
  <c r="J166" i="14"/>
  <c r="J167" i="14"/>
  <c r="E132" i="14"/>
  <c r="E168" i="14"/>
  <c r="E169" i="14"/>
  <c r="E170" i="14"/>
  <c r="E171" i="14"/>
  <c r="E172" i="14"/>
  <c r="E173" i="14"/>
  <c r="E174" i="14"/>
  <c r="E175" i="14"/>
  <c r="E176" i="14"/>
  <c r="E177" i="14"/>
  <c r="E178" i="14"/>
  <c r="G132" i="14"/>
  <c r="H132" i="14" s="1"/>
  <c r="G168" i="14"/>
  <c r="H168" i="14" s="1"/>
  <c r="G169" i="14"/>
  <c r="H169" i="14" s="1"/>
  <c r="G170" i="14"/>
  <c r="H170" i="14" s="1"/>
  <c r="G171" i="14"/>
  <c r="H171" i="14" s="1"/>
  <c r="G172" i="14"/>
  <c r="H172" i="14" s="1"/>
  <c r="G173" i="14"/>
  <c r="H173" i="14" s="1"/>
  <c r="G174" i="14"/>
  <c r="H174" i="14" s="1"/>
  <c r="G175" i="14"/>
  <c r="H175" i="14" s="1"/>
  <c r="G176" i="14"/>
  <c r="H176" i="14" s="1"/>
  <c r="G177" i="14"/>
  <c r="H177" i="14" s="1"/>
  <c r="G178" i="14"/>
  <c r="H178" i="14" s="1"/>
  <c r="J132" i="14"/>
  <c r="J168" i="14"/>
  <c r="J169" i="14"/>
  <c r="J170" i="14"/>
  <c r="J171" i="14"/>
  <c r="J172" i="14"/>
  <c r="J173" i="14"/>
  <c r="J174" i="14"/>
  <c r="J175" i="14"/>
  <c r="J176" i="14"/>
  <c r="J177" i="14"/>
  <c r="J178" i="14"/>
  <c r="E129" i="14"/>
  <c r="E130" i="14"/>
  <c r="E131" i="14"/>
  <c r="E179" i="14"/>
  <c r="E180" i="14"/>
  <c r="E181" i="14"/>
  <c r="E182" i="14"/>
  <c r="E183" i="14"/>
  <c r="E184" i="14"/>
  <c r="E185" i="14"/>
  <c r="G129" i="14"/>
  <c r="H129" i="14" s="1"/>
  <c r="G130" i="14"/>
  <c r="H130" i="14" s="1"/>
  <c r="G131" i="14"/>
  <c r="H131" i="14" s="1"/>
  <c r="G179" i="14"/>
  <c r="H179" i="14" s="1"/>
  <c r="G180" i="14"/>
  <c r="H180" i="14" s="1"/>
  <c r="G181" i="14"/>
  <c r="H181" i="14" s="1"/>
  <c r="G182" i="14"/>
  <c r="H182" i="14" s="1"/>
  <c r="G183" i="14"/>
  <c r="H183" i="14" s="1"/>
  <c r="G184" i="14"/>
  <c r="H184" i="14" s="1"/>
  <c r="G185" i="14"/>
  <c r="H185" i="14" s="1"/>
  <c r="J129" i="14"/>
  <c r="J130" i="14"/>
  <c r="J131" i="14"/>
  <c r="J179" i="14"/>
  <c r="J180" i="14"/>
  <c r="J181" i="14"/>
  <c r="J182" i="14"/>
  <c r="J183" i="14"/>
  <c r="J184" i="14"/>
  <c r="J185" i="14"/>
  <c r="E186" i="14"/>
  <c r="E187" i="14"/>
  <c r="E188" i="14"/>
  <c r="E189" i="14"/>
  <c r="E190" i="14"/>
  <c r="E191" i="14"/>
  <c r="G186" i="14"/>
  <c r="H186" i="14" s="1"/>
  <c r="G187" i="14"/>
  <c r="H187" i="14" s="1"/>
  <c r="G188" i="14"/>
  <c r="H188" i="14" s="1"/>
  <c r="G189" i="14"/>
  <c r="H189" i="14" s="1"/>
  <c r="G190" i="14"/>
  <c r="H190" i="14" s="1"/>
  <c r="G191" i="14"/>
  <c r="H191" i="14" s="1"/>
  <c r="J186" i="14"/>
  <c r="J187" i="14"/>
  <c r="J188" i="14"/>
  <c r="J189" i="14"/>
  <c r="J190" i="14"/>
  <c r="J191" i="14"/>
  <c r="E112" i="14"/>
  <c r="E113" i="14"/>
  <c r="E114" i="14"/>
  <c r="E115" i="14"/>
  <c r="E116" i="14"/>
  <c r="E117" i="14"/>
  <c r="E118" i="14"/>
  <c r="E119" i="14"/>
  <c r="G112" i="14"/>
  <c r="H112" i="14" s="1"/>
  <c r="G113" i="14"/>
  <c r="H113" i="14" s="1"/>
  <c r="G114" i="14"/>
  <c r="H114" i="14" s="1"/>
  <c r="G115" i="14"/>
  <c r="H115" i="14" s="1"/>
  <c r="G116" i="14"/>
  <c r="H116" i="14" s="1"/>
  <c r="G117" i="14"/>
  <c r="H117" i="14" s="1"/>
  <c r="G118" i="14"/>
  <c r="H118" i="14" s="1"/>
  <c r="G119" i="14"/>
  <c r="H119" i="14" s="1"/>
  <c r="J112" i="14"/>
  <c r="J113" i="14"/>
  <c r="J114" i="14"/>
  <c r="J115" i="14"/>
  <c r="J116" i="14"/>
  <c r="J117" i="14"/>
  <c r="J118" i="14"/>
  <c r="J119" i="14"/>
  <c r="E90" i="14"/>
  <c r="E91" i="14"/>
  <c r="E92" i="14"/>
  <c r="E93" i="14"/>
  <c r="E94" i="14"/>
  <c r="E95" i="14"/>
  <c r="E96" i="14"/>
  <c r="E97" i="14"/>
  <c r="E98" i="14"/>
  <c r="E99" i="14"/>
  <c r="E100" i="14"/>
  <c r="G90" i="14"/>
  <c r="H90" i="14" s="1"/>
  <c r="G91" i="14"/>
  <c r="H91" i="14" s="1"/>
  <c r="G92" i="14"/>
  <c r="H92" i="14" s="1"/>
  <c r="G93" i="14"/>
  <c r="H93" i="14" s="1"/>
  <c r="G94" i="14"/>
  <c r="H94" i="14" s="1"/>
  <c r="G95" i="14"/>
  <c r="H95" i="14" s="1"/>
  <c r="G96" i="14"/>
  <c r="H96" i="14" s="1"/>
  <c r="G97" i="14"/>
  <c r="H97" i="14" s="1"/>
  <c r="G98" i="14"/>
  <c r="H98" i="14" s="1"/>
  <c r="G99" i="14"/>
  <c r="H99" i="14" s="1"/>
  <c r="G100" i="14"/>
  <c r="H100" i="14" s="1"/>
  <c r="J90" i="14"/>
  <c r="J91" i="14"/>
  <c r="J92" i="14"/>
  <c r="J93" i="14"/>
  <c r="J94" i="14"/>
  <c r="J95" i="14"/>
  <c r="J96" i="14"/>
  <c r="J97" i="14"/>
  <c r="J98" i="14"/>
  <c r="J99" i="14"/>
  <c r="J100" i="14"/>
  <c r="E81" i="14"/>
  <c r="E82" i="14"/>
  <c r="E83" i="14"/>
  <c r="E84" i="14"/>
  <c r="E85" i="14"/>
  <c r="G81" i="14"/>
  <c r="H81" i="14" s="1"/>
  <c r="G82" i="14"/>
  <c r="H82" i="14" s="1"/>
  <c r="G83" i="14"/>
  <c r="H83" i="14" s="1"/>
  <c r="G84" i="14"/>
  <c r="H84" i="14" s="1"/>
  <c r="G85" i="14"/>
  <c r="H85" i="14" s="1"/>
  <c r="J81" i="14"/>
  <c r="J82" i="14"/>
  <c r="J83" i="14"/>
  <c r="J84" i="14"/>
  <c r="J85" i="14"/>
  <c r="E106" i="14"/>
  <c r="E107" i="14"/>
  <c r="E108" i="14"/>
  <c r="E109" i="14"/>
  <c r="E110" i="14"/>
  <c r="E111" i="14"/>
  <c r="E120" i="14"/>
  <c r="E121" i="14"/>
  <c r="G106" i="14"/>
  <c r="H106" i="14" s="1"/>
  <c r="G107" i="14"/>
  <c r="H107" i="14" s="1"/>
  <c r="G108" i="14"/>
  <c r="H108" i="14" s="1"/>
  <c r="G109" i="14"/>
  <c r="H109" i="14" s="1"/>
  <c r="G110" i="14"/>
  <c r="H110" i="14" s="1"/>
  <c r="G111" i="14"/>
  <c r="H111" i="14" s="1"/>
  <c r="G120" i="14"/>
  <c r="H120" i="14" s="1"/>
  <c r="G121" i="14"/>
  <c r="H121" i="14" s="1"/>
  <c r="J106" i="14"/>
  <c r="J107" i="14"/>
  <c r="J108" i="14"/>
  <c r="J109" i="14"/>
  <c r="J110" i="14"/>
  <c r="J111" i="14"/>
  <c r="J120" i="14"/>
  <c r="J121" i="14"/>
  <c r="G143" i="9"/>
  <c r="H143" i="9" s="1"/>
  <c r="G140" i="9"/>
  <c r="H140" i="9" s="1"/>
  <c r="G139" i="9"/>
  <c r="H139" i="9" s="1"/>
  <c r="G138" i="9"/>
  <c r="H138" i="9" s="1"/>
  <c r="G137" i="9"/>
  <c r="H137" i="9" s="1"/>
  <c r="G136" i="9"/>
  <c r="H136" i="9" s="1"/>
  <c r="G135" i="9"/>
  <c r="H135" i="9" s="1"/>
  <c r="G134" i="9"/>
  <c r="H134" i="9" s="1"/>
  <c r="G133" i="9"/>
  <c r="H133" i="9" s="1"/>
  <c r="G132" i="9"/>
  <c r="H132" i="9" s="1"/>
  <c r="G131" i="9"/>
  <c r="H131" i="9" s="1"/>
  <c r="G130" i="9"/>
  <c r="H130" i="9" s="1"/>
  <c r="G129" i="9"/>
  <c r="H129" i="9" s="1"/>
  <c r="G128" i="9"/>
  <c r="H128" i="9" s="1"/>
  <c r="G127" i="9"/>
  <c r="H127" i="9" s="1"/>
  <c r="G126" i="9"/>
  <c r="H126" i="9" s="1"/>
  <c r="G125" i="9"/>
  <c r="H125" i="9" s="1"/>
  <c r="G124" i="9"/>
  <c r="H124" i="9" s="1"/>
  <c r="G123" i="9"/>
  <c r="H123" i="9" s="1"/>
  <c r="G122" i="9"/>
  <c r="H122" i="9" s="1"/>
  <c r="G121" i="9"/>
  <c r="H121" i="9" s="1"/>
  <c r="G120" i="9"/>
  <c r="H120" i="9" s="1"/>
  <c r="G119" i="9"/>
  <c r="H119" i="9" s="1"/>
  <c r="G118" i="9"/>
  <c r="H118" i="9" s="1"/>
  <c r="G117" i="9"/>
  <c r="H117" i="9" s="1"/>
  <c r="G116" i="9"/>
  <c r="H116" i="9" s="1"/>
  <c r="G115" i="9"/>
  <c r="H115" i="9" s="1"/>
  <c r="G114" i="9"/>
  <c r="H114" i="9" s="1"/>
  <c r="G112" i="9"/>
  <c r="H112" i="9" s="1"/>
  <c r="G111" i="9"/>
  <c r="H111" i="9" s="1"/>
  <c r="G110" i="9"/>
  <c r="H110" i="9" s="1"/>
  <c r="G109" i="9"/>
  <c r="H109" i="9" s="1"/>
  <c r="G108" i="9"/>
  <c r="H108" i="9" s="1"/>
  <c r="G107" i="9"/>
  <c r="H107" i="9" s="1"/>
  <c r="G106" i="9"/>
  <c r="H106" i="9" s="1"/>
  <c r="G105" i="9"/>
  <c r="H105" i="9" s="1"/>
  <c r="G104" i="9"/>
  <c r="H104" i="9" s="1"/>
  <c r="G103" i="9"/>
  <c r="H103" i="9" s="1"/>
  <c r="G102" i="9"/>
  <c r="H102" i="9" s="1"/>
  <c r="G101" i="9"/>
  <c r="H101" i="9" s="1"/>
  <c r="G100" i="9"/>
  <c r="H100" i="9" s="1"/>
  <c r="G99" i="9"/>
  <c r="H99" i="9" s="1"/>
  <c r="G98" i="9"/>
  <c r="H98" i="9" s="1"/>
  <c r="G97" i="9"/>
  <c r="H97" i="9" s="1"/>
  <c r="G96" i="9"/>
  <c r="H96" i="9" s="1"/>
  <c r="G95" i="9"/>
  <c r="H95" i="9" s="1"/>
  <c r="G94" i="9"/>
  <c r="H94" i="9" s="1"/>
  <c r="G93" i="9"/>
  <c r="H93" i="9" s="1"/>
  <c r="G92" i="9"/>
  <c r="H92" i="9" s="1"/>
  <c r="G91" i="9"/>
  <c r="H91" i="9" s="1"/>
  <c r="G90" i="9"/>
  <c r="H90" i="9" s="1"/>
  <c r="G89" i="9"/>
  <c r="H89" i="9" s="1"/>
  <c r="G87" i="9"/>
  <c r="H87" i="9" s="1"/>
  <c r="G85" i="9"/>
  <c r="H85" i="9" s="1"/>
  <c r="G84" i="9"/>
  <c r="H84" i="9" s="1"/>
  <c r="G83" i="9"/>
  <c r="H83" i="9" s="1"/>
  <c r="G82" i="9"/>
  <c r="H82" i="9" s="1"/>
  <c r="J194" i="14"/>
  <c r="G194" i="14"/>
  <c r="H194" i="14" s="1"/>
  <c r="E194" i="14"/>
  <c r="J193" i="14"/>
  <c r="G193" i="14"/>
  <c r="H193" i="14" s="1"/>
  <c r="E193" i="14"/>
  <c r="J192" i="14"/>
  <c r="G192" i="14"/>
  <c r="H192" i="14" s="1"/>
  <c r="E192" i="14"/>
  <c r="J128" i="14"/>
  <c r="G128" i="14"/>
  <c r="H128" i="14" s="1"/>
  <c r="E128" i="14"/>
  <c r="J127" i="14"/>
  <c r="G127" i="14"/>
  <c r="H127" i="14" s="1"/>
  <c r="E127" i="14"/>
  <c r="J126" i="14"/>
  <c r="G126" i="14"/>
  <c r="H126" i="14" s="1"/>
  <c r="E126" i="14"/>
  <c r="J125" i="14"/>
  <c r="G125" i="14"/>
  <c r="H125" i="14" s="1"/>
  <c r="E125" i="14"/>
  <c r="J124" i="14"/>
  <c r="G124" i="14"/>
  <c r="H124" i="14" s="1"/>
  <c r="E124" i="14"/>
  <c r="J123" i="14"/>
  <c r="G123" i="14"/>
  <c r="H123" i="14" s="1"/>
  <c r="E123" i="14"/>
  <c r="J122" i="14"/>
  <c r="G122" i="14"/>
  <c r="H122" i="14" s="1"/>
  <c r="E122" i="14"/>
  <c r="J105" i="14"/>
  <c r="G105" i="14"/>
  <c r="H105" i="14" s="1"/>
  <c r="E105" i="14"/>
  <c r="J104" i="14"/>
  <c r="G104" i="14"/>
  <c r="H104" i="14" s="1"/>
  <c r="E104" i="14"/>
  <c r="J103" i="14"/>
  <c r="G103" i="14"/>
  <c r="H103" i="14" s="1"/>
  <c r="E103" i="14"/>
  <c r="G102" i="14"/>
  <c r="H102" i="14" s="1"/>
  <c r="E102" i="14"/>
  <c r="J101" i="14"/>
  <c r="G101" i="14"/>
  <c r="H101" i="14" s="1"/>
  <c r="E101" i="14"/>
  <c r="J89" i="14"/>
  <c r="G89" i="14"/>
  <c r="H89" i="14" s="1"/>
  <c r="E89" i="14"/>
  <c r="J88" i="14"/>
  <c r="G88" i="14"/>
  <c r="H88" i="14" s="1"/>
  <c r="E88" i="14"/>
  <c r="J87" i="14"/>
  <c r="G87" i="14"/>
  <c r="H87" i="14" s="1"/>
  <c r="E87" i="14"/>
  <c r="J80" i="14"/>
  <c r="G80" i="14"/>
  <c r="H80" i="14" s="1"/>
  <c r="E80" i="14"/>
  <c r="J79" i="14"/>
  <c r="G79" i="14"/>
  <c r="H79" i="14" s="1"/>
  <c r="E79" i="14"/>
  <c r="J78" i="14"/>
  <c r="G78" i="14"/>
  <c r="H78" i="14" s="1"/>
  <c r="E78" i="14"/>
  <c r="J77" i="14"/>
  <c r="G77" i="14"/>
  <c r="H77" i="14" s="1"/>
  <c r="E77" i="14"/>
  <c r="J76" i="14"/>
  <c r="G76" i="14"/>
  <c r="H76" i="14" s="1"/>
  <c r="E76" i="14"/>
  <c r="J75" i="14"/>
  <c r="G75" i="14"/>
  <c r="H75" i="14" s="1"/>
  <c r="E75" i="14"/>
  <c r="J74" i="14"/>
  <c r="G74" i="14"/>
  <c r="H74" i="14" s="1"/>
  <c r="E74" i="14"/>
  <c r="J73" i="14"/>
  <c r="G73" i="14"/>
  <c r="H73" i="14" s="1"/>
  <c r="E73" i="14"/>
  <c r="J72" i="14"/>
  <c r="G72" i="14"/>
  <c r="H72" i="14" s="1"/>
  <c r="E72" i="14"/>
  <c r="J71" i="14"/>
  <c r="G71" i="14"/>
  <c r="H71" i="14" s="1"/>
  <c r="E71" i="14"/>
  <c r="J70" i="14"/>
  <c r="G70" i="14"/>
  <c r="H70" i="14" s="1"/>
  <c r="E70" i="14"/>
  <c r="J69" i="14"/>
  <c r="G69" i="14"/>
  <c r="H69" i="14" s="1"/>
  <c r="E69" i="14"/>
  <c r="J68" i="14"/>
  <c r="G68" i="14"/>
  <c r="H68" i="14" s="1"/>
  <c r="E68" i="14"/>
  <c r="J67" i="14"/>
  <c r="G67" i="14"/>
  <c r="H67" i="14" s="1"/>
  <c r="E67" i="14"/>
  <c r="J66" i="14"/>
  <c r="G66" i="14"/>
  <c r="H66" i="14" s="1"/>
  <c r="E66" i="14"/>
  <c r="J65" i="14"/>
  <c r="G65" i="14"/>
  <c r="H65" i="14" s="1"/>
  <c r="E65" i="14"/>
  <c r="J64" i="14"/>
  <c r="G64" i="14"/>
  <c r="H64" i="14" s="1"/>
  <c r="E64" i="14"/>
  <c r="J63" i="14"/>
  <c r="G63" i="14"/>
  <c r="H63" i="14" s="1"/>
  <c r="E63" i="14"/>
  <c r="J62" i="14"/>
  <c r="G62" i="14"/>
  <c r="H62" i="14" s="1"/>
  <c r="E62" i="14"/>
  <c r="J61" i="14"/>
  <c r="G61" i="14"/>
  <c r="H61" i="14" s="1"/>
  <c r="E61" i="14"/>
  <c r="J60" i="14"/>
  <c r="G60" i="14"/>
  <c r="H60" i="14" s="1"/>
  <c r="E60" i="14"/>
  <c r="J59" i="14"/>
  <c r="G59" i="14"/>
  <c r="H59" i="14" s="1"/>
  <c r="E59" i="14"/>
  <c r="J58" i="14"/>
  <c r="G58" i="14"/>
  <c r="H58" i="14" s="1"/>
  <c r="E58" i="14"/>
  <c r="J57" i="14"/>
  <c r="G57" i="14"/>
  <c r="H57" i="14" s="1"/>
  <c r="E57" i="14"/>
  <c r="J56" i="14"/>
  <c r="G56" i="14"/>
  <c r="H56" i="14" s="1"/>
  <c r="E56" i="14"/>
  <c r="J55" i="14"/>
  <c r="G55" i="14"/>
  <c r="H55" i="14" s="1"/>
  <c r="E55" i="14"/>
  <c r="J54" i="14"/>
  <c r="G54" i="14"/>
  <c r="H54" i="14" s="1"/>
  <c r="E54" i="14"/>
  <c r="J53" i="14"/>
  <c r="G53" i="14"/>
  <c r="H53" i="14" s="1"/>
  <c r="E53" i="14"/>
  <c r="J52" i="14"/>
  <c r="G52" i="14"/>
  <c r="H52" i="14" s="1"/>
  <c r="E52" i="14"/>
  <c r="J51" i="14"/>
  <c r="G51" i="14"/>
  <c r="H51" i="14" s="1"/>
  <c r="E51" i="14"/>
  <c r="J50" i="14"/>
  <c r="G50" i="14"/>
  <c r="H50" i="14" s="1"/>
  <c r="E50" i="14"/>
  <c r="J49" i="14"/>
  <c r="G49" i="14"/>
  <c r="H49" i="14" s="1"/>
  <c r="E49" i="14"/>
  <c r="J48" i="14"/>
  <c r="G48" i="14"/>
  <c r="H48" i="14" s="1"/>
  <c r="E48" i="14"/>
  <c r="J47" i="14"/>
  <c r="G47" i="14"/>
  <c r="H47" i="14" s="1"/>
  <c r="E47" i="14"/>
  <c r="J46" i="14"/>
  <c r="G46" i="14"/>
  <c r="H46" i="14" s="1"/>
  <c r="E46" i="14"/>
  <c r="J45" i="14"/>
  <c r="G45" i="14"/>
  <c r="H45" i="14" s="1"/>
  <c r="E45" i="14"/>
  <c r="J44" i="14"/>
  <c r="G44" i="14"/>
  <c r="H44" i="14" s="1"/>
  <c r="E44" i="14"/>
  <c r="J43" i="14"/>
  <c r="G43" i="14"/>
  <c r="H43" i="14" s="1"/>
  <c r="E43" i="14"/>
  <c r="J42" i="14"/>
  <c r="G42" i="14"/>
  <c r="H42" i="14" s="1"/>
  <c r="E42" i="14"/>
  <c r="J41" i="14"/>
  <c r="G41" i="14"/>
  <c r="H41" i="14" s="1"/>
  <c r="E41" i="14"/>
  <c r="J40" i="14"/>
  <c r="G40" i="14"/>
  <c r="H40" i="14" s="1"/>
  <c r="E40" i="14"/>
  <c r="J39" i="14"/>
  <c r="G39" i="14"/>
  <c r="H39" i="14" s="1"/>
  <c r="E39" i="14"/>
  <c r="J38" i="14"/>
  <c r="G38" i="14"/>
  <c r="H38" i="14" s="1"/>
  <c r="E38" i="14"/>
  <c r="J36" i="14"/>
  <c r="G36" i="14"/>
  <c r="H36" i="14" s="1"/>
  <c r="E36" i="14"/>
  <c r="J35" i="14"/>
  <c r="G35" i="14"/>
  <c r="H35" i="14" s="1"/>
  <c r="E35" i="14"/>
  <c r="J33" i="14"/>
  <c r="G33" i="14"/>
  <c r="H33" i="14" s="1"/>
  <c r="E33" i="14"/>
  <c r="J32" i="14"/>
  <c r="G32" i="14"/>
  <c r="H32" i="14" s="1"/>
  <c r="E32" i="14"/>
  <c r="J31" i="14"/>
  <c r="G31" i="14"/>
  <c r="H31" i="14" s="1"/>
  <c r="E31" i="14"/>
  <c r="J29" i="14"/>
  <c r="G29" i="14"/>
  <c r="H29" i="14" s="1"/>
  <c r="E29" i="14"/>
  <c r="J28" i="14"/>
  <c r="G28" i="14"/>
  <c r="H28" i="14" s="1"/>
  <c r="E28" i="14"/>
  <c r="J26" i="14"/>
  <c r="G26" i="14"/>
  <c r="H26" i="14" s="1"/>
  <c r="E26" i="14"/>
  <c r="J25" i="14"/>
  <c r="G25" i="14"/>
  <c r="H25" i="14" s="1"/>
  <c r="E25" i="14"/>
  <c r="J24" i="14"/>
  <c r="G24" i="14"/>
  <c r="H24" i="14" s="1"/>
  <c r="E24" i="14"/>
  <c r="J23" i="14"/>
  <c r="G23" i="14"/>
  <c r="H23" i="14" s="1"/>
  <c r="E23" i="14"/>
  <c r="J22" i="14"/>
  <c r="G22" i="14"/>
  <c r="H22" i="14" s="1"/>
  <c r="E22" i="14"/>
  <c r="J21" i="14"/>
  <c r="G21" i="14"/>
  <c r="H21" i="14" s="1"/>
  <c r="E21" i="14"/>
  <c r="J20" i="14"/>
  <c r="G20" i="14"/>
  <c r="H20" i="14" s="1"/>
  <c r="E20" i="14"/>
  <c r="J18" i="14"/>
  <c r="G18" i="14"/>
  <c r="H18" i="14" s="1"/>
  <c r="E18" i="14"/>
  <c r="J17" i="14"/>
  <c r="G17" i="14"/>
  <c r="H17" i="14" s="1"/>
  <c r="E17" i="14"/>
  <c r="J16" i="14"/>
  <c r="G16" i="14"/>
  <c r="H16" i="14" s="1"/>
  <c r="E16" i="14"/>
  <c r="J14" i="14"/>
  <c r="G14" i="14"/>
  <c r="H14" i="14" s="1"/>
  <c r="E14" i="14"/>
  <c r="J13" i="14"/>
  <c r="G13" i="14"/>
  <c r="H13" i="14" s="1"/>
  <c r="E13" i="14"/>
  <c r="J12" i="14"/>
  <c r="G12" i="14"/>
  <c r="H12" i="14" s="1"/>
  <c r="E12" i="14"/>
  <c r="J11" i="14"/>
  <c r="G11" i="14"/>
  <c r="H11" i="14" s="1"/>
  <c r="E11" i="14"/>
  <c r="J10" i="14"/>
  <c r="G10" i="14"/>
  <c r="H10" i="14" s="1"/>
  <c r="E10" i="14"/>
  <c r="J7" i="14"/>
  <c r="G7" i="14"/>
  <c r="H7" i="14" s="1"/>
  <c r="E7" i="14"/>
  <c r="J6" i="14"/>
  <c r="G6" i="14"/>
  <c r="H6" i="14" s="1"/>
  <c r="E6" i="14"/>
  <c r="J4" i="14"/>
  <c r="G4" i="14"/>
  <c r="H4" i="14" s="1"/>
  <c r="E4" i="14"/>
  <c r="J3" i="14"/>
  <c r="G3" i="14"/>
  <c r="H3" i="14" s="1"/>
  <c r="E3" i="14"/>
  <c r="J2" i="14"/>
  <c r="G2" i="14"/>
  <c r="H2" i="14" s="1"/>
  <c r="E2" i="14"/>
  <c r="AF161" i="4" l="1"/>
  <c r="G62" i="10"/>
  <c r="G63" i="10"/>
  <c r="G64" i="10"/>
  <c r="H64" i="10" s="1"/>
  <c r="G65" i="10"/>
  <c r="H65" i="10" s="1"/>
  <c r="E64" i="10"/>
  <c r="E65" i="10"/>
  <c r="U160" i="4" l="1"/>
  <c r="U159" i="4"/>
  <c r="U158" i="4"/>
  <c r="U147" i="4"/>
  <c r="U146" i="4"/>
  <c r="U145" i="4"/>
  <c r="U144" i="4"/>
  <c r="U143" i="4"/>
  <c r="U142" i="4"/>
  <c r="U141" i="4"/>
  <c r="U140" i="4"/>
  <c r="U139" i="4"/>
  <c r="U138" i="4"/>
  <c r="U137" i="4"/>
  <c r="U136" i="4"/>
  <c r="U135" i="4"/>
  <c r="U134" i="4"/>
  <c r="U133" i="4"/>
  <c r="U132" i="4"/>
  <c r="U131" i="4"/>
  <c r="U130" i="4"/>
  <c r="U129" i="4"/>
  <c r="U128" i="4"/>
  <c r="U127" i="4"/>
  <c r="U126" i="4"/>
  <c r="U125" i="4"/>
  <c r="U124" i="4"/>
  <c r="U123" i="4"/>
  <c r="U122" i="4"/>
  <c r="U121" i="4"/>
  <c r="U120" i="4"/>
  <c r="U119" i="4"/>
  <c r="U118" i="4"/>
  <c r="U117" i="4"/>
  <c r="U116" i="4"/>
  <c r="U115" i="4"/>
  <c r="U114" i="4"/>
  <c r="U113" i="4"/>
  <c r="U112" i="4"/>
  <c r="U111" i="4"/>
  <c r="U110" i="4"/>
  <c r="U109" i="4"/>
  <c r="U108" i="4"/>
  <c r="U107" i="4"/>
  <c r="U106" i="4"/>
  <c r="U105" i="4"/>
  <c r="U104" i="4"/>
  <c r="U103" i="4"/>
  <c r="U102" i="4"/>
  <c r="U101" i="4"/>
  <c r="U100" i="4"/>
  <c r="U99" i="4"/>
  <c r="U98" i="4"/>
  <c r="U97" i="4"/>
  <c r="U96" i="4"/>
  <c r="U95" i="4"/>
  <c r="U94" i="4"/>
  <c r="U93" i="4"/>
  <c r="U92" i="4"/>
  <c r="U91" i="4"/>
  <c r="U90" i="4"/>
  <c r="U89" i="4"/>
  <c r="U88" i="4"/>
  <c r="U87" i="4"/>
  <c r="U86" i="4"/>
  <c r="U85" i="4"/>
  <c r="U84" i="4"/>
  <c r="U83" i="4"/>
  <c r="U82" i="4"/>
  <c r="U81" i="4"/>
  <c r="U80" i="4"/>
  <c r="U79" i="4"/>
  <c r="U78" i="4"/>
  <c r="U77" i="4"/>
  <c r="U76" i="4"/>
  <c r="U75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U60" i="4"/>
  <c r="U59" i="4"/>
  <c r="U58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N34" i="4"/>
  <c r="G78" i="9"/>
  <c r="H78" i="9" s="1"/>
  <c r="G77" i="9"/>
  <c r="H77" i="9" s="1"/>
  <c r="G76" i="9"/>
  <c r="H76" i="9" s="1"/>
  <c r="G75" i="9"/>
  <c r="H75" i="9" s="1"/>
  <c r="G74" i="9"/>
  <c r="H74" i="9" s="1"/>
  <c r="G72" i="9"/>
  <c r="H72" i="9" s="1"/>
  <c r="G70" i="9"/>
  <c r="H70" i="9" s="1"/>
  <c r="G69" i="9"/>
  <c r="H69" i="9" s="1"/>
  <c r="G68" i="9"/>
  <c r="H68" i="9" s="1"/>
  <c r="G66" i="9"/>
  <c r="H66" i="9" s="1"/>
  <c r="G65" i="9"/>
  <c r="H65" i="9" s="1"/>
  <c r="G64" i="9"/>
  <c r="H64" i="9" s="1"/>
  <c r="G63" i="9"/>
  <c r="H63" i="9" s="1"/>
  <c r="G81" i="9"/>
  <c r="H81" i="9" s="1"/>
  <c r="E85" i="10"/>
  <c r="A85" i="10"/>
  <c r="H63" i="10"/>
  <c r="E63" i="10"/>
  <c r="H62" i="10"/>
  <c r="E62" i="10"/>
  <c r="G61" i="10"/>
  <c r="H61" i="10" s="1"/>
  <c r="E61" i="10"/>
  <c r="G60" i="10"/>
  <c r="H60" i="10" s="1"/>
  <c r="E60" i="10"/>
  <c r="G59" i="10"/>
  <c r="H59" i="10" s="1"/>
  <c r="E59" i="10"/>
  <c r="G58" i="10"/>
  <c r="H58" i="10" s="1"/>
  <c r="E58" i="10"/>
  <c r="G57" i="10"/>
  <c r="H57" i="10" s="1"/>
  <c r="E57" i="10"/>
  <c r="G56" i="10"/>
  <c r="H56" i="10" s="1"/>
  <c r="E56" i="10"/>
  <c r="G55" i="10"/>
  <c r="H55" i="10" s="1"/>
  <c r="E55" i="10"/>
  <c r="G54" i="10"/>
  <c r="H54" i="10" s="1"/>
  <c r="E54" i="10"/>
  <c r="G53" i="10"/>
  <c r="H53" i="10" s="1"/>
  <c r="E53" i="10"/>
  <c r="G50" i="10"/>
  <c r="H50" i="10" s="1"/>
  <c r="G49" i="10"/>
  <c r="H49" i="10" s="1"/>
  <c r="E49" i="10"/>
  <c r="G48" i="10"/>
  <c r="H48" i="10" s="1"/>
  <c r="E48" i="10"/>
  <c r="G43" i="10"/>
  <c r="H43" i="10" s="1"/>
  <c r="E43" i="10"/>
  <c r="G42" i="10"/>
  <c r="H42" i="10" s="1"/>
  <c r="E42" i="10"/>
  <c r="G41" i="10"/>
  <c r="H41" i="10" s="1"/>
  <c r="E41" i="10"/>
  <c r="G39" i="10"/>
  <c r="H39" i="10" s="1"/>
  <c r="E39" i="10"/>
  <c r="G37" i="10"/>
  <c r="H37" i="10" s="1"/>
  <c r="E37" i="10"/>
  <c r="G36" i="10"/>
  <c r="H36" i="10" s="1"/>
  <c r="E36" i="10"/>
  <c r="G35" i="10"/>
  <c r="H35" i="10" s="1"/>
  <c r="E35" i="10"/>
  <c r="G34" i="10"/>
  <c r="H34" i="10" s="1"/>
  <c r="E34" i="10"/>
  <c r="H32" i="10"/>
  <c r="E32" i="10"/>
  <c r="G31" i="10"/>
  <c r="H31" i="10" s="1"/>
  <c r="E31" i="10"/>
  <c r="G30" i="10"/>
  <c r="H30" i="10" s="1"/>
  <c r="E30" i="10"/>
  <c r="G29" i="10"/>
  <c r="H29" i="10" s="1"/>
  <c r="E29" i="10"/>
  <c r="G28" i="10"/>
  <c r="H28" i="10" s="1"/>
  <c r="E28" i="10"/>
  <c r="G25" i="10"/>
  <c r="H25" i="10" s="1"/>
  <c r="E25" i="10"/>
  <c r="G24" i="10"/>
  <c r="H24" i="10" s="1"/>
  <c r="E24" i="10"/>
  <c r="G23" i="10"/>
  <c r="H23" i="10" s="1"/>
  <c r="E23" i="10"/>
  <c r="G22" i="10"/>
  <c r="H22" i="10" s="1"/>
  <c r="E22" i="10"/>
  <c r="G21" i="10"/>
  <c r="H21" i="10" s="1"/>
  <c r="E21" i="10"/>
  <c r="G20" i="10"/>
  <c r="H20" i="10" s="1"/>
  <c r="E20" i="10"/>
  <c r="G19" i="10"/>
  <c r="H19" i="10" s="1"/>
  <c r="E19" i="10"/>
  <c r="G18" i="10"/>
  <c r="H18" i="10" s="1"/>
  <c r="E18" i="10"/>
  <c r="G17" i="10"/>
  <c r="H17" i="10" s="1"/>
  <c r="E17" i="10"/>
  <c r="G16" i="10"/>
  <c r="H16" i="10" s="1"/>
  <c r="E16" i="10"/>
  <c r="G15" i="10"/>
  <c r="H15" i="10" s="1"/>
  <c r="E15" i="10"/>
  <c r="G14" i="10"/>
  <c r="H14" i="10" s="1"/>
  <c r="E14" i="10"/>
  <c r="G13" i="10"/>
  <c r="H13" i="10" s="1"/>
  <c r="E13" i="10"/>
  <c r="G12" i="10"/>
  <c r="H12" i="10" s="1"/>
  <c r="E12" i="10"/>
  <c r="G11" i="10"/>
  <c r="H11" i="10" s="1"/>
  <c r="E11" i="10"/>
  <c r="E157" i="9"/>
  <c r="A157" i="9"/>
  <c r="G62" i="9"/>
  <c r="H62" i="9" s="1"/>
  <c r="G61" i="9"/>
  <c r="H61" i="9" s="1"/>
  <c r="G60" i="9"/>
  <c r="H60" i="9" s="1"/>
  <c r="G59" i="9"/>
  <c r="H59" i="9" s="1"/>
  <c r="G58" i="9"/>
  <c r="H58" i="9" s="1"/>
  <c r="G57" i="9"/>
  <c r="H57" i="9" s="1"/>
  <c r="G56" i="9"/>
  <c r="H56" i="9" s="1"/>
  <c r="G55" i="9"/>
  <c r="H55" i="9" s="1"/>
  <c r="G54" i="9"/>
  <c r="H54" i="9" s="1"/>
  <c r="G53" i="9"/>
  <c r="H53" i="9" s="1"/>
  <c r="G52" i="9"/>
  <c r="H52" i="9" s="1"/>
  <c r="G51" i="9"/>
  <c r="H51" i="9" s="1"/>
  <c r="G50" i="9"/>
  <c r="H50" i="9" s="1"/>
  <c r="G49" i="9"/>
  <c r="H49" i="9" s="1"/>
  <c r="G48" i="9"/>
  <c r="H48" i="9" s="1"/>
  <c r="G46" i="9"/>
  <c r="H46" i="9" s="1"/>
  <c r="G45" i="9"/>
  <c r="H45" i="9" s="1"/>
  <c r="G44" i="9"/>
  <c r="H44" i="9" s="1"/>
  <c r="G43" i="9"/>
  <c r="H43" i="9" s="1"/>
  <c r="G41" i="9"/>
  <c r="H41" i="9" s="1"/>
  <c r="G39" i="9"/>
  <c r="H39" i="9" s="1"/>
  <c r="G38" i="9"/>
  <c r="H38" i="9" s="1"/>
  <c r="G37" i="9"/>
  <c r="H37" i="9" s="1"/>
  <c r="G35" i="9"/>
  <c r="H35" i="9" s="1"/>
  <c r="G33" i="9"/>
  <c r="H33" i="9" s="1"/>
  <c r="G32" i="9"/>
  <c r="H32" i="9" s="1"/>
  <c r="G28" i="9"/>
  <c r="H28" i="9" s="1"/>
  <c r="G27" i="9"/>
  <c r="H27" i="9" s="1"/>
  <c r="G26" i="9"/>
  <c r="H26" i="9" s="1"/>
  <c r="G25" i="9"/>
  <c r="H25" i="9" s="1"/>
  <c r="G24" i="9"/>
  <c r="H24" i="9" s="1"/>
  <c r="G23" i="9"/>
  <c r="H23" i="9" s="1"/>
  <c r="G22" i="9"/>
  <c r="H22" i="9" s="1"/>
  <c r="G21" i="9"/>
  <c r="H21" i="9" s="1"/>
  <c r="G20" i="9"/>
  <c r="H20" i="9" s="1"/>
  <c r="G19" i="9"/>
  <c r="H19" i="9" s="1"/>
  <c r="G18" i="9"/>
  <c r="H18" i="9" s="1"/>
  <c r="G17" i="9"/>
  <c r="H17" i="9" s="1"/>
  <c r="G15" i="9"/>
  <c r="H15" i="9" s="1"/>
  <c r="G14" i="9"/>
  <c r="H14" i="9" s="1"/>
  <c r="G13" i="9"/>
  <c r="H13" i="9" s="1"/>
  <c r="G12" i="9"/>
  <c r="H12" i="9" s="1"/>
  <c r="G11" i="9"/>
  <c r="H11" i="9" s="1"/>
  <c r="E11" i="9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5" i="4"/>
  <c r="N36" i="4"/>
  <c r="N37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58" i="4"/>
  <c r="N159" i="4"/>
  <c r="N160" i="4"/>
  <c r="N162" i="4"/>
  <c r="E22" i="8"/>
  <c r="G22" i="8"/>
  <c r="H22" i="8" s="1"/>
  <c r="J22" i="8"/>
  <c r="J3" i="8"/>
  <c r="J4" i="8"/>
  <c r="J5" i="8"/>
  <c r="J63" i="8"/>
  <c r="J64" i="8"/>
  <c r="J65" i="8"/>
  <c r="J66" i="8"/>
  <c r="J67" i="8"/>
  <c r="J68" i="8"/>
  <c r="J69" i="8"/>
  <c r="J70" i="8"/>
  <c r="J71" i="8"/>
  <c r="J72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3" i="8"/>
  <c r="J73" i="8"/>
  <c r="J74" i="8"/>
  <c r="J75" i="8"/>
  <c r="J76" i="8"/>
  <c r="J77" i="8"/>
  <c r="J24" i="8"/>
  <c r="J25" i="8"/>
  <c r="J26" i="8"/>
  <c r="J27" i="8"/>
  <c r="J28" i="8"/>
  <c r="J78" i="8"/>
  <c r="J79" i="8"/>
  <c r="J80" i="8"/>
  <c r="J81" i="8"/>
  <c r="J82" i="8"/>
  <c r="J29" i="8"/>
  <c r="J30" i="8"/>
  <c r="J31" i="8"/>
  <c r="J83" i="8"/>
  <c r="J84" i="8"/>
  <c r="J85" i="8"/>
  <c r="J86" i="8"/>
  <c r="J87" i="8"/>
  <c r="J32" i="8"/>
  <c r="J33" i="8"/>
  <c r="J34" i="8"/>
  <c r="J35" i="8"/>
  <c r="J36" i="8"/>
  <c r="J37" i="8"/>
  <c r="J38" i="8"/>
  <c r="J88" i="8"/>
  <c r="J89" i="8"/>
  <c r="J90" i="8"/>
  <c r="J91" i="8"/>
  <c r="J39" i="8"/>
  <c r="J40" i="8"/>
  <c r="J41" i="8"/>
  <c r="J42" i="8"/>
  <c r="J43" i="8"/>
  <c r="J92" i="8"/>
  <c r="J93" i="8"/>
  <c r="J44" i="8"/>
  <c r="J45" i="8"/>
  <c r="J46" i="8"/>
  <c r="J47" i="8"/>
  <c r="J48" i="8"/>
  <c r="J49" i="8"/>
  <c r="J94" i="8"/>
  <c r="J95" i="8"/>
  <c r="J50" i="8"/>
  <c r="J51" i="8"/>
  <c r="J52" i="8"/>
  <c r="J53" i="8"/>
  <c r="J54" i="8"/>
  <c r="J55" i="8"/>
  <c r="J96" i="8"/>
  <c r="J56" i="8"/>
  <c r="J97" i="8"/>
  <c r="J98" i="8"/>
  <c r="J99" i="8"/>
  <c r="J100" i="8"/>
  <c r="J101" i="8"/>
  <c r="J102" i="8"/>
  <c r="J57" i="8"/>
  <c r="J58" i="8"/>
  <c r="J59" i="8"/>
  <c r="J60" i="8"/>
  <c r="J61" i="8"/>
  <c r="J62" i="8"/>
  <c r="J103" i="8"/>
  <c r="J104" i="8"/>
  <c r="J105" i="8"/>
  <c r="J106" i="8"/>
  <c r="J107" i="8"/>
  <c r="J108" i="8"/>
  <c r="J2" i="8"/>
  <c r="E57" i="8"/>
  <c r="G57" i="8"/>
  <c r="H57" i="8" s="1"/>
  <c r="E38" i="8"/>
  <c r="G38" i="8"/>
  <c r="H38" i="8" s="1"/>
  <c r="E48" i="8"/>
  <c r="G48" i="8"/>
  <c r="H48" i="8" s="1"/>
  <c r="E84" i="8"/>
  <c r="G84" i="8"/>
  <c r="H84" i="8" s="1"/>
  <c r="E105" i="8"/>
  <c r="G105" i="8"/>
  <c r="H105" i="8" s="1"/>
  <c r="E94" i="8"/>
  <c r="G94" i="8"/>
  <c r="H94" i="8" s="1"/>
  <c r="E79" i="8"/>
  <c r="G79" i="8"/>
  <c r="H79" i="8" s="1"/>
  <c r="E75" i="8"/>
  <c r="G75" i="8"/>
  <c r="H75" i="8" s="1"/>
  <c r="E66" i="8"/>
  <c r="G66" i="8"/>
  <c r="H66" i="8" s="1"/>
  <c r="E86" i="8"/>
  <c r="G86" i="8"/>
  <c r="H86" i="8" s="1"/>
  <c r="E85" i="8"/>
  <c r="G85" i="8"/>
  <c r="H85" i="8" s="1"/>
  <c r="E76" i="8"/>
  <c r="G76" i="8"/>
  <c r="H76" i="8" s="1"/>
  <c r="E65" i="8"/>
  <c r="G65" i="8"/>
  <c r="H65" i="8" s="1"/>
  <c r="E90" i="8"/>
  <c r="G90" i="8"/>
  <c r="H90" i="8" s="1"/>
  <c r="E80" i="8"/>
  <c r="G80" i="8"/>
  <c r="H80" i="8" s="1"/>
  <c r="E70" i="8"/>
  <c r="G70" i="8"/>
  <c r="H70" i="8" s="1"/>
  <c r="E71" i="8"/>
  <c r="G71" i="8"/>
  <c r="H71" i="8" s="1"/>
  <c r="E102" i="8"/>
  <c r="G102" i="8"/>
  <c r="H102" i="8" s="1"/>
  <c r="E100" i="8"/>
  <c r="E101" i="8"/>
  <c r="E58" i="8"/>
  <c r="E59" i="8"/>
  <c r="E60" i="8"/>
  <c r="E61" i="8"/>
  <c r="E62" i="8"/>
  <c r="E103" i="8"/>
  <c r="E104" i="8"/>
  <c r="E106" i="8"/>
  <c r="E107" i="8"/>
  <c r="E108" i="8"/>
  <c r="E2" i="8"/>
  <c r="G100" i="8"/>
  <c r="H100" i="8" s="1"/>
  <c r="G101" i="8"/>
  <c r="H101" i="8" s="1"/>
  <c r="G58" i="8"/>
  <c r="H58" i="8" s="1"/>
  <c r="G59" i="8"/>
  <c r="H59" i="8" s="1"/>
  <c r="G60" i="8"/>
  <c r="H60" i="8" s="1"/>
  <c r="G61" i="8"/>
  <c r="H61" i="8" s="1"/>
  <c r="G62" i="8"/>
  <c r="H62" i="8" s="1"/>
  <c r="G103" i="8"/>
  <c r="H103" i="8" s="1"/>
  <c r="G104" i="8"/>
  <c r="H104" i="8" s="1"/>
  <c r="G106" i="8"/>
  <c r="H106" i="8" s="1"/>
  <c r="G107" i="8"/>
  <c r="H107" i="8" s="1"/>
  <c r="G108" i="8"/>
  <c r="H108" i="8" s="1"/>
  <c r="G2" i="8"/>
  <c r="H2" i="8" s="1"/>
  <c r="E68" i="8"/>
  <c r="G68" i="8"/>
  <c r="H68" i="8" s="1"/>
  <c r="E91" i="8"/>
  <c r="E39" i="8"/>
  <c r="H151" i="9" l="1"/>
  <c r="H79" i="10"/>
  <c r="O6" i="4"/>
  <c r="P6" i="4" s="1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58" i="4"/>
  <c r="O159" i="4"/>
  <c r="O160" i="4"/>
  <c r="O162" i="4"/>
  <c r="G3" i="8"/>
  <c r="H3" i="8" s="1"/>
  <c r="G4" i="8"/>
  <c r="H4" i="8" s="1"/>
  <c r="G5" i="8"/>
  <c r="H5" i="8" s="1"/>
  <c r="G63" i="8"/>
  <c r="H63" i="8" s="1"/>
  <c r="G64" i="8"/>
  <c r="H64" i="8" s="1"/>
  <c r="G67" i="8"/>
  <c r="H67" i="8" s="1"/>
  <c r="G69" i="8"/>
  <c r="H69" i="8" s="1"/>
  <c r="G72" i="8"/>
  <c r="H72" i="8" s="1"/>
  <c r="G6" i="8"/>
  <c r="H6" i="8" s="1"/>
  <c r="G7" i="8"/>
  <c r="H7" i="8" s="1"/>
  <c r="G8" i="8"/>
  <c r="H8" i="8" s="1"/>
  <c r="G9" i="8"/>
  <c r="H9" i="8" s="1"/>
  <c r="G10" i="8"/>
  <c r="H10" i="8" s="1"/>
  <c r="G11" i="8"/>
  <c r="H11" i="8" s="1"/>
  <c r="G12" i="8"/>
  <c r="H12" i="8" s="1"/>
  <c r="G13" i="8"/>
  <c r="H13" i="8" s="1"/>
  <c r="G14" i="8"/>
  <c r="H14" i="8" s="1"/>
  <c r="G15" i="8"/>
  <c r="H15" i="8" s="1"/>
  <c r="G16" i="8"/>
  <c r="H16" i="8" s="1"/>
  <c r="G17" i="8"/>
  <c r="H17" i="8" s="1"/>
  <c r="G18" i="8"/>
  <c r="H18" i="8" s="1"/>
  <c r="G19" i="8"/>
  <c r="H19" i="8" s="1"/>
  <c r="G20" i="8"/>
  <c r="H20" i="8" s="1"/>
  <c r="G21" i="8"/>
  <c r="H21" i="8" s="1"/>
  <c r="G23" i="8"/>
  <c r="H23" i="8" s="1"/>
  <c r="G73" i="8"/>
  <c r="H73" i="8" s="1"/>
  <c r="G74" i="8"/>
  <c r="H74" i="8" s="1"/>
  <c r="G77" i="8"/>
  <c r="H77" i="8" s="1"/>
  <c r="G24" i="8"/>
  <c r="H24" i="8" s="1"/>
  <c r="G25" i="8"/>
  <c r="H25" i="8" s="1"/>
  <c r="G26" i="8"/>
  <c r="H26" i="8" s="1"/>
  <c r="G27" i="8"/>
  <c r="H27" i="8" s="1"/>
  <c r="G28" i="8"/>
  <c r="H28" i="8" s="1"/>
  <c r="G78" i="8"/>
  <c r="H78" i="8" s="1"/>
  <c r="G81" i="8"/>
  <c r="H81" i="8" s="1"/>
  <c r="G82" i="8"/>
  <c r="H82" i="8" s="1"/>
  <c r="G29" i="8"/>
  <c r="H29" i="8" s="1"/>
  <c r="G30" i="8"/>
  <c r="H30" i="8" s="1"/>
  <c r="G31" i="8"/>
  <c r="H31" i="8" s="1"/>
  <c r="G83" i="8"/>
  <c r="H83" i="8" s="1"/>
  <c r="G87" i="8"/>
  <c r="H87" i="8" s="1"/>
  <c r="G32" i="8"/>
  <c r="H32" i="8" s="1"/>
  <c r="G33" i="8"/>
  <c r="H33" i="8" s="1"/>
  <c r="G34" i="8"/>
  <c r="H34" i="8" s="1"/>
  <c r="G35" i="8"/>
  <c r="H35" i="8" s="1"/>
  <c r="G36" i="8"/>
  <c r="H36" i="8" s="1"/>
  <c r="G37" i="8"/>
  <c r="H37" i="8" s="1"/>
  <c r="G88" i="8"/>
  <c r="H88" i="8" s="1"/>
  <c r="G89" i="8"/>
  <c r="H89" i="8" s="1"/>
  <c r="G91" i="8"/>
  <c r="H91" i="8" s="1"/>
  <c r="G39" i="8"/>
  <c r="H39" i="8" s="1"/>
  <c r="G40" i="8"/>
  <c r="H40" i="8" s="1"/>
  <c r="G41" i="8"/>
  <c r="H41" i="8" s="1"/>
  <c r="G42" i="8"/>
  <c r="H42" i="8" s="1"/>
  <c r="G43" i="8"/>
  <c r="H43" i="8" s="1"/>
  <c r="G92" i="8"/>
  <c r="H92" i="8" s="1"/>
  <c r="G93" i="8"/>
  <c r="H93" i="8" s="1"/>
  <c r="G44" i="8"/>
  <c r="H44" i="8" s="1"/>
  <c r="G45" i="8"/>
  <c r="H45" i="8" s="1"/>
  <c r="G46" i="8"/>
  <c r="H46" i="8" s="1"/>
  <c r="G47" i="8"/>
  <c r="H47" i="8" s="1"/>
  <c r="G49" i="8"/>
  <c r="H49" i="8" s="1"/>
  <c r="G95" i="8"/>
  <c r="H95" i="8" s="1"/>
  <c r="G50" i="8"/>
  <c r="H50" i="8" s="1"/>
  <c r="G51" i="8"/>
  <c r="H51" i="8" s="1"/>
  <c r="G52" i="8"/>
  <c r="H52" i="8" s="1"/>
  <c r="G53" i="8"/>
  <c r="H53" i="8" s="1"/>
  <c r="G54" i="8"/>
  <c r="H54" i="8" s="1"/>
  <c r="G55" i="8"/>
  <c r="H55" i="8" s="1"/>
  <c r="G96" i="8"/>
  <c r="H96" i="8" s="1"/>
  <c r="G56" i="8"/>
  <c r="H56" i="8" s="1"/>
  <c r="G97" i="8"/>
  <c r="H97" i="8" s="1"/>
  <c r="G98" i="8"/>
  <c r="H98" i="8" s="1"/>
  <c r="G99" i="8"/>
  <c r="H99" i="8" s="1"/>
  <c r="E3" i="8"/>
  <c r="E4" i="8"/>
  <c r="E5" i="8"/>
  <c r="E63" i="8"/>
  <c r="E64" i="8"/>
  <c r="E67" i="8"/>
  <c r="E69" i="8"/>
  <c r="E72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3" i="8"/>
  <c r="E73" i="8"/>
  <c r="E74" i="8"/>
  <c r="E77" i="8"/>
  <c r="E24" i="8"/>
  <c r="E25" i="8"/>
  <c r="E26" i="8"/>
  <c r="E27" i="8"/>
  <c r="E28" i="8"/>
  <c r="E78" i="8"/>
  <c r="E81" i="8"/>
  <c r="E82" i="8"/>
  <c r="E29" i="8"/>
  <c r="E30" i="8"/>
  <c r="E31" i="8"/>
  <c r="E83" i="8"/>
  <c r="E87" i="8"/>
  <c r="E32" i="8"/>
  <c r="E33" i="8"/>
  <c r="E34" i="8"/>
  <c r="E35" i="8"/>
  <c r="E36" i="8"/>
  <c r="E37" i="8"/>
  <c r="E88" i="8"/>
  <c r="E89" i="8"/>
  <c r="E40" i="8"/>
  <c r="E41" i="8"/>
  <c r="E42" i="8"/>
  <c r="E43" i="8"/>
  <c r="E92" i="8"/>
  <c r="E93" i="8"/>
  <c r="E44" i="8"/>
  <c r="E45" i="8"/>
  <c r="E46" i="8"/>
  <c r="E47" i="8"/>
  <c r="E49" i="8"/>
  <c r="E95" i="8"/>
  <c r="E50" i="8"/>
  <c r="E51" i="8"/>
  <c r="E52" i="8"/>
  <c r="E53" i="8"/>
  <c r="E54" i="8"/>
  <c r="E55" i="8"/>
  <c r="E96" i="8"/>
  <c r="E56" i="8"/>
  <c r="E97" i="8"/>
  <c r="E98" i="8"/>
  <c r="E99" i="8"/>
  <c r="A4" i="7"/>
  <c r="F86" i="7"/>
  <c r="P145" i="4" l="1"/>
  <c r="P65" i="4"/>
  <c r="P124" i="4"/>
  <c r="P24" i="4"/>
  <c r="P63" i="4"/>
  <c r="P82" i="4"/>
  <c r="P101" i="4"/>
  <c r="P41" i="4"/>
  <c r="P139" i="4"/>
  <c r="P99" i="4"/>
  <c r="P39" i="4"/>
  <c r="P138" i="4"/>
  <c r="P118" i="4"/>
  <c r="P98" i="4"/>
  <c r="P78" i="4"/>
  <c r="P58" i="4"/>
  <c r="P38" i="4"/>
  <c r="P18" i="4"/>
  <c r="P137" i="4"/>
  <c r="P117" i="4"/>
  <c r="P97" i="4"/>
  <c r="P77" i="4"/>
  <c r="P57" i="4"/>
  <c r="P37" i="4"/>
  <c r="P17" i="4"/>
  <c r="P136" i="4"/>
  <c r="P116" i="4"/>
  <c r="P96" i="4"/>
  <c r="P76" i="4"/>
  <c r="P56" i="4"/>
  <c r="P36" i="4"/>
  <c r="P16" i="4"/>
  <c r="P135" i="4"/>
  <c r="P115" i="4"/>
  <c r="P95" i="4"/>
  <c r="P75" i="4"/>
  <c r="P55" i="4"/>
  <c r="P35" i="4"/>
  <c r="P15" i="4"/>
  <c r="P85" i="4"/>
  <c r="P104" i="4"/>
  <c r="P44" i="4"/>
  <c r="P103" i="4"/>
  <c r="P141" i="4"/>
  <c r="P81" i="4"/>
  <c r="P120" i="4"/>
  <c r="P40" i="4"/>
  <c r="P94" i="4"/>
  <c r="P14" i="4"/>
  <c r="P133" i="4"/>
  <c r="P53" i="4"/>
  <c r="P132" i="4"/>
  <c r="P12" i="4"/>
  <c r="P105" i="4"/>
  <c r="P25" i="4"/>
  <c r="P64" i="4"/>
  <c r="P43" i="4"/>
  <c r="P62" i="4"/>
  <c r="P121" i="4"/>
  <c r="P21" i="4"/>
  <c r="P159" i="4"/>
  <c r="P119" i="4"/>
  <c r="P19" i="4"/>
  <c r="P134" i="4"/>
  <c r="P54" i="4"/>
  <c r="P72" i="4"/>
  <c r="P32" i="4"/>
  <c r="P129" i="4"/>
  <c r="P109" i="4"/>
  <c r="P89" i="4"/>
  <c r="P69" i="4"/>
  <c r="P49" i="4"/>
  <c r="P29" i="4"/>
  <c r="P9" i="4"/>
  <c r="P144" i="4"/>
  <c r="P84" i="4"/>
  <c r="P123" i="4"/>
  <c r="P23" i="4"/>
  <c r="P122" i="4"/>
  <c r="P42" i="4"/>
  <c r="P140" i="4"/>
  <c r="P80" i="4"/>
  <c r="P59" i="4"/>
  <c r="P93" i="4"/>
  <c r="P73" i="4"/>
  <c r="P13" i="4"/>
  <c r="P92" i="4"/>
  <c r="P131" i="4"/>
  <c r="P111" i="4"/>
  <c r="P91" i="4"/>
  <c r="P71" i="4"/>
  <c r="P51" i="4"/>
  <c r="P31" i="4"/>
  <c r="P11" i="4"/>
  <c r="P130" i="4"/>
  <c r="P110" i="4"/>
  <c r="P90" i="4"/>
  <c r="P70" i="4"/>
  <c r="P50" i="4"/>
  <c r="P30" i="4"/>
  <c r="P10" i="4"/>
  <c r="P128" i="4"/>
  <c r="P108" i="4"/>
  <c r="P88" i="4"/>
  <c r="P68" i="4"/>
  <c r="P48" i="4"/>
  <c r="P28" i="4"/>
  <c r="P8" i="4"/>
  <c r="P125" i="4"/>
  <c r="P45" i="4"/>
  <c r="P142" i="4"/>
  <c r="P102" i="4"/>
  <c r="P22" i="4"/>
  <c r="P160" i="4"/>
  <c r="P60" i="4"/>
  <c r="P79" i="4"/>
  <c r="P74" i="4"/>
  <c r="P113" i="4"/>
  <c r="P33" i="4"/>
  <c r="P112" i="4"/>
  <c r="P52" i="4"/>
  <c r="P147" i="4"/>
  <c r="P127" i="4"/>
  <c r="P107" i="4"/>
  <c r="P87" i="4"/>
  <c r="P67" i="4"/>
  <c r="P47" i="4"/>
  <c r="P27" i="4"/>
  <c r="P7" i="4"/>
  <c r="P143" i="4"/>
  <c r="P83" i="4"/>
  <c r="P162" i="4"/>
  <c r="P61" i="4"/>
  <c r="P100" i="4"/>
  <c r="P20" i="4"/>
  <c r="P158" i="4"/>
  <c r="P114" i="4"/>
  <c r="P34" i="4"/>
  <c r="P146" i="4"/>
  <c r="P126" i="4"/>
  <c r="P106" i="4"/>
  <c r="P86" i="4"/>
  <c r="P66" i="4"/>
  <c r="P46" i="4"/>
  <c r="P26" i="4"/>
  <c r="F161" i="6"/>
  <c r="P3" i="4" l="1"/>
  <c r="U3" i="4" s="1"/>
  <c r="V3" i="4" s="1"/>
  <c r="P2" i="4"/>
  <c r="U2" i="4" s="1"/>
  <c r="V2" i="4" s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58" i="4"/>
  <c r="H159" i="4"/>
  <c r="H160" i="4"/>
  <c r="H162" i="4"/>
  <c r="G162" i="4"/>
  <c r="G160" i="4"/>
  <c r="G159" i="4"/>
  <c r="G15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L11" i="6" l="1" a="1"/>
  <c r="L11" i="6" s="1"/>
  <c r="J70" i="4"/>
  <c r="I70" i="4"/>
  <c r="J129" i="4"/>
  <c r="I129" i="4"/>
  <c r="J49" i="4"/>
  <c r="I49" i="4"/>
  <c r="J8" i="4"/>
  <c r="I8" i="4"/>
  <c r="J144" i="4"/>
  <c r="I144" i="4"/>
  <c r="J84" i="4"/>
  <c r="I84" i="4"/>
  <c r="J142" i="4"/>
  <c r="I142" i="4"/>
  <c r="J122" i="4"/>
  <c r="I122" i="4"/>
  <c r="J102" i="4"/>
  <c r="I102" i="4"/>
  <c r="J82" i="4"/>
  <c r="I82" i="4"/>
  <c r="J62" i="4"/>
  <c r="I62" i="4"/>
  <c r="J42" i="4"/>
  <c r="I42" i="4"/>
  <c r="J22" i="4"/>
  <c r="I22" i="4"/>
  <c r="J108" i="4"/>
  <c r="I108" i="4"/>
  <c r="J141" i="4"/>
  <c r="I141" i="4"/>
  <c r="J81" i="4"/>
  <c r="I81" i="4"/>
  <c r="J21" i="4"/>
  <c r="I21" i="4"/>
  <c r="J160" i="4"/>
  <c r="I160" i="4"/>
  <c r="J140" i="4"/>
  <c r="I140" i="4"/>
  <c r="J120" i="4"/>
  <c r="I120" i="4"/>
  <c r="J100" i="4"/>
  <c r="I100" i="4"/>
  <c r="J80" i="4"/>
  <c r="I80" i="4"/>
  <c r="J60" i="4"/>
  <c r="I60" i="4"/>
  <c r="J40" i="4"/>
  <c r="I40" i="4"/>
  <c r="J20" i="4"/>
  <c r="I20" i="4"/>
  <c r="J90" i="4"/>
  <c r="I90" i="4"/>
  <c r="J9" i="4"/>
  <c r="I9" i="4"/>
  <c r="J68" i="4"/>
  <c r="I68" i="4"/>
  <c r="J101" i="4"/>
  <c r="I101" i="4"/>
  <c r="J159" i="4"/>
  <c r="I159" i="4"/>
  <c r="J119" i="4"/>
  <c r="I119" i="4"/>
  <c r="J79" i="4"/>
  <c r="I79" i="4"/>
  <c r="J59" i="4"/>
  <c r="I59" i="4"/>
  <c r="J39" i="4"/>
  <c r="I39" i="4"/>
  <c r="J19" i="4"/>
  <c r="I19" i="4"/>
  <c r="J130" i="4"/>
  <c r="I130" i="4"/>
  <c r="J30" i="4"/>
  <c r="I30" i="4"/>
  <c r="J109" i="4"/>
  <c r="I109" i="4"/>
  <c r="J29" i="4"/>
  <c r="I29" i="4"/>
  <c r="J128" i="4"/>
  <c r="I128" i="4"/>
  <c r="J121" i="4"/>
  <c r="I121" i="4"/>
  <c r="J41" i="4"/>
  <c r="I41" i="4"/>
  <c r="J139" i="4"/>
  <c r="I139" i="4"/>
  <c r="J99" i="4"/>
  <c r="I99" i="4"/>
  <c r="J158" i="4"/>
  <c r="I158" i="4"/>
  <c r="J118" i="4"/>
  <c r="I118" i="4"/>
  <c r="J98" i="4"/>
  <c r="I98" i="4"/>
  <c r="J58" i="4"/>
  <c r="I58" i="4"/>
  <c r="J38" i="4"/>
  <c r="I38" i="4"/>
  <c r="J18" i="4"/>
  <c r="I18" i="4"/>
  <c r="J137" i="4"/>
  <c r="I137" i="4"/>
  <c r="J117" i="4"/>
  <c r="I117" i="4"/>
  <c r="J97" i="4"/>
  <c r="I97" i="4"/>
  <c r="J77" i="4"/>
  <c r="I77" i="4"/>
  <c r="J57" i="4"/>
  <c r="I57" i="4"/>
  <c r="J37" i="4"/>
  <c r="I37" i="4"/>
  <c r="J17" i="4"/>
  <c r="I17" i="4"/>
  <c r="J10" i="4"/>
  <c r="I10" i="4"/>
  <c r="J48" i="4"/>
  <c r="I48" i="4"/>
  <c r="J162" i="4"/>
  <c r="I162" i="4"/>
  <c r="J61" i="4"/>
  <c r="I61" i="4"/>
  <c r="J138" i="4"/>
  <c r="I138" i="4"/>
  <c r="J78" i="4"/>
  <c r="I78" i="4"/>
  <c r="J136" i="4"/>
  <c r="I136" i="4"/>
  <c r="J116" i="4"/>
  <c r="I116" i="4"/>
  <c r="J96" i="4"/>
  <c r="I96" i="4"/>
  <c r="J76" i="4"/>
  <c r="I76" i="4"/>
  <c r="J56" i="4"/>
  <c r="I56" i="4"/>
  <c r="J36" i="4"/>
  <c r="I36" i="4"/>
  <c r="J16" i="4"/>
  <c r="I16" i="4"/>
  <c r="J115" i="4"/>
  <c r="I115" i="4"/>
  <c r="J75" i="4"/>
  <c r="I75" i="4"/>
  <c r="J35" i="4"/>
  <c r="I35" i="4"/>
  <c r="J15" i="4"/>
  <c r="I15" i="4"/>
  <c r="J134" i="4"/>
  <c r="I134" i="4"/>
  <c r="J94" i="4"/>
  <c r="I94" i="4"/>
  <c r="J54" i="4"/>
  <c r="I54" i="4"/>
  <c r="J34" i="4"/>
  <c r="I34" i="4"/>
  <c r="J14" i="4"/>
  <c r="I14" i="4"/>
  <c r="J133" i="4"/>
  <c r="I133" i="4"/>
  <c r="J113" i="4"/>
  <c r="I113" i="4"/>
  <c r="J93" i="4"/>
  <c r="I93" i="4"/>
  <c r="J73" i="4"/>
  <c r="I73" i="4"/>
  <c r="J53" i="4"/>
  <c r="I53" i="4"/>
  <c r="J33" i="4"/>
  <c r="I33" i="4"/>
  <c r="J13" i="4"/>
  <c r="I13" i="4"/>
  <c r="J135" i="4"/>
  <c r="I135" i="4"/>
  <c r="J95" i="4"/>
  <c r="I95" i="4"/>
  <c r="J55" i="4"/>
  <c r="I55" i="4"/>
  <c r="J114" i="4"/>
  <c r="I114" i="4"/>
  <c r="J74" i="4"/>
  <c r="I74" i="4"/>
  <c r="J132" i="4"/>
  <c r="I132" i="4"/>
  <c r="J112" i="4"/>
  <c r="I112" i="4"/>
  <c r="J92" i="4"/>
  <c r="I92" i="4"/>
  <c r="J72" i="4"/>
  <c r="I72" i="4"/>
  <c r="J52" i="4"/>
  <c r="I52" i="4"/>
  <c r="J32" i="4"/>
  <c r="I32" i="4"/>
  <c r="J12" i="4"/>
  <c r="I12" i="4"/>
  <c r="J131" i="4"/>
  <c r="I131" i="4"/>
  <c r="J111" i="4"/>
  <c r="I111" i="4"/>
  <c r="J91" i="4"/>
  <c r="I91" i="4"/>
  <c r="J71" i="4"/>
  <c r="I71" i="4"/>
  <c r="J51" i="4"/>
  <c r="I51" i="4"/>
  <c r="J31" i="4"/>
  <c r="I31" i="4"/>
  <c r="J11" i="4"/>
  <c r="I11" i="4"/>
  <c r="J110" i="4"/>
  <c r="I110" i="4"/>
  <c r="J69" i="4"/>
  <c r="I69" i="4"/>
  <c r="J88" i="4"/>
  <c r="I88" i="4"/>
  <c r="J147" i="4"/>
  <c r="I147" i="4"/>
  <c r="J127" i="4"/>
  <c r="I127" i="4"/>
  <c r="J107" i="4"/>
  <c r="I107" i="4"/>
  <c r="J87" i="4"/>
  <c r="I87" i="4"/>
  <c r="J67" i="4"/>
  <c r="I67" i="4"/>
  <c r="J47" i="4"/>
  <c r="I47" i="4"/>
  <c r="J27" i="4"/>
  <c r="I27" i="4"/>
  <c r="J7" i="4"/>
  <c r="I7" i="4"/>
  <c r="J146" i="4"/>
  <c r="I146" i="4"/>
  <c r="J126" i="4"/>
  <c r="I126" i="4"/>
  <c r="J106" i="4"/>
  <c r="I106" i="4"/>
  <c r="J86" i="4"/>
  <c r="I86" i="4"/>
  <c r="J66" i="4"/>
  <c r="I66" i="4"/>
  <c r="J46" i="4"/>
  <c r="I46" i="4"/>
  <c r="J26" i="4"/>
  <c r="I26" i="4"/>
  <c r="J6" i="4"/>
  <c r="I6" i="4"/>
  <c r="J89" i="4"/>
  <c r="I89" i="4"/>
  <c r="J28" i="4"/>
  <c r="I28" i="4"/>
  <c r="J145" i="4"/>
  <c r="I145" i="4"/>
  <c r="J125" i="4"/>
  <c r="I125" i="4"/>
  <c r="J105" i="4"/>
  <c r="I105" i="4"/>
  <c r="J85" i="4"/>
  <c r="I85" i="4"/>
  <c r="J65" i="4"/>
  <c r="I65" i="4"/>
  <c r="J45" i="4"/>
  <c r="I45" i="4"/>
  <c r="J25" i="4"/>
  <c r="I25" i="4"/>
  <c r="J50" i="4"/>
  <c r="I50" i="4"/>
  <c r="L11" i="7" a="1"/>
  <c r="J124" i="4"/>
  <c r="I124" i="4"/>
  <c r="J104" i="4"/>
  <c r="I104" i="4"/>
  <c r="J64" i="4"/>
  <c r="I64" i="4"/>
  <c r="J44" i="4"/>
  <c r="I44" i="4"/>
  <c r="J24" i="4"/>
  <c r="I24" i="4"/>
  <c r="J143" i="4"/>
  <c r="I143" i="4"/>
  <c r="J123" i="4"/>
  <c r="I123" i="4"/>
  <c r="J103" i="4"/>
  <c r="I103" i="4"/>
  <c r="J83" i="4"/>
  <c r="I83" i="4"/>
  <c r="J63" i="4"/>
  <c r="I63" i="4"/>
  <c r="J43" i="4"/>
  <c r="I43" i="4"/>
  <c r="J23" i="4"/>
  <c r="I23" i="4"/>
  <c r="B2" i="4"/>
  <c r="B3" i="4"/>
  <c r="Q23" i="4" l="1"/>
  <c r="R23" i="4" s="1"/>
  <c r="Q127" i="4"/>
  <c r="Q138" i="4"/>
  <c r="I2" i="8" s="1"/>
  <c r="Q121" i="4"/>
  <c r="Q19" i="4"/>
  <c r="Q101" i="4"/>
  <c r="Q21" i="4"/>
  <c r="Q24" i="4"/>
  <c r="Q125" i="4"/>
  <c r="Q63" i="4"/>
  <c r="Q44" i="4"/>
  <c r="Q132" i="4"/>
  <c r="Q71" i="4"/>
  <c r="I36" i="8" s="1"/>
  <c r="Q133" i="4"/>
  <c r="I104" i="8" s="1"/>
  <c r="Q59" i="4"/>
  <c r="I24" i="8" s="1"/>
  <c r="Q100" i="4"/>
  <c r="I84" i="8" s="1"/>
  <c r="Q50" i="4"/>
  <c r="Q112" i="4"/>
  <c r="I102" i="8" s="1"/>
  <c r="Q115" i="4"/>
  <c r="Q39" i="4"/>
  <c r="Q134" i="4"/>
  <c r="Q116" i="4"/>
  <c r="Q64" i="4"/>
  <c r="Q137" i="4"/>
  <c r="Q45" i="4"/>
  <c r="I16" i="8" s="1"/>
  <c r="Q65" i="4"/>
  <c r="I46" i="8" s="1"/>
  <c r="Q67" i="4"/>
  <c r="Q69" i="4"/>
  <c r="Q48" i="4"/>
  <c r="Q57" i="4"/>
  <c r="Q109" i="4"/>
  <c r="Q120" i="4"/>
  <c r="Q102" i="4"/>
  <c r="Q7" i="4"/>
  <c r="Q95" i="4"/>
  <c r="Q88" i="4"/>
  <c r="Q89" i="4"/>
  <c r="I32" i="8" s="1"/>
  <c r="Q103" i="4"/>
  <c r="I70" i="8" s="1"/>
  <c r="Q93" i="4"/>
  <c r="Q111" i="4"/>
  <c r="Q72" i="4"/>
  <c r="Q114" i="4"/>
  <c r="R114" i="4" s="1"/>
  <c r="Q119" i="4"/>
  <c r="Q124" i="4"/>
  <c r="Q107" i="4"/>
  <c r="Q131" i="4"/>
  <c r="Q92" i="4"/>
  <c r="Q35" i="4"/>
  <c r="Q56" i="4"/>
  <c r="I17" i="8" s="1"/>
  <c r="Q10" i="4"/>
  <c r="I56" i="8" s="1"/>
  <c r="Q97" i="4"/>
  <c r="Q130" i="4"/>
  <c r="Q22" i="4"/>
  <c r="Q70" i="4"/>
  <c r="R70" i="4" s="1"/>
  <c r="Q82" i="4"/>
  <c r="Q143" i="4"/>
  <c r="Q15" i="4"/>
  <c r="Q74" i="4"/>
  <c r="Q126" i="4"/>
  <c r="Q75" i="4"/>
  <c r="Q85" i="4"/>
  <c r="Q90" i="4"/>
  <c r="Q81" i="4"/>
  <c r="Q142" i="4"/>
  <c r="Q86" i="4"/>
  <c r="Q140" i="4"/>
  <c r="Q160" i="4"/>
  <c r="Q37" i="4"/>
  <c r="Q145" i="4"/>
  <c r="Q104" i="4"/>
  <c r="Q29" i="4"/>
  <c r="Q106" i="4"/>
  <c r="Q17" i="4"/>
  <c r="Q9" i="4"/>
  <c r="Q78" i="4"/>
  <c r="Q14" i="4"/>
  <c r="Q77" i="4"/>
  <c r="Q158" i="4"/>
  <c r="Q20" i="4"/>
  <c r="Q141" i="4"/>
  <c r="Q84" i="4"/>
  <c r="Q136" i="4"/>
  <c r="Q27" i="4"/>
  <c r="Q11" i="4"/>
  <c r="Q52" i="4"/>
  <c r="Q135" i="4"/>
  <c r="Q34" i="4"/>
  <c r="Q16" i="4"/>
  <c r="Q61" i="4"/>
  <c r="Q99" i="4"/>
  <c r="Q40" i="4"/>
  <c r="Q108" i="4"/>
  <c r="Q144" i="4"/>
  <c r="Q98" i="4"/>
  <c r="Q147" i="4"/>
  <c r="Q113" i="4"/>
  <c r="Q55" i="4"/>
  <c r="Q28" i="4"/>
  <c r="Q47" i="4"/>
  <c r="Q36" i="4"/>
  <c r="Q117" i="4"/>
  <c r="Q139" i="4"/>
  <c r="Q60" i="4"/>
  <c r="Q8" i="4"/>
  <c r="Q79" i="4"/>
  <c r="Q38" i="4"/>
  <c r="Q58" i="4"/>
  <c r="Q110" i="4"/>
  <c r="Q43" i="4"/>
  <c r="Q6" i="4"/>
  <c r="Q54" i="4"/>
  <c r="Q25" i="4"/>
  <c r="Q51" i="4"/>
  <c r="Q94" i="4"/>
  <c r="Q41" i="4"/>
  <c r="Q68" i="4"/>
  <c r="Q30" i="4"/>
  <c r="Q12" i="4"/>
  <c r="Q32" i="4"/>
  <c r="Q26" i="4"/>
  <c r="Q80" i="4"/>
  <c r="Q87" i="4"/>
  <c r="Q76" i="4"/>
  <c r="Q42" i="4"/>
  <c r="Q129" i="4"/>
  <c r="Q122" i="4"/>
  <c r="Q118" i="4"/>
  <c r="Q31" i="4"/>
  <c r="Q162" i="4"/>
  <c r="Q33" i="4"/>
  <c r="Q105" i="4"/>
  <c r="Q146" i="4"/>
  <c r="Q13" i="4"/>
  <c r="Q83" i="4"/>
  <c r="Q49" i="4"/>
  <c r="Q46" i="4"/>
  <c r="Q53" i="4"/>
  <c r="Q123" i="4"/>
  <c r="Q66" i="4"/>
  <c r="Q91" i="4"/>
  <c r="Q73" i="4"/>
  <c r="Q96" i="4"/>
  <c r="Q18" i="4"/>
  <c r="Q128" i="4"/>
  <c r="Q159" i="4"/>
  <c r="Q62" i="4"/>
  <c r="I23" i="8"/>
  <c r="I57" i="8"/>
  <c r="I53" i="8"/>
  <c r="I2" i="4"/>
  <c r="K101" i="4"/>
  <c r="K113" i="4"/>
  <c r="K143" i="4"/>
  <c r="K27" i="4"/>
  <c r="K135" i="4"/>
  <c r="K116" i="4"/>
  <c r="K144" i="4"/>
  <c r="K63" i="4"/>
  <c r="K50" i="4"/>
  <c r="K105" i="4"/>
  <c r="K6" i="4"/>
  <c r="K106" i="4"/>
  <c r="K47" i="4"/>
  <c r="K147" i="4"/>
  <c r="K31" i="4"/>
  <c r="K131" i="4"/>
  <c r="K72" i="4"/>
  <c r="K74" i="4"/>
  <c r="K13" i="4"/>
  <c r="K54" i="4"/>
  <c r="K35" i="4"/>
  <c r="K36" i="4"/>
  <c r="K136" i="4"/>
  <c r="K162" i="4"/>
  <c r="K17" i="4"/>
  <c r="K117" i="4"/>
  <c r="K58" i="4"/>
  <c r="K139" i="4"/>
  <c r="K109" i="4"/>
  <c r="K59" i="4"/>
  <c r="K68" i="4"/>
  <c r="K60" i="4"/>
  <c r="K160" i="4"/>
  <c r="K102" i="4"/>
  <c r="K8" i="4"/>
  <c r="K83" i="4"/>
  <c r="K44" i="4"/>
  <c r="K97" i="4"/>
  <c r="K82" i="4"/>
  <c r="K26" i="4"/>
  <c r="K88" i="4"/>
  <c r="K33" i="4"/>
  <c r="K56" i="4"/>
  <c r="K48" i="4"/>
  <c r="K137" i="4"/>
  <c r="K41" i="4"/>
  <c r="K30" i="4"/>
  <c r="K79" i="4"/>
  <c r="K9" i="4"/>
  <c r="K80" i="4"/>
  <c r="K21" i="4"/>
  <c r="K22" i="4"/>
  <c r="K49" i="4"/>
  <c r="I3" i="4"/>
  <c r="K86" i="4"/>
  <c r="K15" i="4"/>
  <c r="K39" i="4"/>
  <c r="K98" i="4"/>
  <c r="K122" i="4"/>
  <c r="K64" i="4"/>
  <c r="K124" i="4"/>
  <c r="K89" i="4"/>
  <c r="K52" i="4"/>
  <c r="K99" i="4"/>
  <c r="K140" i="4"/>
  <c r="K114" i="4"/>
  <c r="K103" i="4"/>
  <c r="K45" i="4"/>
  <c r="K145" i="4"/>
  <c r="K46" i="4"/>
  <c r="K146" i="4"/>
  <c r="K87" i="4"/>
  <c r="K69" i="4"/>
  <c r="K71" i="4"/>
  <c r="K12" i="4"/>
  <c r="K112" i="4"/>
  <c r="K55" i="4"/>
  <c r="K53" i="4"/>
  <c r="K134" i="4"/>
  <c r="K115" i="4"/>
  <c r="K76" i="4"/>
  <c r="K78" i="4"/>
  <c r="K51" i="4"/>
  <c r="K94" i="4"/>
  <c r="K57" i="4"/>
  <c r="K118" i="4"/>
  <c r="K121" i="4"/>
  <c r="K130" i="4"/>
  <c r="K119" i="4"/>
  <c r="K90" i="4"/>
  <c r="K100" i="4"/>
  <c r="K81" i="4"/>
  <c r="K42" i="4"/>
  <c r="K142" i="4"/>
  <c r="K129" i="4"/>
  <c r="K85" i="4"/>
  <c r="K34" i="4"/>
  <c r="K108" i="4"/>
  <c r="A48" i="7"/>
  <c r="B11" i="7"/>
  <c r="A26" i="7"/>
  <c r="A39" i="7"/>
  <c r="A20" i="7"/>
  <c r="A16" i="7"/>
  <c r="B19" i="7"/>
  <c r="B41" i="7"/>
  <c r="B20" i="7"/>
  <c r="B46" i="7"/>
  <c r="B38" i="7"/>
  <c r="B31" i="7"/>
  <c r="A22" i="7"/>
  <c r="A19" i="7"/>
  <c r="B21" i="7"/>
  <c r="A33" i="7"/>
  <c r="A41" i="7"/>
  <c r="B27" i="7"/>
  <c r="B18" i="7"/>
  <c r="B15" i="7"/>
  <c r="A21" i="7"/>
  <c r="B22" i="7"/>
  <c r="A32" i="7"/>
  <c r="B25" i="7"/>
  <c r="A31" i="7"/>
  <c r="B35" i="7"/>
  <c r="A46" i="7"/>
  <c r="A28" i="7"/>
  <c r="B39" i="7"/>
  <c r="A25" i="7"/>
  <c r="A18" i="7"/>
  <c r="B44" i="7"/>
  <c r="A40" i="7"/>
  <c r="A15" i="7"/>
  <c r="A13" i="7"/>
  <c r="B34" i="7"/>
  <c r="A42" i="7"/>
  <c r="A35" i="7"/>
  <c r="B30" i="7"/>
  <c r="B24" i="7"/>
  <c r="B42" i="7"/>
  <c r="A24" i="7"/>
  <c r="A30" i="7"/>
  <c r="A47" i="7"/>
  <c r="A43" i="7"/>
  <c r="B14" i="7"/>
  <c r="B12" i="7"/>
  <c r="A37" i="7"/>
  <c r="B43" i="7"/>
  <c r="B45" i="7"/>
  <c r="B29" i="7"/>
  <c r="A27" i="7"/>
  <c r="B47" i="7"/>
  <c r="A34" i="7"/>
  <c r="A12" i="7"/>
  <c r="A17" i="7"/>
  <c r="A38" i="7"/>
  <c r="B23" i="7"/>
  <c r="B48" i="7"/>
  <c r="B28" i="7"/>
  <c r="A23" i="7"/>
  <c r="B13" i="7"/>
  <c r="A29" i="7"/>
  <c r="B32" i="7"/>
  <c r="B36" i="7"/>
  <c r="B40" i="7"/>
  <c r="L11" i="7"/>
  <c r="A11" i="7" s="1"/>
  <c r="A45" i="7"/>
  <c r="B17" i="7"/>
  <c r="B37" i="7"/>
  <c r="B26" i="7"/>
  <c r="B16" i="7"/>
  <c r="A36" i="7"/>
  <c r="A14" i="7"/>
  <c r="A44" i="7"/>
  <c r="B33" i="7"/>
  <c r="K127" i="4"/>
  <c r="K11" i="4"/>
  <c r="K111" i="4"/>
  <c r="K93" i="4"/>
  <c r="K16" i="4"/>
  <c r="K61" i="4"/>
  <c r="K38" i="4"/>
  <c r="K29" i="4"/>
  <c r="K40" i="4"/>
  <c r="K24" i="4"/>
  <c r="K125" i="4"/>
  <c r="K67" i="4"/>
  <c r="K133" i="4"/>
  <c r="K37" i="4"/>
  <c r="K23" i="4"/>
  <c r="K123" i="4"/>
  <c r="K104" i="4"/>
  <c r="K43" i="4"/>
  <c r="K25" i="4"/>
  <c r="K126" i="4"/>
  <c r="K92" i="4"/>
  <c r="K75" i="4"/>
  <c r="K65" i="4"/>
  <c r="K28" i="4"/>
  <c r="K66" i="4"/>
  <c r="K7" i="4"/>
  <c r="K107" i="4"/>
  <c r="K110" i="4"/>
  <c r="K91" i="4"/>
  <c r="K32" i="4"/>
  <c r="K132" i="4"/>
  <c r="K95" i="4"/>
  <c r="K73" i="4"/>
  <c r="K14" i="4"/>
  <c r="K96" i="4"/>
  <c r="K138" i="4"/>
  <c r="B26" i="6"/>
  <c r="B41" i="6"/>
  <c r="A81" i="6"/>
  <c r="B49" i="6"/>
  <c r="A99" i="6"/>
  <c r="A12" i="6"/>
  <c r="A13" i="6"/>
  <c r="A14" i="6"/>
  <c r="A15" i="6"/>
  <c r="A26" i="6"/>
  <c r="A17" i="6"/>
  <c r="B89" i="6"/>
  <c r="A61" i="6"/>
  <c r="A49" i="6"/>
  <c r="A58" i="6"/>
  <c r="A22" i="6"/>
  <c r="A23" i="6"/>
  <c r="A24" i="6"/>
  <c r="A25" i="6"/>
  <c r="A36" i="6"/>
  <c r="B101" i="6"/>
  <c r="G101" i="6" s="1"/>
  <c r="B67" i="6"/>
  <c r="A40" i="6"/>
  <c r="A91" i="6"/>
  <c r="B98" i="6"/>
  <c r="G98" i="6" s="1"/>
  <c r="A32" i="6"/>
  <c r="A33" i="6"/>
  <c r="A34" i="6"/>
  <c r="A35" i="6"/>
  <c r="A46" i="6"/>
  <c r="B86" i="6"/>
  <c r="A47" i="6"/>
  <c r="A19" i="6"/>
  <c r="B27" i="6"/>
  <c r="B57" i="6"/>
  <c r="A42" i="6"/>
  <c r="A43" i="6"/>
  <c r="A44" i="6"/>
  <c r="A45" i="6"/>
  <c r="A56" i="6"/>
  <c r="B68" i="6"/>
  <c r="B21" i="6"/>
  <c r="B18" i="6"/>
  <c r="B90" i="6"/>
  <c r="A30" i="6"/>
  <c r="A52" i="6"/>
  <c r="A53" i="6"/>
  <c r="A54" i="6"/>
  <c r="A55" i="6"/>
  <c r="A88" i="6"/>
  <c r="A50" i="6"/>
  <c r="A89" i="6"/>
  <c r="A77" i="6"/>
  <c r="A48" i="6"/>
  <c r="A75" i="6"/>
  <c r="B38" i="6"/>
  <c r="B70" i="6"/>
  <c r="A63" i="6"/>
  <c r="A65" i="6"/>
  <c r="A31" i="6"/>
  <c r="A67" i="6"/>
  <c r="A80" i="6"/>
  <c r="A64" i="6"/>
  <c r="A70" i="6"/>
  <c r="A74" i="6"/>
  <c r="A62" i="6"/>
  <c r="A60" i="6"/>
  <c r="B29" i="6"/>
  <c r="A73" i="6"/>
  <c r="B16" i="6"/>
  <c r="A27" i="6"/>
  <c r="A83" i="6"/>
  <c r="A72" i="6"/>
  <c r="B76" i="6"/>
  <c r="B46" i="6"/>
  <c r="A21" i="6"/>
  <c r="A100" i="6"/>
  <c r="B80" i="6"/>
  <c r="A29" i="6"/>
  <c r="A93" i="6"/>
  <c r="A94" i="6"/>
  <c r="A95" i="6"/>
  <c r="A96" i="6"/>
  <c r="A18" i="6"/>
  <c r="B88" i="6"/>
  <c r="A59" i="6"/>
  <c r="B60" i="6"/>
  <c r="A97" i="6"/>
  <c r="A103" i="6"/>
  <c r="A104" i="6"/>
  <c r="A105" i="6"/>
  <c r="B102" i="6"/>
  <c r="G102" i="6" s="1"/>
  <c r="B66" i="6"/>
  <c r="B99" i="6"/>
  <c r="G99" i="6" s="1"/>
  <c r="B39" i="6"/>
  <c r="B28" i="6"/>
  <c r="B12" i="6"/>
  <c r="B13" i="6"/>
  <c r="B14" i="6"/>
  <c r="B15" i="6"/>
  <c r="B87" i="6"/>
  <c r="B20" i="6"/>
  <c r="B37" i="6"/>
  <c r="A101" i="6"/>
  <c r="B91" i="6"/>
  <c r="B22" i="6"/>
  <c r="B23" i="6"/>
  <c r="B24" i="6"/>
  <c r="B25" i="6"/>
  <c r="B69" i="6"/>
  <c r="A86" i="6"/>
  <c r="A78" i="6"/>
  <c r="A39" i="6"/>
  <c r="B71" i="6"/>
  <c r="B32" i="6"/>
  <c r="B33" i="6"/>
  <c r="B34" i="6"/>
  <c r="B35" i="6"/>
  <c r="A51" i="6"/>
  <c r="A66" i="6"/>
  <c r="B30" i="6"/>
  <c r="B100" i="6"/>
  <c r="G100" i="6" s="1"/>
  <c r="A28" i="6"/>
  <c r="B42" i="6"/>
  <c r="B43" i="6"/>
  <c r="B44" i="6"/>
  <c r="B45" i="6"/>
  <c r="B36" i="6"/>
  <c r="A41" i="6"/>
  <c r="B77" i="6"/>
  <c r="B79" i="6"/>
  <c r="B56" i="6"/>
  <c r="B53" i="6"/>
  <c r="B51" i="6"/>
  <c r="A76" i="6"/>
  <c r="B63" i="6"/>
  <c r="A37" i="6"/>
  <c r="B59" i="6"/>
  <c r="B73" i="6"/>
  <c r="B17" i="6"/>
  <c r="A79" i="6"/>
  <c r="B83" i="6"/>
  <c r="A102" i="6"/>
  <c r="A38" i="6"/>
  <c r="B94" i="6"/>
  <c r="A87" i="6"/>
  <c r="B78" i="6"/>
  <c r="B104" i="6"/>
  <c r="G104" i="6" s="1"/>
  <c r="A69" i="6"/>
  <c r="B58" i="6"/>
  <c r="A84" i="6"/>
  <c r="B50" i="6"/>
  <c r="A71" i="6"/>
  <c r="B54" i="6"/>
  <c r="B31" i="6"/>
  <c r="B48" i="6"/>
  <c r="B64" i="6"/>
  <c r="A90" i="6"/>
  <c r="B74" i="6"/>
  <c r="A68" i="6"/>
  <c r="B84" i="6"/>
  <c r="B47" i="6"/>
  <c r="B95" i="6"/>
  <c r="G95" i="6" s="1"/>
  <c r="A20" i="6"/>
  <c r="A11" i="6"/>
  <c r="B105" i="6"/>
  <c r="G105" i="6" s="1"/>
  <c r="B81" i="6"/>
  <c r="A82" i="6"/>
  <c r="A85" i="6"/>
  <c r="B61" i="6"/>
  <c r="B52" i="6"/>
  <c r="B55" i="6"/>
  <c r="B40" i="6"/>
  <c r="B62" i="6"/>
  <c r="B65" i="6"/>
  <c r="B19" i="6"/>
  <c r="B72" i="6"/>
  <c r="B75" i="6"/>
  <c r="A98" i="6"/>
  <c r="B82" i="6"/>
  <c r="B85" i="6"/>
  <c r="B93" i="6"/>
  <c r="B96" i="6"/>
  <c r="G96" i="6" s="1"/>
  <c r="B97" i="6"/>
  <c r="G97" i="6" s="1"/>
  <c r="B103" i="6"/>
  <c r="G103" i="6" s="1"/>
  <c r="A16" i="6"/>
  <c r="A57" i="6"/>
  <c r="K10" i="4"/>
  <c r="K77" i="4"/>
  <c r="K18" i="4"/>
  <c r="K158" i="4"/>
  <c r="K128" i="4"/>
  <c r="K19" i="4"/>
  <c r="K159" i="4"/>
  <c r="K20" i="4"/>
  <c r="K120" i="4"/>
  <c r="K141" i="4"/>
  <c r="K62" i="4"/>
  <c r="K84" i="4"/>
  <c r="K70" i="4"/>
  <c r="I9" i="8" l="1"/>
  <c r="I30" i="8"/>
  <c r="R56" i="4"/>
  <c r="I3" i="8"/>
  <c r="I43" i="8"/>
  <c r="I14" i="8"/>
  <c r="I40" i="8"/>
  <c r="I27" i="8"/>
  <c r="R45" i="4"/>
  <c r="I54" i="8"/>
  <c r="I25" i="8"/>
  <c r="R89" i="4"/>
  <c r="I12" i="8"/>
  <c r="R71" i="4"/>
  <c r="I50" i="8"/>
  <c r="I60" i="8"/>
  <c r="I6" i="8"/>
  <c r="I62" i="8"/>
  <c r="I18" i="8"/>
  <c r="I51" i="8"/>
  <c r="I35" i="8"/>
  <c r="R112" i="4"/>
  <c r="X62" i="4"/>
  <c r="AE62" i="4" s="1"/>
  <c r="X49" i="4"/>
  <c r="AE49" i="4" s="1"/>
  <c r="X129" i="4"/>
  <c r="AE129" i="4" s="1"/>
  <c r="I25" i="17"/>
  <c r="X144" i="4"/>
  <c r="AE144" i="4" s="1"/>
  <c r="I64" i="17"/>
  <c r="X104" i="4"/>
  <c r="AE104" i="4" s="1"/>
  <c r="I146" i="17"/>
  <c r="R7" i="4"/>
  <c r="X159" i="4"/>
  <c r="AE159" i="4" s="1"/>
  <c r="X83" i="4"/>
  <c r="AE83" i="4" s="1"/>
  <c r="X42" i="4"/>
  <c r="AE42" i="4" s="1"/>
  <c r="I21" i="17"/>
  <c r="X60" i="4"/>
  <c r="AE60" i="4" s="1"/>
  <c r="X141" i="4"/>
  <c r="AE141" i="4" s="1"/>
  <c r="X145" i="4"/>
  <c r="AE145" i="4" s="1"/>
  <c r="I157" i="17"/>
  <c r="I15" i="8"/>
  <c r="I45" i="8"/>
  <c r="X139" i="4"/>
  <c r="AE139" i="4" s="1"/>
  <c r="I144" i="17"/>
  <c r="X25" i="4"/>
  <c r="AE25" i="4" s="1"/>
  <c r="X117" i="4"/>
  <c r="AE117" i="4" s="1"/>
  <c r="X99" i="4"/>
  <c r="AE99" i="4" s="1"/>
  <c r="X158" i="4"/>
  <c r="AE158" i="4" s="1"/>
  <c r="X160" i="4"/>
  <c r="AE160" i="4" s="1"/>
  <c r="I38" i="17"/>
  <c r="I99" i="8"/>
  <c r="R134" i="4"/>
  <c r="X37" i="4"/>
  <c r="AE37" i="4" s="1"/>
  <c r="I100" i="17"/>
  <c r="I13" i="17"/>
  <c r="I27" i="17"/>
  <c r="X36" i="4"/>
  <c r="AE36" i="4" s="1"/>
  <c r="I92" i="17"/>
  <c r="X140" i="4"/>
  <c r="AE140" i="4" s="1"/>
  <c r="X143" i="4"/>
  <c r="AE143" i="4" s="1"/>
  <c r="R124" i="4"/>
  <c r="R120" i="4"/>
  <c r="I8" i="8"/>
  <c r="I29" i="8"/>
  <c r="I85" i="17"/>
  <c r="I22" i="17"/>
  <c r="X47" i="4"/>
  <c r="AE47" i="4" s="1"/>
  <c r="X16" i="4"/>
  <c r="AE16" i="4" s="1"/>
  <c r="I72" i="17"/>
  <c r="X82" i="4"/>
  <c r="AE82" i="4" s="1"/>
  <c r="R119" i="4"/>
  <c r="I64" i="8"/>
  <c r="R115" i="4"/>
  <c r="I58" i="8"/>
  <c r="X40" i="4"/>
  <c r="AE40" i="4" s="1"/>
  <c r="R131" i="4"/>
  <c r="I62" i="17"/>
  <c r="X73" i="4"/>
  <c r="AE73" i="4" s="1"/>
  <c r="X105" i="4"/>
  <c r="AE105" i="4" s="1"/>
  <c r="X80" i="4"/>
  <c r="AE80" i="4" s="1"/>
  <c r="I83" i="17"/>
  <c r="X14" i="4"/>
  <c r="AE14" i="4" s="1"/>
  <c r="X142" i="4"/>
  <c r="AE142" i="4" s="1"/>
  <c r="I75" i="8"/>
  <c r="I7" i="17"/>
  <c r="I159" i="17"/>
  <c r="R101" i="4"/>
  <c r="X128" i="4"/>
  <c r="AE128" i="4" s="1"/>
  <c r="X146" i="4"/>
  <c r="AE146" i="4" s="1"/>
  <c r="X91" i="4"/>
  <c r="AE91" i="4" s="1"/>
  <c r="X33" i="4"/>
  <c r="AE33" i="4" s="1"/>
  <c r="X26" i="4"/>
  <c r="AE26" i="4" s="1"/>
  <c r="X55" i="4"/>
  <c r="AE55" i="4" s="1"/>
  <c r="X135" i="4"/>
  <c r="AE135" i="4" s="1"/>
  <c r="X78" i="4"/>
  <c r="AE78" i="4" s="1"/>
  <c r="X81" i="4"/>
  <c r="AE81" i="4" s="1"/>
  <c r="R22" i="4"/>
  <c r="I37" i="8"/>
  <c r="I5" i="8"/>
  <c r="I55" i="8"/>
  <c r="I52" i="8"/>
  <c r="X66" i="4"/>
  <c r="AE66" i="4" s="1"/>
  <c r="X162" i="4"/>
  <c r="AE162" i="4" s="1"/>
  <c r="X32" i="4"/>
  <c r="AE32" i="4" s="1"/>
  <c r="I60" i="17"/>
  <c r="X113" i="4"/>
  <c r="AE113" i="4" s="1"/>
  <c r="I20" i="17"/>
  <c r="X90" i="4"/>
  <c r="AE90" i="4" s="1"/>
  <c r="R130" i="4"/>
  <c r="I100" i="8"/>
  <c r="I34" i="8"/>
  <c r="R100" i="4"/>
  <c r="I71" i="8"/>
  <c r="X51" i="4"/>
  <c r="AE51" i="4" s="1"/>
  <c r="I10" i="17"/>
  <c r="I99" i="17"/>
  <c r="X147" i="4"/>
  <c r="AE147" i="4" s="1"/>
  <c r="I74" i="17"/>
  <c r="I38" i="8"/>
  <c r="I104" i="17"/>
  <c r="I26" i="8"/>
  <c r="R59" i="4"/>
  <c r="R138" i="4"/>
  <c r="I28" i="17"/>
  <c r="X118" i="4"/>
  <c r="AE118" i="4" s="1"/>
  <c r="X30" i="4"/>
  <c r="AE30" i="4" s="1"/>
  <c r="X79" i="4"/>
  <c r="I49" i="17"/>
  <c r="X106" i="4"/>
  <c r="AE106" i="4" s="1"/>
  <c r="I19" i="8"/>
  <c r="I90" i="8"/>
  <c r="R65" i="4"/>
  <c r="I156" i="17"/>
  <c r="I174" i="17"/>
  <c r="X20" i="4"/>
  <c r="I115" i="17"/>
  <c r="X122" i="4"/>
  <c r="X68" i="4"/>
  <c r="AE68" i="4" s="1"/>
  <c r="X136" i="4"/>
  <c r="I4" i="17"/>
  <c r="R50" i="4"/>
  <c r="I42" i="8"/>
  <c r="I78" i="8"/>
  <c r="I68" i="8"/>
  <c r="R97" i="4"/>
  <c r="R93" i="4"/>
  <c r="R69" i="4"/>
  <c r="I21" i="8"/>
  <c r="I80" i="8"/>
  <c r="I85" i="8"/>
  <c r="I101" i="8"/>
  <c r="I89" i="8"/>
  <c r="R103" i="4"/>
  <c r="I97" i="8"/>
  <c r="I82" i="8"/>
  <c r="R109" i="4"/>
  <c r="R10" i="4"/>
  <c r="I108" i="8"/>
  <c r="R19" i="4"/>
  <c r="I107" i="8"/>
  <c r="I86" i="8"/>
  <c r="I76" i="8"/>
  <c r="I65" i="8"/>
  <c r="I20" i="8"/>
  <c r="R133" i="4"/>
  <c r="R127" i="4"/>
  <c r="R21" i="4"/>
  <c r="I28" i="8"/>
  <c r="I4" i="8"/>
  <c r="I59" i="8"/>
  <c r="I7" i="8"/>
  <c r="I41" i="8"/>
  <c r="I79" i="8"/>
  <c r="R48" i="4"/>
  <c r="R72" i="4"/>
  <c r="I47" i="8"/>
  <c r="I48" i="8"/>
  <c r="R67" i="4"/>
  <c r="R116" i="4"/>
  <c r="I39" i="8"/>
  <c r="I63" i="8"/>
  <c r="I13" i="8"/>
  <c r="R64" i="4"/>
  <c r="I11" i="8"/>
  <c r="I94" i="8"/>
  <c r="I83" i="8"/>
  <c r="I77" i="8"/>
  <c r="I96" i="8"/>
  <c r="R121" i="4"/>
  <c r="I170" i="17"/>
  <c r="I152" i="17"/>
  <c r="I184" i="17"/>
  <c r="I166" i="17"/>
  <c r="I160" i="17"/>
  <c r="I141" i="17"/>
  <c r="I188" i="17"/>
  <c r="I183" i="17"/>
  <c r="I171" i="17"/>
  <c r="I149" i="17"/>
  <c r="I189" i="17"/>
  <c r="I145" i="17"/>
  <c r="I176" i="17"/>
  <c r="I164" i="17"/>
  <c r="I140" i="17"/>
  <c r="I193" i="17"/>
  <c r="I173" i="17"/>
  <c r="I192" i="17"/>
  <c r="I158" i="17"/>
  <c r="I185" i="17"/>
  <c r="R92" i="4"/>
  <c r="I10" i="8"/>
  <c r="I69" i="17"/>
  <c r="I14" i="17"/>
  <c r="R24" i="4"/>
  <c r="I74" i="8"/>
  <c r="I92" i="8"/>
  <c r="I88" i="8"/>
  <c r="R111" i="4"/>
  <c r="I97" i="17"/>
  <c r="I48" i="17"/>
  <c r="I87" i="17"/>
  <c r="I112" i="17"/>
  <c r="I52" i="17"/>
  <c r="I35" i="17"/>
  <c r="I167" i="17"/>
  <c r="I169" i="17"/>
  <c r="I172" i="17"/>
  <c r="I151" i="17"/>
  <c r="I68" i="17"/>
  <c r="I12" i="17"/>
  <c r="R132" i="4"/>
  <c r="I180" i="17"/>
  <c r="I165" i="17"/>
  <c r="I175" i="17"/>
  <c r="I161" i="17"/>
  <c r="I190" i="17"/>
  <c r="I142" i="17"/>
  <c r="I73" i="17"/>
  <c r="I110" i="17"/>
  <c r="I108" i="17"/>
  <c r="I33" i="17"/>
  <c r="I11" i="17"/>
  <c r="I67" i="17"/>
  <c r="I89" i="17"/>
  <c r="I55" i="17"/>
  <c r="I103" i="8"/>
  <c r="I81" i="17"/>
  <c r="I78" i="17"/>
  <c r="R102" i="4"/>
  <c r="I84" i="17"/>
  <c r="I109" i="17"/>
  <c r="I75" i="17"/>
  <c r="I119" i="17"/>
  <c r="I3" i="17"/>
  <c r="R107" i="4"/>
  <c r="I93" i="8"/>
  <c r="I148" i="17"/>
  <c r="I155" i="17"/>
  <c r="I118" i="17"/>
  <c r="I2" i="17"/>
  <c r="I51" i="17"/>
  <c r="I36" i="17"/>
  <c r="I132" i="17"/>
  <c r="I71" i="17"/>
  <c r="I117" i="17"/>
  <c r="I136" i="17"/>
  <c r="I131" i="17"/>
  <c r="I135" i="17"/>
  <c r="I134" i="17"/>
  <c r="I96" i="17"/>
  <c r="I116" i="17"/>
  <c r="I70" i="17"/>
  <c r="I114" i="17"/>
  <c r="I5" i="17"/>
  <c r="I17" i="17"/>
  <c r="I79" i="17"/>
  <c r="R63" i="4"/>
  <c r="I106" i="8"/>
  <c r="I98" i="8"/>
  <c r="I181" i="17"/>
  <c r="I191" i="17"/>
  <c r="I150" i="17"/>
  <c r="I77" i="17"/>
  <c r="I120" i="17"/>
  <c r="I122" i="17"/>
  <c r="I126" i="17"/>
  <c r="I127" i="17"/>
  <c r="I46" i="17"/>
  <c r="I18" i="17"/>
  <c r="I54" i="17"/>
  <c r="I88" i="17"/>
  <c r="I102" i="17"/>
  <c r="I59" i="17"/>
  <c r="I8" i="17"/>
  <c r="I9" i="17"/>
  <c r="I42" i="17"/>
  <c r="I24" i="17"/>
  <c r="I133" i="17"/>
  <c r="I93" i="17"/>
  <c r="I15" i="17"/>
  <c r="I195" i="17"/>
  <c r="I194" i="17"/>
  <c r="I56" i="17"/>
  <c r="I90" i="17"/>
  <c r="I107" i="17"/>
  <c r="I40" i="17"/>
  <c r="I129" i="17"/>
  <c r="I80" i="17"/>
  <c r="I113" i="17"/>
  <c r="I29" i="17"/>
  <c r="I177" i="17"/>
  <c r="I179" i="17"/>
  <c r="I53" i="17"/>
  <c r="I37" i="17"/>
  <c r="I44" i="8"/>
  <c r="I81" i="8"/>
  <c r="R44" i="4"/>
  <c r="I66" i="8"/>
  <c r="I30" i="17"/>
  <c r="I39" i="17"/>
  <c r="I63" i="17"/>
  <c r="I95" i="17"/>
  <c r="I47" i="17"/>
  <c r="I121" i="17"/>
  <c r="I154" i="17"/>
  <c r="I147" i="17"/>
  <c r="I162" i="17"/>
  <c r="I57" i="17"/>
  <c r="I91" i="17"/>
  <c r="I16" i="17"/>
  <c r="I139" i="17"/>
  <c r="I61" i="17"/>
  <c r="I44" i="17"/>
  <c r="I23" i="17"/>
  <c r="I111" i="17"/>
  <c r="I94" i="17"/>
  <c r="I73" i="8"/>
  <c r="I178" i="17"/>
  <c r="I186" i="17"/>
  <c r="I182" i="17"/>
  <c r="I187" i="17"/>
  <c r="I72" i="8"/>
  <c r="I69" i="8"/>
  <c r="R125" i="4"/>
  <c r="I58" i="17"/>
  <c r="I103" i="17"/>
  <c r="I163" i="17"/>
  <c r="I143" i="17"/>
  <c r="I153" i="17"/>
  <c r="I168" i="17"/>
  <c r="I87" i="8"/>
  <c r="I105" i="8"/>
  <c r="R39" i="4"/>
  <c r="I31" i="8"/>
  <c r="R95" i="4"/>
  <c r="I82" i="17"/>
  <c r="I32" i="17"/>
  <c r="I45" i="17"/>
  <c r="I65" i="17"/>
  <c r="I123" i="17"/>
  <c r="I130" i="17"/>
  <c r="I105" i="17"/>
  <c r="I124" i="17"/>
  <c r="I43" i="17"/>
  <c r="I101" i="17"/>
  <c r="I6" i="17"/>
  <c r="I31" i="17"/>
  <c r="I98" i="17"/>
  <c r="I125" i="17"/>
  <c r="I66" i="17"/>
  <c r="I41" i="17"/>
  <c r="I76" i="17"/>
  <c r="I106" i="17"/>
  <c r="I137" i="17"/>
  <c r="I86" i="17"/>
  <c r="I19" i="17"/>
  <c r="I128" i="17"/>
  <c r="I26" i="17"/>
  <c r="I138" i="17"/>
  <c r="I50" i="17"/>
  <c r="I34" i="17"/>
  <c r="X84" i="4"/>
  <c r="AE84" i="4" s="1"/>
  <c r="X75" i="4"/>
  <c r="AE75" i="4" s="1"/>
  <c r="X35" i="4"/>
  <c r="AE35" i="4" s="1"/>
  <c r="X88" i="4"/>
  <c r="AE88" i="4" s="1"/>
  <c r="X137" i="4"/>
  <c r="AE137" i="4" s="1"/>
  <c r="X132" i="4"/>
  <c r="AE132" i="4" s="1"/>
  <c r="R35" i="4"/>
  <c r="X94" i="4"/>
  <c r="AE94" i="4" s="1"/>
  <c r="X108" i="4"/>
  <c r="AE108" i="4" s="1"/>
  <c r="X126" i="4"/>
  <c r="AE126" i="4" s="1"/>
  <c r="X92" i="4"/>
  <c r="AE92" i="4" s="1"/>
  <c r="X95" i="4"/>
  <c r="AE95" i="4" s="1"/>
  <c r="X64" i="4"/>
  <c r="AE64" i="4" s="1"/>
  <c r="X44" i="4"/>
  <c r="AE44" i="4" s="1"/>
  <c r="I61" i="8"/>
  <c r="X13" i="4"/>
  <c r="AE13" i="4" s="1"/>
  <c r="X74" i="4"/>
  <c r="AE74" i="4" s="1"/>
  <c r="X131" i="4"/>
  <c r="AE131" i="4" s="1"/>
  <c r="X7" i="4"/>
  <c r="AE7" i="4" s="1"/>
  <c r="X116" i="4"/>
  <c r="AE116" i="4" s="1"/>
  <c r="X63" i="4"/>
  <c r="AE63" i="4" s="1"/>
  <c r="X18" i="4"/>
  <c r="AE18" i="4" s="1"/>
  <c r="X15" i="4"/>
  <c r="AE15" i="4" s="1"/>
  <c r="X107" i="4"/>
  <c r="AE107" i="4" s="1"/>
  <c r="X102" i="4"/>
  <c r="AE102" i="4" s="1"/>
  <c r="X134" i="4"/>
  <c r="AE134" i="4" s="1"/>
  <c r="X125" i="4"/>
  <c r="AE125" i="4" s="1"/>
  <c r="X41" i="4"/>
  <c r="AE41" i="4" s="1"/>
  <c r="X96" i="4"/>
  <c r="AE96" i="4" s="1"/>
  <c r="X76" i="4"/>
  <c r="AE76" i="4" s="1"/>
  <c r="X54" i="4"/>
  <c r="AE54" i="4" s="1"/>
  <c r="X61" i="4"/>
  <c r="AE61" i="4" s="1"/>
  <c r="X77" i="4"/>
  <c r="AE77" i="4" s="1"/>
  <c r="X124" i="4"/>
  <c r="AE124" i="4" s="1"/>
  <c r="X120" i="4"/>
  <c r="AE120" i="4" s="1"/>
  <c r="X39" i="4"/>
  <c r="AE39" i="4" s="1"/>
  <c r="X24" i="4"/>
  <c r="AE24" i="4" s="1"/>
  <c r="X87" i="4"/>
  <c r="AE87" i="4" s="1"/>
  <c r="X6" i="4"/>
  <c r="AE6" i="4" s="1"/>
  <c r="X86" i="4"/>
  <c r="AE86" i="4" s="1"/>
  <c r="X119" i="4"/>
  <c r="AE119" i="4" s="1"/>
  <c r="X109" i="4"/>
  <c r="AE109" i="4" s="1"/>
  <c r="X115" i="4"/>
  <c r="AE115" i="4" s="1"/>
  <c r="X21" i="4"/>
  <c r="AE21" i="4" s="1"/>
  <c r="R137" i="4"/>
  <c r="X43" i="4"/>
  <c r="AE43" i="4" s="1"/>
  <c r="X28" i="4"/>
  <c r="AE28" i="4" s="1"/>
  <c r="X34" i="4"/>
  <c r="AE34" i="4" s="1"/>
  <c r="X70" i="4"/>
  <c r="AE70" i="4" s="1"/>
  <c r="X114" i="4"/>
  <c r="AE114" i="4" s="1"/>
  <c r="X57" i="4"/>
  <c r="AE57" i="4" s="1"/>
  <c r="X112" i="4"/>
  <c r="AE112" i="4" s="1"/>
  <c r="X101" i="4"/>
  <c r="AE101" i="4" s="1"/>
  <c r="X110" i="4"/>
  <c r="AE110" i="4" s="1"/>
  <c r="X22" i="4"/>
  <c r="AE22" i="4" s="1"/>
  <c r="X72" i="4"/>
  <c r="AE72" i="4" s="1"/>
  <c r="X48" i="4"/>
  <c r="AE48" i="4" s="1"/>
  <c r="X50" i="4"/>
  <c r="AE50" i="4" s="1"/>
  <c r="X19" i="4"/>
  <c r="AE19" i="4" s="1"/>
  <c r="I91" i="8"/>
  <c r="I95" i="8"/>
  <c r="X58" i="4"/>
  <c r="AE58" i="4" s="1"/>
  <c r="X52" i="4"/>
  <c r="AE52" i="4" s="1"/>
  <c r="X9" i="4"/>
  <c r="AE9" i="4" s="1"/>
  <c r="X130" i="4"/>
  <c r="AE130" i="4" s="1"/>
  <c r="X111" i="4"/>
  <c r="AE111" i="4" s="1"/>
  <c r="X69" i="4"/>
  <c r="AE69" i="4" s="1"/>
  <c r="X100" i="4"/>
  <c r="AE100" i="4" s="1"/>
  <c r="X121" i="4"/>
  <c r="AE121" i="4" s="1"/>
  <c r="X123" i="4"/>
  <c r="AE123" i="4" s="1"/>
  <c r="X31" i="4"/>
  <c r="AE31" i="4" s="1"/>
  <c r="X12" i="4"/>
  <c r="AE12" i="4" s="1"/>
  <c r="X38" i="4"/>
  <c r="AE38" i="4" s="1"/>
  <c r="X11" i="4"/>
  <c r="AE11" i="4" s="1"/>
  <c r="X17" i="4"/>
  <c r="AE17" i="4" s="1"/>
  <c r="X97" i="4"/>
  <c r="AE97" i="4" s="1"/>
  <c r="X93" i="4"/>
  <c r="AE93" i="4" s="1"/>
  <c r="X67" i="4"/>
  <c r="AE67" i="4" s="1"/>
  <c r="X59" i="4"/>
  <c r="AE59" i="4" s="1"/>
  <c r="X138" i="4"/>
  <c r="AE138" i="4" s="1"/>
  <c r="I67" i="8"/>
  <c r="I22" i="8"/>
  <c r="X53" i="4"/>
  <c r="AE53" i="4" s="1"/>
  <c r="X27" i="4"/>
  <c r="X10" i="4"/>
  <c r="AE10" i="4" s="1"/>
  <c r="X103" i="4"/>
  <c r="AE103" i="4" s="1"/>
  <c r="X65" i="4"/>
  <c r="AE65" i="4" s="1"/>
  <c r="X133" i="4"/>
  <c r="AE133" i="4" s="1"/>
  <c r="X127" i="4"/>
  <c r="AE127" i="4" s="1"/>
  <c r="R88" i="4"/>
  <c r="X46" i="4"/>
  <c r="AE46" i="4" s="1"/>
  <c r="X8" i="4"/>
  <c r="AE8" i="4" s="1"/>
  <c r="X98" i="4"/>
  <c r="AE98" i="4" s="1"/>
  <c r="X29" i="4"/>
  <c r="AE29" i="4" s="1"/>
  <c r="X85" i="4"/>
  <c r="AE85" i="4" s="1"/>
  <c r="X56" i="4"/>
  <c r="AE56" i="4" s="1"/>
  <c r="X89" i="4"/>
  <c r="AE89" i="4" s="1"/>
  <c r="X45" i="4"/>
  <c r="AE45" i="4" s="1"/>
  <c r="X71" i="4"/>
  <c r="AE71" i="4" s="1"/>
  <c r="X23" i="4"/>
  <c r="AE23" i="4" s="1"/>
  <c r="I33" i="8"/>
  <c r="R57" i="4"/>
  <c r="I49" i="8"/>
  <c r="R73" i="4"/>
  <c r="R105" i="4"/>
  <c r="R80" i="4"/>
  <c r="R43" i="4"/>
  <c r="R28" i="4"/>
  <c r="R34" i="4"/>
  <c r="R14" i="4"/>
  <c r="R142" i="4"/>
  <c r="R91" i="4"/>
  <c r="R33" i="4"/>
  <c r="R26" i="4"/>
  <c r="R110" i="4"/>
  <c r="R55" i="4"/>
  <c r="R135" i="4"/>
  <c r="R78" i="4"/>
  <c r="R81" i="4"/>
  <c r="R66" i="4"/>
  <c r="R162" i="4"/>
  <c r="R32" i="4"/>
  <c r="R58" i="4"/>
  <c r="R113" i="4"/>
  <c r="R52" i="4"/>
  <c r="R9" i="4"/>
  <c r="R90" i="4"/>
  <c r="R123" i="4"/>
  <c r="R31" i="4"/>
  <c r="R12" i="4"/>
  <c r="R38" i="4"/>
  <c r="R147" i="4"/>
  <c r="R11" i="4"/>
  <c r="R17" i="4"/>
  <c r="R53" i="4"/>
  <c r="R118" i="4"/>
  <c r="R30" i="4"/>
  <c r="R79" i="4"/>
  <c r="R27" i="4"/>
  <c r="R106" i="4"/>
  <c r="R46" i="4"/>
  <c r="R122" i="4"/>
  <c r="R68" i="4"/>
  <c r="R8" i="4"/>
  <c r="R98" i="4"/>
  <c r="R136" i="4"/>
  <c r="R29" i="4"/>
  <c r="R85" i="4"/>
  <c r="R62" i="4"/>
  <c r="R49" i="4"/>
  <c r="R129" i="4"/>
  <c r="R41" i="4"/>
  <c r="R144" i="4"/>
  <c r="R84" i="4"/>
  <c r="R104" i="4"/>
  <c r="R75" i="4"/>
  <c r="R159" i="4"/>
  <c r="R83" i="4"/>
  <c r="R42" i="4"/>
  <c r="R94" i="4"/>
  <c r="R60" i="4"/>
  <c r="R108" i="4"/>
  <c r="R141" i="4"/>
  <c r="R145" i="4"/>
  <c r="R126" i="4"/>
  <c r="R128" i="4"/>
  <c r="R13" i="4"/>
  <c r="R51" i="4"/>
  <c r="R139" i="4"/>
  <c r="R40" i="4"/>
  <c r="R20" i="4"/>
  <c r="R37" i="4"/>
  <c r="R74" i="4"/>
  <c r="R18" i="4"/>
  <c r="R146" i="4"/>
  <c r="R25" i="4"/>
  <c r="R117" i="4"/>
  <c r="R99" i="4"/>
  <c r="R158" i="4"/>
  <c r="R160" i="4"/>
  <c r="R15" i="4"/>
  <c r="R96" i="4"/>
  <c r="R76" i="4"/>
  <c r="R54" i="4"/>
  <c r="R36" i="4"/>
  <c r="R61" i="4"/>
  <c r="R77" i="4"/>
  <c r="R140" i="4"/>
  <c r="R143" i="4"/>
  <c r="R87" i="4"/>
  <c r="R6" i="4"/>
  <c r="R47" i="4"/>
  <c r="R16" i="4"/>
  <c r="R86" i="4"/>
  <c r="R82" i="4"/>
  <c r="K2" i="4"/>
  <c r="G16" i="7"/>
  <c r="F16" i="7"/>
  <c r="G31" i="7"/>
  <c r="F31" i="7"/>
  <c r="G17" i="7"/>
  <c r="F17" i="7"/>
  <c r="G41" i="7"/>
  <c r="F41" i="7"/>
  <c r="F40" i="7"/>
  <c r="G40" i="7"/>
  <c r="G23" i="7"/>
  <c r="F23" i="7"/>
  <c r="G27" i="7"/>
  <c r="F27" i="7"/>
  <c r="F38" i="7"/>
  <c r="G38" i="7"/>
  <c r="G43" i="7"/>
  <c r="F43" i="7"/>
  <c r="G20" i="7"/>
  <c r="F20" i="7"/>
  <c r="F12" i="7"/>
  <c r="G12" i="7"/>
  <c r="G19" i="7"/>
  <c r="F19" i="7"/>
  <c r="G14" i="7"/>
  <c r="F14" i="7"/>
  <c r="F35" i="7"/>
  <c r="G35" i="7"/>
  <c r="G32" i="7"/>
  <c r="F32" i="7"/>
  <c r="G25" i="7"/>
  <c r="F25" i="7"/>
  <c r="G22" i="7"/>
  <c r="F22" i="7"/>
  <c r="G48" i="7"/>
  <c r="F48" i="7"/>
  <c r="G18" i="7"/>
  <c r="F18" i="7"/>
  <c r="G34" i="7"/>
  <c r="F34" i="7"/>
  <c r="G44" i="7"/>
  <c r="F44" i="7"/>
  <c r="G37" i="7"/>
  <c r="F37" i="7"/>
  <c r="F36" i="7"/>
  <c r="G36" i="7"/>
  <c r="F13" i="7"/>
  <c r="G13" i="7"/>
  <c r="F11" i="7"/>
  <c r="G11" i="7"/>
  <c r="G42" i="7"/>
  <c r="F42" i="7"/>
  <c r="G28" i="7"/>
  <c r="F28" i="7"/>
  <c r="G21" i="7"/>
  <c r="F21" i="7"/>
  <c r="G26" i="7"/>
  <c r="F26" i="7"/>
  <c r="G39" i="7"/>
  <c r="F39" i="7"/>
  <c r="G24" i="7"/>
  <c r="F24" i="7"/>
  <c r="G15" i="7"/>
  <c r="F15" i="7"/>
  <c r="F30" i="7"/>
  <c r="G30" i="7"/>
  <c r="G45" i="7"/>
  <c r="F45" i="7"/>
  <c r="G29" i="7"/>
  <c r="F29" i="7"/>
  <c r="G46" i="7"/>
  <c r="F46" i="7"/>
  <c r="G33" i="7"/>
  <c r="F33" i="7"/>
  <c r="G47" i="7"/>
  <c r="F47" i="7"/>
  <c r="G65" i="6"/>
  <c r="F65" i="6"/>
  <c r="G62" i="6"/>
  <c r="F62" i="6"/>
  <c r="G71" i="6"/>
  <c r="F71" i="6"/>
  <c r="G40" i="6"/>
  <c r="F40" i="6"/>
  <c r="F76" i="6"/>
  <c r="G76" i="6"/>
  <c r="G27" i="6"/>
  <c r="F27" i="6"/>
  <c r="F55" i="6"/>
  <c r="G55" i="6"/>
  <c r="F52" i="6"/>
  <c r="G52" i="6"/>
  <c r="G69" i="6"/>
  <c r="F69" i="6"/>
  <c r="F16" i="6"/>
  <c r="G16" i="6"/>
  <c r="G45" i="6"/>
  <c r="F45" i="6"/>
  <c r="G60" i="6"/>
  <c r="F60" i="6"/>
  <c r="F103" i="6"/>
  <c r="G43" i="6"/>
  <c r="F43" i="6"/>
  <c r="G42" i="6"/>
  <c r="F42" i="6"/>
  <c r="F98" i="6"/>
  <c r="F96" i="6"/>
  <c r="F37" i="6"/>
  <c r="G37" i="6"/>
  <c r="F90" i="6"/>
  <c r="G90" i="6"/>
  <c r="G83" i="6"/>
  <c r="F83" i="6"/>
  <c r="G84" i="6"/>
  <c r="F84" i="6"/>
  <c r="F87" i="6"/>
  <c r="G87" i="6"/>
  <c r="G21" i="6"/>
  <c r="F21" i="6"/>
  <c r="G41" i="6"/>
  <c r="F41" i="6"/>
  <c r="F101" i="6"/>
  <c r="F26" i="6"/>
  <c r="G26" i="6"/>
  <c r="F74" i="6"/>
  <c r="G74" i="6"/>
  <c r="F35" i="6"/>
  <c r="G35" i="6"/>
  <c r="F13" i="6"/>
  <c r="G13" i="6"/>
  <c r="F31" i="6"/>
  <c r="G31" i="6"/>
  <c r="F39" i="6"/>
  <c r="G39" i="6"/>
  <c r="F51" i="6"/>
  <c r="G51" i="6"/>
  <c r="F46" i="6"/>
  <c r="G46" i="6"/>
  <c r="F53" i="6"/>
  <c r="G53" i="6"/>
  <c r="F56" i="6"/>
  <c r="G56" i="6"/>
  <c r="F79" i="6"/>
  <c r="G79" i="6"/>
  <c r="G89" i="6"/>
  <c r="F89" i="6"/>
  <c r="G61" i="6"/>
  <c r="F61" i="6"/>
  <c r="F77" i="6"/>
  <c r="G77" i="6"/>
  <c r="G25" i="6"/>
  <c r="F25" i="6"/>
  <c r="F104" i="6"/>
  <c r="G24" i="6"/>
  <c r="F24" i="6"/>
  <c r="F78" i="6"/>
  <c r="G78" i="6"/>
  <c r="G29" i="6"/>
  <c r="F29" i="6"/>
  <c r="G22" i="6"/>
  <c r="F22" i="6"/>
  <c r="F94" i="6"/>
  <c r="G94" i="6"/>
  <c r="F91" i="6"/>
  <c r="G91" i="6"/>
  <c r="F95" i="6"/>
  <c r="F47" i="6"/>
  <c r="G47" i="6"/>
  <c r="F100" i="6"/>
  <c r="G20" i="6"/>
  <c r="F20" i="6"/>
  <c r="G85" i="6"/>
  <c r="F85" i="6"/>
  <c r="G67" i="6"/>
  <c r="F67" i="6"/>
  <c r="G82" i="6"/>
  <c r="F82" i="6"/>
  <c r="F17" i="6"/>
  <c r="G17" i="6"/>
  <c r="F15" i="6"/>
  <c r="G15" i="6"/>
  <c r="F68" i="6"/>
  <c r="G68" i="6"/>
  <c r="F73" i="6"/>
  <c r="G73" i="6"/>
  <c r="F14" i="6"/>
  <c r="G14" i="6"/>
  <c r="F75" i="6"/>
  <c r="G75" i="6"/>
  <c r="F59" i="6"/>
  <c r="G59" i="6"/>
  <c r="F72" i="6"/>
  <c r="G72" i="6"/>
  <c r="G64" i="6"/>
  <c r="F64" i="6"/>
  <c r="F34" i="6"/>
  <c r="G34" i="6"/>
  <c r="F12" i="6"/>
  <c r="G12" i="6"/>
  <c r="G80" i="6"/>
  <c r="F80" i="6"/>
  <c r="F32" i="6"/>
  <c r="G32" i="6"/>
  <c r="F38" i="6"/>
  <c r="G38" i="6"/>
  <c r="F54" i="6"/>
  <c r="G54" i="6"/>
  <c r="F99" i="6"/>
  <c r="F57" i="6"/>
  <c r="G57" i="6"/>
  <c r="F66" i="6"/>
  <c r="G66" i="6"/>
  <c r="F50" i="6"/>
  <c r="G50" i="6"/>
  <c r="F102" i="6"/>
  <c r="F11" i="6"/>
  <c r="G11" i="6"/>
  <c r="F58" i="6"/>
  <c r="G58" i="6"/>
  <c r="F86" i="6"/>
  <c r="G86" i="6"/>
  <c r="F36" i="6"/>
  <c r="G36" i="6"/>
  <c r="G81" i="6"/>
  <c r="F81" i="6"/>
  <c r="G23" i="6"/>
  <c r="F23" i="6"/>
  <c r="F105" i="6"/>
  <c r="G44" i="6"/>
  <c r="F44" i="6"/>
  <c r="F97" i="6"/>
  <c r="F88" i="6"/>
  <c r="G88" i="6"/>
  <c r="G49" i="6"/>
  <c r="F49" i="6"/>
  <c r="F93" i="6"/>
  <c r="G93" i="6"/>
  <c r="F18" i="6"/>
  <c r="G18" i="6"/>
  <c r="G30" i="6"/>
  <c r="F30" i="6"/>
  <c r="F19" i="6"/>
  <c r="G19" i="6"/>
  <c r="F48" i="6"/>
  <c r="G48" i="6"/>
  <c r="G63" i="6"/>
  <c r="F63" i="6"/>
  <c r="F33" i="6"/>
  <c r="G33" i="6"/>
  <c r="G28" i="6"/>
  <c r="F28" i="6"/>
  <c r="F70" i="6"/>
  <c r="G70" i="6"/>
  <c r="D65" i="6"/>
  <c r="E65" i="6"/>
  <c r="E31" i="6"/>
  <c r="D31" i="6"/>
  <c r="D32" i="6"/>
  <c r="E32" i="6"/>
  <c r="D39" i="6"/>
  <c r="E39" i="6"/>
  <c r="E38" i="6"/>
  <c r="D38" i="6"/>
  <c r="E62" i="6"/>
  <c r="D62" i="6"/>
  <c r="E11" i="6"/>
  <c r="E20" i="7"/>
  <c r="D20" i="7"/>
  <c r="D25" i="6"/>
  <c r="E25" i="6"/>
  <c r="E16" i="6"/>
  <c r="D16" i="6"/>
  <c r="E41" i="7"/>
  <c r="D41" i="7"/>
  <c r="E45" i="7"/>
  <c r="D45" i="7"/>
  <c r="E39" i="7"/>
  <c r="D39" i="7"/>
  <c r="E104" i="6"/>
  <c r="D104" i="6"/>
  <c r="D36" i="6"/>
  <c r="E36" i="6"/>
  <c r="D24" i="6"/>
  <c r="E24" i="6"/>
  <c r="E12" i="7"/>
  <c r="D12" i="7"/>
  <c r="D19" i="7"/>
  <c r="E19" i="7"/>
  <c r="D16" i="7"/>
  <c r="E16" i="7"/>
  <c r="D55" i="6"/>
  <c r="E55" i="6"/>
  <c r="E56" i="6"/>
  <c r="D56" i="6"/>
  <c r="E102" i="6"/>
  <c r="D102" i="6"/>
  <c r="D38" i="7"/>
  <c r="E38" i="7"/>
  <c r="D52" i="6"/>
  <c r="E52" i="6"/>
  <c r="D46" i="7"/>
  <c r="E46" i="7"/>
  <c r="D77" i="6"/>
  <c r="E77" i="6"/>
  <c r="D35" i="7"/>
  <c r="E35" i="7"/>
  <c r="E105" i="6"/>
  <c r="D105" i="6"/>
  <c r="D44" i="6"/>
  <c r="E44" i="6"/>
  <c r="E22" i="6"/>
  <c r="D22" i="6"/>
  <c r="E60" i="6"/>
  <c r="D60" i="6"/>
  <c r="D36" i="7"/>
  <c r="E36" i="7"/>
  <c r="K3" i="4"/>
  <c r="D103" i="6"/>
  <c r="E103" i="6"/>
  <c r="E94" i="6"/>
  <c r="D94" i="6"/>
  <c r="D43" i="6"/>
  <c r="E43" i="6"/>
  <c r="D91" i="6"/>
  <c r="E91" i="6"/>
  <c r="D32" i="7"/>
  <c r="E32" i="7"/>
  <c r="E25" i="7"/>
  <c r="D25" i="7"/>
  <c r="D47" i="7"/>
  <c r="E47" i="7"/>
  <c r="D89" i="6"/>
  <c r="E89" i="6"/>
  <c r="E97" i="6"/>
  <c r="D97" i="6"/>
  <c r="D42" i="6"/>
  <c r="E42" i="6"/>
  <c r="E88" i="6"/>
  <c r="D88" i="6"/>
  <c r="D98" i="6"/>
  <c r="E98" i="6"/>
  <c r="E58" i="6"/>
  <c r="D58" i="6"/>
  <c r="D69" i="6"/>
  <c r="E69" i="6"/>
  <c r="E45" i="6"/>
  <c r="D45" i="6"/>
  <c r="D40" i="7"/>
  <c r="E40" i="7"/>
  <c r="D14" i="7"/>
  <c r="E14" i="7"/>
  <c r="E96" i="6"/>
  <c r="D96" i="6"/>
  <c r="E95" i="6"/>
  <c r="D95" i="6"/>
  <c r="E37" i="6"/>
  <c r="D37" i="6"/>
  <c r="E90" i="6"/>
  <c r="D90" i="6"/>
  <c r="E49" i="6"/>
  <c r="D49" i="6"/>
  <c r="D13" i="7"/>
  <c r="E13" i="7"/>
  <c r="E22" i="7"/>
  <c r="D22" i="7"/>
  <c r="E11" i="7"/>
  <c r="D11" i="7"/>
  <c r="D37" i="7"/>
  <c r="E37" i="7"/>
  <c r="E61" i="6"/>
  <c r="D61" i="6"/>
  <c r="E43" i="7"/>
  <c r="D43" i="7"/>
  <c r="D81" i="6"/>
  <c r="E81" i="6"/>
  <c r="D78" i="6"/>
  <c r="E78" i="6"/>
  <c r="D23" i="6"/>
  <c r="E23" i="6"/>
  <c r="D93" i="6"/>
  <c r="E93" i="6"/>
  <c r="D20" i="6"/>
  <c r="E20" i="6"/>
  <c r="D42" i="7"/>
  <c r="E42" i="7"/>
  <c r="E85" i="6"/>
  <c r="D85" i="6"/>
  <c r="D84" i="6"/>
  <c r="E84" i="6"/>
  <c r="E30" i="6"/>
  <c r="D30" i="6"/>
  <c r="D87" i="6"/>
  <c r="E87" i="6"/>
  <c r="E21" i="6"/>
  <c r="D21" i="6"/>
  <c r="D67" i="6"/>
  <c r="E67" i="6"/>
  <c r="E41" i="6"/>
  <c r="D41" i="6"/>
  <c r="D28" i="7"/>
  <c r="E28" i="7"/>
  <c r="E24" i="7"/>
  <c r="D24" i="7"/>
  <c r="D15" i="7"/>
  <c r="E15" i="7"/>
  <c r="D99" i="6"/>
  <c r="E99" i="6"/>
  <c r="D40" i="6"/>
  <c r="E40" i="6"/>
  <c r="E53" i="6"/>
  <c r="D53" i="6"/>
  <c r="E66" i="6"/>
  <c r="D66" i="6"/>
  <c r="E76" i="6"/>
  <c r="D76" i="6"/>
  <c r="D26" i="7"/>
  <c r="E26" i="7"/>
  <c r="D79" i="6"/>
  <c r="E79" i="6"/>
  <c r="E86" i="6"/>
  <c r="D86" i="6"/>
  <c r="D47" i="6"/>
  <c r="E47" i="6"/>
  <c r="D18" i="6"/>
  <c r="E18" i="6"/>
  <c r="E82" i="6"/>
  <c r="D82" i="6"/>
  <c r="D17" i="6"/>
  <c r="E17" i="6"/>
  <c r="E101" i="6"/>
  <c r="D101" i="6"/>
  <c r="D26" i="6"/>
  <c r="E26" i="6"/>
  <c r="D48" i="7"/>
  <c r="E48" i="7"/>
  <c r="D30" i="7"/>
  <c r="E30" i="7"/>
  <c r="D18" i="7"/>
  <c r="E18" i="7"/>
  <c r="D50" i="6"/>
  <c r="E50" i="6"/>
  <c r="D17" i="7"/>
  <c r="E17" i="7"/>
  <c r="D29" i="6"/>
  <c r="E29" i="6"/>
  <c r="D83" i="6"/>
  <c r="E83" i="6"/>
  <c r="D100" i="6"/>
  <c r="E100" i="6"/>
  <c r="D15" i="6"/>
  <c r="E15" i="6"/>
  <c r="E68" i="6"/>
  <c r="D68" i="6"/>
  <c r="D74" i="6"/>
  <c r="E74" i="6"/>
  <c r="D73" i="6"/>
  <c r="E73" i="6"/>
  <c r="D14" i="6"/>
  <c r="E14" i="6"/>
  <c r="E23" i="7"/>
  <c r="D23" i="7"/>
  <c r="D27" i="7"/>
  <c r="E27" i="7"/>
  <c r="E31" i="7"/>
  <c r="D31" i="7"/>
  <c r="D54" i="6"/>
  <c r="E54" i="6"/>
  <c r="D51" i="6"/>
  <c r="E51" i="6"/>
  <c r="E71" i="6"/>
  <c r="D71" i="6"/>
  <c r="D46" i="6"/>
  <c r="E46" i="6"/>
  <c r="E44" i="7"/>
  <c r="D44" i="7"/>
  <c r="E29" i="7"/>
  <c r="D29" i="7"/>
  <c r="D75" i="6"/>
  <c r="E75" i="6"/>
  <c r="D59" i="6"/>
  <c r="E59" i="6"/>
  <c r="D35" i="6"/>
  <c r="E35" i="6"/>
  <c r="E72" i="6"/>
  <c r="D72" i="6"/>
  <c r="E64" i="6"/>
  <c r="D64" i="6"/>
  <c r="D34" i="6"/>
  <c r="E34" i="6"/>
  <c r="D12" i="6"/>
  <c r="E12" i="6"/>
  <c r="D80" i="6"/>
  <c r="E80" i="6"/>
  <c r="D33" i="7"/>
  <c r="E33" i="7"/>
  <c r="E34" i="7"/>
  <c r="D34" i="7"/>
  <c r="D57" i="6"/>
  <c r="E57" i="6"/>
  <c r="D27" i="6"/>
  <c r="E27" i="6"/>
  <c r="E13" i="6"/>
  <c r="D13" i="6"/>
  <c r="E19" i="6"/>
  <c r="D19" i="6"/>
  <c r="E48" i="6"/>
  <c r="D48" i="6"/>
  <c r="E63" i="6"/>
  <c r="D63" i="6"/>
  <c r="D33" i="6"/>
  <c r="E33" i="6"/>
  <c r="E28" i="6"/>
  <c r="D28" i="6"/>
  <c r="D70" i="6"/>
  <c r="E70" i="6"/>
  <c r="E21" i="7"/>
  <c r="D21" i="7"/>
  <c r="I86" i="14" l="1"/>
  <c r="Y135" i="4"/>
  <c r="AF21" i="4"/>
  <c r="AF162" i="4"/>
  <c r="AF33" i="4"/>
  <c r="AF105" i="4"/>
  <c r="AF139" i="4"/>
  <c r="AF69" i="4"/>
  <c r="AF68" i="4"/>
  <c r="AF51" i="4"/>
  <c r="AF91" i="4"/>
  <c r="AF73" i="4"/>
  <c r="AF104" i="4"/>
  <c r="AF109" i="4"/>
  <c r="AF119" i="4"/>
  <c r="AF133" i="4"/>
  <c r="AF112" i="4"/>
  <c r="AF13" i="4"/>
  <c r="AF88" i="4"/>
  <c r="AF145" i="4"/>
  <c r="AF71" i="4"/>
  <c r="AF65" i="4"/>
  <c r="AF17" i="4"/>
  <c r="AF52" i="4"/>
  <c r="AF57" i="4"/>
  <c r="AF6" i="4"/>
  <c r="AF125" i="4"/>
  <c r="AF35" i="4"/>
  <c r="AF141" i="4"/>
  <c r="AF129" i="4"/>
  <c r="AF45" i="4"/>
  <c r="AF103" i="4"/>
  <c r="AF11" i="4"/>
  <c r="AF58" i="4"/>
  <c r="AF114" i="4"/>
  <c r="AF87" i="4"/>
  <c r="AF134" i="4"/>
  <c r="AF44" i="4"/>
  <c r="AF75" i="4"/>
  <c r="AF160" i="4"/>
  <c r="AF60" i="4"/>
  <c r="AF49" i="4"/>
  <c r="AF138" i="4"/>
  <c r="AF46" i="4"/>
  <c r="AF115" i="4"/>
  <c r="AF111" i="4"/>
  <c r="AF76" i="4"/>
  <c r="AF132" i="4"/>
  <c r="AF146" i="4"/>
  <c r="AF37" i="4"/>
  <c r="AF127" i="4"/>
  <c r="AF130" i="4"/>
  <c r="AF96" i="4"/>
  <c r="AF137" i="4"/>
  <c r="AF128" i="4"/>
  <c r="AF97" i="4"/>
  <c r="AF41" i="4"/>
  <c r="AF89" i="4"/>
  <c r="AF10" i="4"/>
  <c r="AF70" i="4"/>
  <c r="AF24" i="4"/>
  <c r="AF64" i="4"/>
  <c r="AF84" i="4"/>
  <c r="AF90" i="4"/>
  <c r="AF78" i="4"/>
  <c r="AF142" i="4"/>
  <c r="AF140" i="4"/>
  <c r="AF99" i="4"/>
  <c r="AF42" i="4"/>
  <c r="AF85" i="4"/>
  <c r="AF53" i="4"/>
  <c r="AF31" i="4"/>
  <c r="AF19" i="4"/>
  <c r="AF28" i="4"/>
  <c r="AF120" i="4"/>
  <c r="AF15" i="4"/>
  <c r="AF92" i="4"/>
  <c r="Y99" i="4"/>
  <c r="AF113" i="4"/>
  <c r="AF135" i="4"/>
  <c r="AF14" i="4"/>
  <c r="AF82" i="4"/>
  <c r="AF117" i="4"/>
  <c r="AF83" i="4"/>
  <c r="AF100" i="4"/>
  <c r="AF22" i="4"/>
  <c r="AF7" i="4"/>
  <c r="AF30" i="4"/>
  <c r="AF66" i="4"/>
  <c r="AF110" i="4"/>
  <c r="AF118" i="4"/>
  <c r="AF101" i="4"/>
  <c r="AF23" i="4"/>
  <c r="AF86" i="4"/>
  <c r="AF38" i="4"/>
  <c r="AF81" i="4"/>
  <c r="AF143" i="4"/>
  <c r="AF62" i="4"/>
  <c r="AF12" i="4"/>
  <c r="AF34" i="4"/>
  <c r="AF107" i="4"/>
  <c r="AF95" i="4"/>
  <c r="AF29" i="4"/>
  <c r="AF123" i="4"/>
  <c r="AF50" i="4"/>
  <c r="AF43" i="4"/>
  <c r="AF124" i="4"/>
  <c r="AF18" i="4"/>
  <c r="AF126" i="4"/>
  <c r="AF106" i="4"/>
  <c r="AF147" i="4"/>
  <c r="AF55" i="4"/>
  <c r="AF36" i="4"/>
  <c r="AF25" i="4"/>
  <c r="AF159" i="4"/>
  <c r="AF8" i="4"/>
  <c r="AF72" i="4"/>
  <c r="AF61" i="4"/>
  <c r="AF116" i="4"/>
  <c r="AF94" i="4"/>
  <c r="AF47" i="4"/>
  <c r="AF59" i="4"/>
  <c r="AF54" i="4"/>
  <c r="AF67" i="4"/>
  <c r="AF131" i="4"/>
  <c r="AF93" i="4"/>
  <c r="AF74" i="4"/>
  <c r="AF144" i="4"/>
  <c r="AF9" i="4"/>
  <c r="AF40" i="4"/>
  <c r="AF102" i="4"/>
  <c r="AF158" i="4"/>
  <c r="AF56" i="4"/>
  <c r="AF39" i="4"/>
  <c r="AF98" i="4"/>
  <c r="AF121" i="4"/>
  <c r="AF48" i="4"/>
  <c r="AF77" i="4"/>
  <c r="AF63" i="4"/>
  <c r="AF108" i="4"/>
  <c r="AF32" i="4"/>
  <c r="AF26" i="4"/>
  <c r="AF80" i="4"/>
  <c r="AF16" i="4"/>
  <c r="Y141" i="4"/>
  <c r="Y129" i="4"/>
  <c r="Y140" i="4"/>
  <c r="Y42" i="4"/>
  <c r="Y47" i="4"/>
  <c r="Y146" i="4"/>
  <c r="Y73" i="4"/>
  <c r="AE27" i="4"/>
  <c r="Y62" i="4"/>
  <c r="Y80" i="4"/>
  <c r="Y33" i="4"/>
  <c r="Y91" i="4"/>
  <c r="Y55" i="4"/>
  <c r="Y51" i="4"/>
  <c r="Y147" i="4"/>
  <c r="Y26" i="4"/>
  <c r="Y32" i="4"/>
  <c r="Y49" i="4"/>
  <c r="I195" i="14"/>
  <c r="I197" i="14"/>
  <c r="I196" i="14"/>
  <c r="Y162" i="4"/>
  <c r="Y16" i="4"/>
  <c r="Y158" i="4"/>
  <c r="Y66" i="4"/>
  <c r="Y145" i="4"/>
  <c r="Y60" i="4"/>
  <c r="Y118" i="4"/>
  <c r="Y160" i="4"/>
  <c r="Y105" i="4"/>
  <c r="Y144" i="4"/>
  <c r="Y30" i="4"/>
  <c r="Y36" i="4"/>
  <c r="Y78" i="4"/>
  <c r="Y90" i="4"/>
  <c r="Y106" i="4"/>
  <c r="Y113" i="4"/>
  <c r="Y82" i="4"/>
  <c r="Y68" i="4"/>
  <c r="Y81" i="4"/>
  <c r="I18" i="14"/>
  <c r="I16" i="14"/>
  <c r="I26" i="14"/>
  <c r="I38" i="14"/>
  <c r="I35" i="14"/>
  <c r="I32" i="14"/>
  <c r="I40" i="14"/>
  <c r="I29" i="14"/>
  <c r="I23" i="14"/>
  <c r="I11" i="14"/>
  <c r="I33" i="14"/>
  <c r="Y139" i="4"/>
  <c r="I87" i="14"/>
  <c r="I161" i="14"/>
  <c r="I104" i="14"/>
  <c r="I131" i="14"/>
  <c r="I63" i="14"/>
  <c r="I65" i="14"/>
  <c r="I116" i="14"/>
  <c r="I71" i="14"/>
  <c r="I169" i="14"/>
  <c r="I187" i="14"/>
  <c r="I178" i="14"/>
  <c r="I105" i="14"/>
  <c r="I66" i="14"/>
  <c r="I185" i="14"/>
  <c r="I141" i="14"/>
  <c r="I153" i="14"/>
  <c r="I93" i="14"/>
  <c r="I177" i="14"/>
  <c r="I129" i="14"/>
  <c r="I49" i="14"/>
  <c r="I156" i="14"/>
  <c r="I168" i="14"/>
  <c r="I85" i="14"/>
  <c r="I98" i="14"/>
  <c r="I140" i="14"/>
  <c r="I167" i="14"/>
  <c r="I75" i="14"/>
  <c r="I101" i="14"/>
  <c r="I152" i="14"/>
  <c r="I107" i="14"/>
  <c r="I64" i="14"/>
  <c r="I77" i="14"/>
  <c r="I80" i="14"/>
  <c r="I83" i="14"/>
  <c r="I134" i="14"/>
  <c r="I111" i="14"/>
  <c r="I100" i="14"/>
  <c r="I144" i="14"/>
  <c r="I96" i="14"/>
  <c r="I72" i="14"/>
  <c r="I67" i="14"/>
  <c r="I138" i="14"/>
  <c r="I114" i="14"/>
  <c r="I94" i="14"/>
  <c r="I58" i="14"/>
  <c r="I165" i="14"/>
  <c r="I127" i="14"/>
  <c r="I110" i="14"/>
  <c r="I91" i="14"/>
  <c r="I176" i="14"/>
  <c r="I48" i="14"/>
  <c r="I88" i="14"/>
  <c r="I137" i="14"/>
  <c r="I188" i="14"/>
  <c r="I143" i="14"/>
  <c r="I76" i="14"/>
  <c r="I113" i="14"/>
  <c r="I128" i="14"/>
  <c r="I119" i="14"/>
  <c r="I162" i="14"/>
  <c r="I117" i="14"/>
  <c r="I102" i="14"/>
  <c r="I78" i="14"/>
  <c r="I180" i="14"/>
  <c r="I132" i="14"/>
  <c r="I108" i="14"/>
  <c r="I170" i="14"/>
  <c r="I174" i="14"/>
  <c r="I150" i="14"/>
  <c r="I130" i="14"/>
  <c r="I122" i="14"/>
  <c r="I126" i="14"/>
  <c r="I69" i="14"/>
  <c r="I84" i="14"/>
  <c r="I99" i="14"/>
  <c r="I173" i="14"/>
  <c r="I81" i="14"/>
  <c r="I179" i="14"/>
  <c r="I89" i="14"/>
  <c r="I149" i="14"/>
  <c r="I164" i="14"/>
  <c r="I155" i="14"/>
  <c r="I120" i="14"/>
  <c r="I60" i="14"/>
  <c r="I191" i="14"/>
  <c r="I146" i="14"/>
  <c r="I123" i="14"/>
  <c r="I112" i="14"/>
  <c r="I158" i="14"/>
  <c r="I135" i="14"/>
  <c r="I124" i="14"/>
  <c r="I147" i="14"/>
  <c r="I136" i="14"/>
  <c r="I182" i="14"/>
  <c r="I194" i="14"/>
  <c r="I159" i="14"/>
  <c r="I192" i="14"/>
  <c r="I189" i="14"/>
  <c r="I183" i="14"/>
  <c r="I106" i="14"/>
  <c r="I109" i="14"/>
  <c r="I172" i="14"/>
  <c r="I92" i="14"/>
  <c r="I186" i="14"/>
  <c r="I118" i="14"/>
  <c r="I62" i="14"/>
  <c r="I115" i="14"/>
  <c r="I151" i="14"/>
  <c r="I90" i="14"/>
  <c r="I171" i="14"/>
  <c r="I61" i="14"/>
  <c r="I70" i="14"/>
  <c r="I125" i="14"/>
  <c r="I97" i="14"/>
  <c r="I139" i="14"/>
  <c r="I145" i="14"/>
  <c r="I181" i="14"/>
  <c r="I82" i="14"/>
  <c r="I50" i="14"/>
  <c r="I154" i="14"/>
  <c r="I193" i="14"/>
  <c r="I163" i="14"/>
  <c r="I133" i="14"/>
  <c r="I142" i="14"/>
  <c r="I160" i="14"/>
  <c r="I175" i="14"/>
  <c r="I59" i="14"/>
  <c r="I95" i="14"/>
  <c r="I79" i="14"/>
  <c r="I157" i="14"/>
  <c r="I190" i="14"/>
  <c r="I103" i="14"/>
  <c r="I148" i="14"/>
  <c r="I73" i="14"/>
  <c r="I68" i="14"/>
  <c r="I166" i="14"/>
  <c r="I184" i="14"/>
  <c r="I121" i="14"/>
  <c r="I74" i="14"/>
  <c r="Y14" i="4"/>
  <c r="Y122" i="4"/>
  <c r="AE122" i="4"/>
  <c r="Y79" i="4"/>
  <c r="AE79" i="4"/>
  <c r="I41" i="14"/>
  <c r="I10" i="14"/>
  <c r="I43" i="14"/>
  <c r="I30" i="14"/>
  <c r="I34" i="14"/>
  <c r="I21" i="14"/>
  <c r="I19" i="14"/>
  <c r="I9" i="14"/>
  <c r="Y117" i="4"/>
  <c r="Y40" i="4"/>
  <c r="Y128" i="4"/>
  <c r="Y25" i="4"/>
  <c r="I36" i="14"/>
  <c r="I52" i="14"/>
  <c r="I31" i="14"/>
  <c r="I56" i="14"/>
  <c r="I20" i="14"/>
  <c r="Y37" i="4"/>
  <c r="Y83" i="4"/>
  <c r="I51" i="14"/>
  <c r="I24" i="14"/>
  <c r="I53" i="14"/>
  <c r="I13" i="14"/>
  <c r="I22" i="14"/>
  <c r="I5" i="14"/>
  <c r="I27" i="14"/>
  <c r="I46" i="14"/>
  <c r="I44" i="14"/>
  <c r="I4" i="14"/>
  <c r="I37" i="14"/>
  <c r="Y159" i="4"/>
  <c r="Y20" i="4"/>
  <c r="AE20" i="4"/>
  <c r="I57" i="14"/>
  <c r="I54" i="14"/>
  <c r="I7" i="14"/>
  <c r="I39" i="14"/>
  <c r="I28" i="14"/>
  <c r="I47" i="14"/>
  <c r="I14" i="14"/>
  <c r="I25" i="14"/>
  <c r="I3" i="14"/>
  <c r="I12" i="14"/>
  <c r="I42" i="14"/>
  <c r="I2" i="14"/>
  <c r="Y136" i="4"/>
  <c r="AE136" i="4"/>
  <c r="I8" i="14"/>
  <c r="I15" i="14"/>
  <c r="I17" i="14"/>
  <c r="I55" i="14"/>
  <c r="I45" i="14"/>
  <c r="Y143" i="4"/>
  <c r="Y142" i="4"/>
  <c r="Y104" i="4"/>
  <c r="I6" i="14"/>
  <c r="Y74" i="4"/>
  <c r="Y18" i="4"/>
  <c r="Y58" i="4"/>
  <c r="Y133" i="4"/>
  <c r="Y59" i="4"/>
  <c r="Y93" i="4"/>
  <c r="Y22" i="4"/>
  <c r="Y28" i="4"/>
  <c r="Y115" i="4"/>
  <c r="Y124" i="4"/>
  <c r="Y41" i="4"/>
  <c r="Y64" i="4"/>
  <c r="Y137" i="4"/>
  <c r="Y52" i="4"/>
  <c r="Y109" i="4"/>
  <c r="Y77" i="4"/>
  <c r="Y15" i="4"/>
  <c r="Y131" i="4"/>
  <c r="Y108" i="4"/>
  <c r="Y98" i="4"/>
  <c r="Y56" i="4"/>
  <c r="Y69" i="4"/>
  <c r="Y8" i="4"/>
  <c r="Y107" i="4"/>
  <c r="Y21" i="4"/>
  <c r="Y46" i="4"/>
  <c r="Y111" i="4"/>
  <c r="Y87" i="4"/>
  <c r="Y120" i="4"/>
  <c r="Y43" i="4"/>
  <c r="Y88" i="4"/>
  <c r="Y110" i="4"/>
  <c r="Y27" i="4"/>
  <c r="Y48" i="4"/>
  <c r="Y101" i="4"/>
  <c r="Y130" i="4"/>
  <c r="Y19" i="4"/>
  <c r="Y76" i="4"/>
  <c r="Y134" i="4"/>
  <c r="Y116" i="4"/>
  <c r="Y92" i="4"/>
  <c r="Y65" i="4"/>
  <c r="Y125" i="4"/>
  <c r="Y114" i="4"/>
  <c r="Y61" i="4"/>
  <c r="Y6" i="4"/>
  <c r="Y13" i="4"/>
  <c r="Y85" i="4"/>
  <c r="Y70" i="4"/>
  <c r="Y94" i="4"/>
  <c r="Y23" i="4"/>
  <c r="Y10" i="4"/>
  <c r="Y67" i="4"/>
  <c r="Y11" i="4"/>
  <c r="Y50" i="4"/>
  <c r="Y72" i="4"/>
  <c r="Y112" i="4"/>
  <c r="Y34" i="4"/>
  <c r="Y24" i="4"/>
  <c r="Y102" i="4"/>
  <c r="Y44" i="4"/>
  <c r="Y132" i="4"/>
  <c r="Y45" i="4"/>
  <c r="Y97" i="4"/>
  <c r="Y86" i="4"/>
  <c r="Y35" i="4"/>
  <c r="Y31" i="4"/>
  <c r="Y17" i="4"/>
  <c r="Y63" i="4"/>
  <c r="Y53" i="4"/>
  <c r="Y54" i="4"/>
  <c r="Y89" i="4"/>
  <c r="Y127" i="4"/>
  <c r="Y138" i="4"/>
  <c r="Y121" i="4"/>
  <c r="Y96" i="4"/>
  <c r="Y7" i="4"/>
  <c r="Y84" i="4"/>
  <c r="Y12" i="4"/>
  <c r="Y119" i="4"/>
  <c r="Y95" i="4"/>
  <c r="Y39" i="4"/>
  <c r="Y103" i="4"/>
  <c r="Y123" i="4"/>
  <c r="Y75" i="4"/>
  <c r="Y71" i="4"/>
  <c r="Y29" i="4"/>
  <c r="Y38" i="4"/>
  <c r="Y100" i="4"/>
  <c r="Y9" i="4"/>
  <c r="Y57" i="4"/>
  <c r="Y126" i="4"/>
  <c r="R3" i="4"/>
  <c r="W3" i="4" s="1"/>
  <c r="AB3" i="4" s="1"/>
  <c r="AC3" i="4" s="1"/>
  <c r="AD3" i="4" s="1"/>
  <c r="R2" i="4"/>
  <c r="W2" i="4" s="1"/>
  <c r="AB2" i="4" s="1"/>
  <c r="AC2" i="4" s="1"/>
  <c r="AD2" i="4" s="1"/>
  <c r="AF136" i="4" l="1"/>
  <c r="AF122" i="4"/>
  <c r="AF20" i="4"/>
  <c r="AF27" i="4"/>
  <c r="AF7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272415-1D2B-42B5-A41A-EC0DDCC0F34E}" keepAlive="1" name="Query - Sheet3!Print_Area" description="Connection to the 'Sheet3!Print_Area' query in the workbook." type="5" refreshedVersion="0" background="1">
    <dbPr connection="Provider=Microsoft.Mashup.OleDb.1;Data Source=$Workbook$;Location=Sheet3!Print_Area;Extended Properties=&quot;&quot;" command="SELECT * FROM [Sheet3!Print_Area]"/>
  </connection>
  <connection id="2" xr16:uid="{0F770B62-E59F-478C-998C-4174F6463CD8}" keepAlive="1" name="Query - Table13" description="Connection to the 'Table13' query in the workbook." type="5" refreshedVersion="7" background="1" saveData="1">
    <dbPr connection="Provider=Microsoft.Mashup.OleDb.1;Data Source=$Workbook$;Location=Table13;Extended Properties=&quot;&quot;" command="SELECT * FROM [Table13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<sst xmlns="http://schemas.openxmlformats.org/spreadsheetml/2006/main" count="2926" uniqueCount="399">
  <si>
    <t>Appendix 64</t>
  </si>
  <si>
    <t>REPORTS ON SUPPLIES AND MATERIALS ISSUED</t>
  </si>
  <si>
    <t xml:space="preserve"> </t>
  </si>
  <si>
    <t>Entity Name:</t>
  </si>
  <si>
    <t>Department of Education - Division of Cavite City</t>
  </si>
  <si>
    <t>Serial Number:</t>
  </si>
  <si>
    <t>Fund Cluster:</t>
  </si>
  <si>
    <t>01101101</t>
  </si>
  <si>
    <t>Date:</t>
  </si>
  <si>
    <t>To be filled up by the Supply and/or Property Division/Unit</t>
  </si>
  <si>
    <t>To be filled up by the Accounting Division/Unit</t>
  </si>
  <si>
    <t xml:space="preserve">RIS No. </t>
  </si>
  <si>
    <t>Responsibility Center Code</t>
  </si>
  <si>
    <t>Stock No.</t>
  </si>
  <si>
    <t>Item</t>
  </si>
  <si>
    <t>Unit</t>
  </si>
  <si>
    <t>Quantity Issued</t>
  </si>
  <si>
    <t>Unit Cost</t>
  </si>
  <si>
    <t>Amount</t>
  </si>
  <si>
    <t>TOTAL</t>
  </si>
  <si>
    <t>POSTED BY:</t>
  </si>
  <si>
    <t>KARL MANUEL O. CORDORA</t>
  </si>
  <si>
    <t>MICHELLE L. MATA</t>
  </si>
  <si>
    <t>`Signature over Printed Name of Supply and/or Property Custodian</t>
  </si>
  <si>
    <t>Signature over Printed Name of Designated Accounting Staff</t>
  </si>
  <si>
    <t>I hereby certify to the correctness of the above information.</t>
  </si>
  <si>
    <t>x ---------- N O T H I N G  F O L L O W S ---------- x</t>
  </si>
  <si>
    <t>piece</t>
  </si>
  <si>
    <t>RIS2025-01-0001</t>
  </si>
  <si>
    <t>box</t>
  </si>
  <si>
    <t>RIS2025-01-0002</t>
  </si>
  <si>
    <t>ream</t>
  </si>
  <si>
    <t>roll</t>
  </si>
  <si>
    <t>RIS2025-01-0003</t>
  </si>
  <si>
    <t>bottle</t>
  </si>
  <si>
    <t>RIS2025-01-0004</t>
  </si>
  <si>
    <t>RIS2025-01-0005</t>
  </si>
  <si>
    <t>RIS2025-01-0006</t>
  </si>
  <si>
    <t>pack</t>
  </si>
  <si>
    <t>RIS2025-01-0007</t>
  </si>
  <si>
    <t>RIS2025-01-0008</t>
  </si>
  <si>
    <t>RIS2025-01-0009</t>
  </si>
  <si>
    <t>RIS2025-01-0010</t>
  </si>
  <si>
    <t>RIS2025-01-0011</t>
  </si>
  <si>
    <t>RIS2025-01-0012</t>
  </si>
  <si>
    <t>RSMI2025-01-0001</t>
  </si>
  <si>
    <t>Arch File Folder - 2 Hole Side Lever - 3 in.</t>
  </si>
  <si>
    <t>Binder Clip Backfold - 3/4 in - 12s</t>
  </si>
  <si>
    <t>Brown Envelope - Long Size</t>
  </si>
  <si>
    <t>Binder Clip Backfold - 1 &amp; 1/4 in - 12s</t>
  </si>
  <si>
    <t>Plastic Envelope - Long Size - Snap Lock</t>
  </si>
  <si>
    <t>Multi-purpose Paper - Long Size - 80 GSM</t>
  </si>
  <si>
    <t>Expanded Envelope with Elastic Band - Pink</t>
  </si>
  <si>
    <t>Expanded Envelope with Elastic Band - Yellow</t>
  </si>
  <si>
    <t>Multi-purpose Paper - A4 Size - 80 GSM</t>
  </si>
  <si>
    <t>Masking Tape - 1 in. x 10 m</t>
  </si>
  <si>
    <t>Epson T6641B - 70 ml</t>
  </si>
  <si>
    <t>Epson T6642C - 70 ml</t>
  </si>
  <si>
    <t>Epson T6643M - 70 ml</t>
  </si>
  <si>
    <t>Epson T6644Y - 70 ml</t>
  </si>
  <si>
    <t>Epson 003B - 65 ml</t>
  </si>
  <si>
    <t>Epson 003C - 65 ml</t>
  </si>
  <si>
    <t>Epson 003M - 65 ml</t>
  </si>
  <si>
    <t>Epson 003Y - 65 ml</t>
  </si>
  <si>
    <t>White Folder with Tab - 14pts - Long</t>
  </si>
  <si>
    <t>Fastener - Long Size</t>
  </si>
  <si>
    <t>Sign Pen - Pilot V10 - 1.0 mm - Blue</t>
  </si>
  <si>
    <t>Double Sided Photo Paper - A4 Size - 50s</t>
  </si>
  <si>
    <t>Paper Clip - No. 33</t>
  </si>
  <si>
    <t>Expanded Folder - Long Size - Red</t>
  </si>
  <si>
    <t>Scotch Brite - Dishwashing Foam</t>
  </si>
  <si>
    <t>Bathroom Tissue - 3 ply</t>
  </si>
  <si>
    <t>Liquid Hand Soap - Refill Pack</t>
  </si>
  <si>
    <t>Powder Detergent Soap with Fabric Conditioner - Twin Pack</t>
  </si>
  <si>
    <t xml:space="preserve">Fabric Conditioner </t>
  </si>
  <si>
    <t>Albatross - 100 g</t>
  </si>
  <si>
    <t>Liquid Dishwashing Soap - 780 ml - Calamansi Scent</t>
  </si>
  <si>
    <t>Office Supplies</t>
  </si>
  <si>
    <t>Other Supplies</t>
  </si>
  <si>
    <t>Article</t>
  </si>
  <si>
    <t>Type</t>
  </si>
  <si>
    <t>Decription</t>
  </si>
  <si>
    <t>Quantity on Hand</t>
  </si>
  <si>
    <t>Total Value</t>
  </si>
  <si>
    <t>Cutting Supplies</t>
  </si>
  <si>
    <t>Heavy-Duty Scissors - 8 in.</t>
  </si>
  <si>
    <t>Rotary Sliding Cutter Replacement Blade</t>
  </si>
  <si>
    <t>Desk Accessories</t>
  </si>
  <si>
    <t>Calculator - 12 digits - ordinary - Solar Battery</t>
  </si>
  <si>
    <t>Correction Tape - 5 mm x 12 m</t>
  </si>
  <si>
    <t xml:space="preserve">Heavy-Duty Table-Top Sharpener </t>
  </si>
  <si>
    <t>Pencil Sharpener - Small</t>
  </si>
  <si>
    <t>Record Book - 500 leaves</t>
  </si>
  <si>
    <t>Rubber Band - No. 18 - 350g</t>
  </si>
  <si>
    <t>Stamp Pad - Blank</t>
  </si>
  <si>
    <t>Stamp Pad - No. 2</t>
  </si>
  <si>
    <t>Sticky Note - 3" x 3" - 400 pulls</t>
  </si>
  <si>
    <t>pad</t>
  </si>
  <si>
    <t>Filing &amp; Storage</t>
  </si>
  <si>
    <t>Acetate Folder with Plastic Fastener - Long Size</t>
  </si>
  <si>
    <t xml:space="preserve">piece </t>
  </si>
  <si>
    <t>Arch File Folder - 2 Hole Side Lever - 2 in.</t>
  </si>
  <si>
    <t>Binder Clip Backfold - 2 in - 12s</t>
  </si>
  <si>
    <t>Clip Board with Cover - Black - Long Size</t>
  </si>
  <si>
    <t>Document Box with Lid - Navy Blue</t>
  </si>
  <si>
    <t>Expanded Folder - Long Size - Green</t>
  </si>
  <si>
    <t>Expanding Plastic Envelope - Long - 4 inches expansion</t>
  </si>
  <si>
    <t xml:space="preserve">Expanding Plastic Envelope - Snap Lock with Handle </t>
  </si>
  <si>
    <t>Fastener - Short Size</t>
  </si>
  <si>
    <t>Heavy-Duty 2 Hole Puncher</t>
  </si>
  <si>
    <t>Heavy-Duty Stapler with Staple Remover</t>
  </si>
  <si>
    <t>Magazine File Box - Long Size - Horizontal - Navy Blue</t>
  </si>
  <si>
    <t>Paper Clip - No. 50</t>
  </si>
  <si>
    <t>Plastic Folder - Long Size</t>
  </si>
  <si>
    <t>Sliding Acetate Folder - A4 Size Yellow</t>
  </si>
  <si>
    <t>Sliding Acetate Folder - Long Size Yellow</t>
  </si>
  <si>
    <t>Staple Wire No. 35</t>
  </si>
  <si>
    <t>Other Office Supplies</t>
  </si>
  <si>
    <t>9V Battery</t>
  </si>
  <si>
    <t>A23 Battery</t>
  </si>
  <si>
    <t>Double AA Battery - 2s</t>
  </si>
  <si>
    <t>Laminating Film - 250 microns - 9 in x 50m</t>
  </si>
  <si>
    <t>Triple AAA Battery - 4s</t>
  </si>
  <si>
    <t>T-Shape Double Sided Acrylic Stand - A4 Size</t>
  </si>
  <si>
    <t>Paper Supplies</t>
  </si>
  <si>
    <t>Carbon Paper - 10s</t>
  </si>
  <si>
    <t xml:space="preserve">File Divider - Long Size - Assorted Colors - 5s </t>
  </si>
  <si>
    <t>Inkjet Vinyl Sticker Paper - Glossy - A4 Size - 20s</t>
  </si>
  <si>
    <t>Multi-purpose Paper - A4 Size - 70 GSM</t>
  </si>
  <si>
    <t>Multi-purpose Paper - Letter Size - 80 GSM</t>
  </si>
  <si>
    <t xml:space="preserve">Photo Paper - Glossy - A4 Size - 10s </t>
  </si>
  <si>
    <t>Sticker Paper - A4 Size - Matte - 10s</t>
  </si>
  <si>
    <t>Worx - Vellum Board - A4 Size - Cream - 10s</t>
  </si>
  <si>
    <t>Printer Ink</t>
  </si>
  <si>
    <t>Brother BT5000C - 48.8 ml</t>
  </si>
  <si>
    <t>Brother BT5000M - 48.8 ml</t>
  </si>
  <si>
    <t>Brother BT5000Y - 48.8 ml</t>
  </si>
  <si>
    <t>Brother BT6000Bk - 108.0 ml</t>
  </si>
  <si>
    <t>Brother BT60Bk - 108.0 ml</t>
  </si>
  <si>
    <t>Brother Toner Cartridge - TN2380</t>
  </si>
  <si>
    <t>Epson 005B - 120 ml</t>
  </si>
  <si>
    <t>HP GT52C - 70 ml</t>
  </si>
  <si>
    <t>HP GT52M - 70 ml</t>
  </si>
  <si>
    <t>HP GT52Y - 70 ml</t>
  </si>
  <si>
    <t>HP GT53B - 70 ml</t>
  </si>
  <si>
    <t>Permanent Marker Refill Ink - Black - 30 ml</t>
  </si>
  <si>
    <t>Stamp Pad Ink - Blue - 30 ml</t>
  </si>
  <si>
    <t>Type Writer Ribbon</t>
  </si>
  <si>
    <t>Tapes &amp; Adhesives</t>
  </si>
  <si>
    <t>Double Sided Tape - 1 in. x 10 m</t>
  </si>
  <si>
    <t>Glue Stick - 8 g</t>
  </si>
  <si>
    <t>Packaging Tape Metal Dispenser</t>
  </si>
  <si>
    <t>Scotch Tape - 1 in. x 10 m</t>
  </si>
  <si>
    <t>Scotch Tape - 2 in. x 10 m</t>
  </si>
  <si>
    <t>Tape Dispenser - Big Roll Size</t>
  </si>
  <si>
    <t>White Glue - 130g</t>
  </si>
  <si>
    <t>Writing Instruments</t>
  </si>
  <si>
    <t>Ballpen - 0.5mm - Black</t>
  </si>
  <si>
    <t>Ballpen - 0.5mm - Retractable - Black</t>
  </si>
  <si>
    <t>Permanent Marker - Fine Tip - Black</t>
  </si>
  <si>
    <t>Prime Pen - White Board Marker - Fine Tip - Black</t>
  </si>
  <si>
    <t>Sign Pen - 1.0 mm - Blue</t>
  </si>
  <si>
    <t>White Board Marker - Fine Tip - Black</t>
  </si>
  <si>
    <t>Janitorial Supplies</t>
  </si>
  <si>
    <t>Air Freshener - 302 ml - Lemon Scent</t>
  </si>
  <si>
    <t>can</t>
  </si>
  <si>
    <t>Baygon Multi-Insect Killer - 500 ml - Odorless</t>
  </si>
  <si>
    <t>Chamois</t>
  </si>
  <si>
    <t>Champion - Detergent Bar Soap</t>
  </si>
  <si>
    <t>Dehumidifier</t>
  </si>
  <si>
    <t>Disinfectant Aerosol Spray - 454 ml</t>
  </si>
  <si>
    <t>Domex Toilet Bowl Cleaner - 900 ml</t>
  </si>
  <si>
    <t>Dust Pan</t>
  </si>
  <si>
    <t xml:space="preserve">Facial Tissue - 100 pulls </t>
  </si>
  <si>
    <t>Floor Scrub Brush - Aluminum / Stainless Long Handle</t>
  </si>
  <si>
    <t>Foam Cleaner 650ml</t>
  </si>
  <si>
    <t>Foam Fabric Cleaner</t>
  </si>
  <si>
    <t xml:space="preserve">Looped End String Mop - Refill Mop Head  </t>
  </si>
  <si>
    <t xml:space="preserve">Looped End String Mop - Wooden Handle </t>
  </si>
  <si>
    <t xml:space="preserve">Lysol Liquid Disinfectant </t>
  </si>
  <si>
    <t>Microfiber Cloth - 8"</t>
  </si>
  <si>
    <t xml:space="preserve">Mr. Muscle Toilet Bowl Cleaner - 933 ml </t>
  </si>
  <si>
    <t>Pine Tree - Car Freshener</t>
  </si>
  <si>
    <t>Powder Detergent Soap - Twin Pack</t>
  </si>
  <si>
    <t>Round Cloth Rug</t>
  </si>
  <si>
    <t>Scented Oil - 100 ml</t>
  </si>
  <si>
    <t xml:space="preserve">Self Wash Spin Mop </t>
  </si>
  <si>
    <t>Tide - Detergent Bar Soap</t>
  </si>
  <si>
    <t>Trash Bag - Large - Black</t>
  </si>
  <si>
    <t>Trash Bag - Small - Black</t>
  </si>
  <si>
    <t>Trash Bag - XL - Black</t>
  </si>
  <si>
    <t>Vaccuum Bag</t>
  </si>
  <si>
    <t>Walis Tambo</t>
  </si>
  <si>
    <t>Walis Ting-Ting with Handle</t>
  </si>
  <si>
    <t>Woven Doormat</t>
  </si>
  <si>
    <t xml:space="preserve">Zim Powder Toilet Cleaner </t>
  </si>
  <si>
    <t>Starting Balance</t>
  </si>
  <si>
    <t>RIS2025-01-0013</t>
  </si>
  <si>
    <t>`</t>
  </si>
  <si>
    <t>REPORT ON PHYSICAL COUNT OF INVENTORIES</t>
  </si>
  <si>
    <t>Type of Inventory Item</t>
  </si>
  <si>
    <t>ARTICLE</t>
  </si>
  <si>
    <t>DESCRIPTION</t>
  </si>
  <si>
    <t>STOCK NO.</t>
  </si>
  <si>
    <t>UNIT OF MEASURE</t>
  </si>
  <si>
    <t>UNIT VALUE</t>
  </si>
  <si>
    <t>QUANTITY</t>
  </si>
  <si>
    <t>SHORTAGE | OVERAGE</t>
  </si>
  <si>
    <t>REMARKS</t>
  </si>
  <si>
    <t>BALANCE PER CARD</t>
  </si>
  <si>
    <t>ON-HAND PER COUNT</t>
  </si>
  <si>
    <t>QTY</t>
  </si>
  <si>
    <t>VALUE</t>
  </si>
  <si>
    <t>Certified Correct by:</t>
  </si>
  <si>
    <t>Approved:</t>
  </si>
  <si>
    <t>Verified by:</t>
  </si>
  <si>
    <t>CHARLIE P. CABATAN</t>
  </si>
  <si>
    <t>JUAN R. ARAOJO, JR., CESO VI</t>
  </si>
  <si>
    <t>AVELINA R. FLORES</t>
  </si>
  <si>
    <t>Signature over Printed Name of
Inventory Committee Chair and Members</t>
  </si>
  <si>
    <t>Signature over Printed Name of Head of Agency/Entity or Authorized Representative</t>
  </si>
  <si>
    <t>Signature over Printed Name of COA Representative</t>
  </si>
  <si>
    <t>January 2025 - Total Value</t>
  </si>
  <si>
    <t>January 2025 - Issued Value</t>
  </si>
  <si>
    <t>January 2025 - Issued Qty</t>
  </si>
  <si>
    <t>January 2025 - Total Issued Value</t>
  </si>
  <si>
    <t>January 2025 - Total Balance</t>
  </si>
  <si>
    <t>January 2025 - Balance Qty</t>
  </si>
  <si>
    <t>OFFICE SUPPLIES</t>
  </si>
  <si>
    <r>
      <t xml:space="preserve">For which </t>
    </r>
    <r>
      <rPr>
        <b/>
        <u/>
        <sz val="10"/>
        <color theme="1"/>
        <rFont val="Amasis MT Pro Light"/>
        <family val="1"/>
      </rPr>
      <t>KARL MANUEL O. CORDORA</t>
    </r>
    <r>
      <rPr>
        <b/>
        <sz val="10"/>
        <color theme="1"/>
        <rFont val="Amasis MT Pro Light"/>
        <family val="1"/>
      </rPr>
      <t xml:space="preserve">, </t>
    </r>
    <r>
      <rPr>
        <b/>
        <u/>
        <sz val="10"/>
        <color theme="1"/>
        <rFont val="Amasis MT Pro Light"/>
        <family val="1"/>
      </rPr>
      <t>ADMINISTRATIVE OFFICER IV</t>
    </r>
    <r>
      <rPr>
        <b/>
        <sz val="10"/>
        <color theme="1"/>
        <rFont val="Amasis MT Pro Light"/>
        <family val="1"/>
      </rPr>
      <t xml:space="preserve">, </t>
    </r>
    <r>
      <rPr>
        <b/>
        <u/>
        <sz val="10"/>
        <color theme="1"/>
        <rFont val="Amasis MT Pro Light"/>
        <family val="1"/>
      </rPr>
      <t>DepED Cavite City</t>
    </r>
    <r>
      <rPr>
        <sz val="10"/>
        <color theme="1"/>
        <rFont val="Amasis MT Pro Light"/>
        <family val="1"/>
      </rPr>
      <t xml:space="preserve">  is accountable, having assumed such accountability on </t>
    </r>
    <r>
      <rPr>
        <b/>
        <u/>
        <sz val="10"/>
        <color theme="1"/>
        <rFont val="Amasis MT Pro Light"/>
        <family val="1"/>
      </rPr>
      <t>December 27, 2022</t>
    </r>
    <r>
      <rPr>
        <sz val="10"/>
        <color theme="1"/>
        <rFont val="Amasis MT Pro Light"/>
        <family val="1"/>
      </rPr>
      <t>.</t>
    </r>
  </si>
  <si>
    <t>x ---------- P A G E  1  O F  2 ---------- x</t>
  </si>
  <si>
    <t>x ---------- P A G E  2  O F  2 ---------- x</t>
  </si>
  <si>
    <t>February 2025 - Issued Qty</t>
  </si>
  <si>
    <t>February 2025 - Issued Value</t>
  </si>
  <si>
    <t>February 2025 - Balance Qty</t>
  </si>
  <si>
    <t>February 2025 - Total Value</t>
  </si>
  <si>
    <t>February 2025 - Total Issued Value</t>
  </si>
  <si>
    <t>February 2025 - Total Balance</t>
  </si>
  <si>
    <t>RIS2025-02-0001</t>
  </si>
  <si>
    <t>RIS2025-02-0002</t>
  </si>
  <si>
    <t>RIS2025-02-0003</t>
  </si>
  <si>
    <t>Balance</t>
  </si>
  <si>
    <t>RIS2025-02-0004</t>
  </si>
  <si>
    <t>RIS2025-02-0005</t>
  </si>
  <si>
    <t>RIS2025-02-0006</t>
  </si>
  <si>
    <t>RIS2025-02-0007</t>
  </si>
  <si>
    <t>RIS2025-02-0008</t>
  </si>
  <si>
    <t>RIS2025-02-0009</t>
  </si>
  <si>
    <t>RIS2025-02-0010</t>
  </si>
  <si>
    <t>RIS2025-02-0011</t>
  </si>
  <si>
    <t>RIS2025-02-0012</t>
  </si>
  <si>
    <t>RIS2025-02-0013</t>
  </si>
  <si>
    <t>RIS2025-02-0014</t>
  </si>
  <si>
    <t>RIS2025-02-0015</t>
  </si>
  <si>
    <t>RIS2025-02-0016</t>
  </si>
  <si>
    <t>RIS2025-02-0017</t>
  </si>
  <si>
    <t>RIS2025-02-0018</t>
  </si>
  <si>
    <t>RIS2025-02-0019</t>
  </si>
  <si>
    <t>RIS2025-02-0020</t>
  </si>
  <si>
    <t>RIS2025-02-0021</t>
  </si>
  <si>
    <t>RIS2025-02-0022</t>
  </si>
  <si>
    <t>RIS2025-02-0023</t>
  </si>
  <si>
    <t>RIS2025-02-0024</t>
  </si>
  <si>
    <t>RIS2025-02-0025</t>
  </si>
  <si>
    <t>RIS2025-02-0026</t>
  </si>
  <si>
    <t>RIS2025-02-0027</t>
  </si>
  <si>
    <t>RIS2025-02-0028</t>
  </si>
  <si>
    <t>RIS2025-02-0029</t>
  </si>
  <si>
    <t>Column1</t>
  </si>
  <si>
    <t>As of February 28, 2025</t>
  </si>
  <si>
    <t>Incoming Qty</t>
  </si>
  <si>
    <t>Incoming Total Value</t>
  </si>
  <si>
    <t>Incoming Unit Cost</t>
  </si>
  <si>
    <t>Accounting Starting Balance</t>
  </si>
  <si>
    <t>RSMI</t>
  </si>
  <si>
    <t>EB</t>
  </si>
  <si>
    <t>RIS2025-03-0001</t>
  </si>
  <si>
    <t>RIS2025-03-0002</t>
  </si>
  <si>
    <t>RIS2025-03-0004</t>
  </si>
  <si>
    <t>Heavy-Duty Handheld Cu+C6:C127tter</t>
  </si>
  <si>
    <t>RIS2025-03-0003</t>
  </si>
  <si>
    <t>Expanding Plastic Envelope - Long - 4 Inches Expansion</t>
  </si>
  <si>
    <t>RIS2025-03-0005</t>
  </si>
  <si>
    <t>RIS2025-03-0006</t>
  </si>
  <si>
    <t>RIS2025-03-0007</t>
  </si>
  <si>
    <t>RIS2025-03-0008</t>
  </si>
  <si>
    <t>RIS2025-03-0009</t>
  </si>
  <si>
    <t>RIS2025-03-0010</t>
  </si>
  <si>
    <t>RIS2025-03-0011</t>
  </si>
  <si>
    <t>RIS2025-03-0012</t>
  </si>
  <si>
    <t>RIS2025-03-0013</t>
  </si>
  <si>
    <t>RIS2025-03-0014</t>
  </si>
  <si>
    <t>RSMI2025-03-0001</t>
  </si>
  <si>
    <t>RIS2025-03-0015</t>
  </si>
  <si>
    <t>RIS2025-03-0016</t>
  </si>
  <si>
    <t>RIS2025-03-0017</t>
  </si>
  <si>
    <t>RIS2025-03-0018</t>
  </si>
  <si>
    <t>RIS2025-03-0019</t>
  </si>
  <si>
    <t>RIS2025-03-0020</t>
  </si>
  <si>
    <t>RIS2025-03-0021</t>
  </si>
  <si>
    <t>RIS2025-03-0022</t>
  </si>
  <si>
    <t>RIS2025-03-0023</t>
  </si>
  <si>
    <t>RIS2025-03-0024</t>
  </si>
  <si>
    <t>RIS2025-03-0025</t>
  </si>
  <si>
    <t>RIS2025-03-0026</t>
  </si>
  <si>
    <t>RIS2025-03-0027</t>
  </si>
  <si>
    <t>RIS2025-03-0028</t>
  </si>
  <si>
    <t>RIS2025-03-0029</t>
  </si>
  <si>
    <t>RIS2025-03-0030</t>
  </si>
  <si>
    <t>RIS2025-03-0031</t>
  </si>
  <si>
    <t>RIS2025-03-0032</t>
  </si>
  <si>
    <t>RIS2025-03-0033</t>
  </si>
  <si>
    <t>RIS2025-03-0034</t>
  </si>
  <si>
    <t>RIS2025-03-0036</t>
  </si>
  <si>
    <t>RIS2025-03-0037</t>
  </si>
  <si>
    <t>RIS2025-03-0038</t>
  </si>
  <si>
    <t>RIS2025-03-0039</t>
  </si>
  <si>
    <t>RIS2025-03-0040</t>
  </si>
  <si>
    <t>RIS2025-03-0041</t>
  </si>
  <si>
    <t>RIS2025-03-0042</t>
  </si>
  <si>
    <t>RIS2025-03-0043</t>
  </si>
  <si>
    <t>RIS2025-03-0044</t>
  </si>
  <si>
    <t>Incoming Qty2</t>
  </si>
  <si>
    <t>Incoming Unit Cost3</t>
  </si>
  <si>
    <t>Incoming Total Value4</t>
  </si>
  <si>
    <t>March 2025 - Issued Qty</t>
  </si>
  <si>
    <t>RIS2025-03-0045</t>
  </si>
  <si>
    <t>RIS2025-03-0046</t>
  </si>
  <si>
    <t>RIS2025-03-0047</t>
  </si>
  <si>
    <t>RIS2025-03-0049</t>
  </si>
  <si>
    <t>March 2025 - Issued Value6</t>
  </si>
  <si>
    <t>March 2025 - Balance Qty7</t>
  </si>
  <si>
    <t>March 2025 - Total Value8</t>
  </si>
  <si>
    <t>RIS2025-03-0048</t>
  </si>
  <si>
    <t>RIS2025-03-0050</t>
  </si>
  <si>
    <t>RIS2025-03-0051</t>
  </si>
  <si>
    <t>RIS2025-03-0052</t>
  </si>
  <si>
    <t>RIS2025-03-0053</t>
  </si>
  <si>
    <t>RIS2025-03-0054</t>
  </si>
  <si>
    <t>RIS2025-03-0055</t>
  </si>
  <si>
    <t>Heavy-Duty Handheld Cutter</t>
  </si>
  <si>
    <t>March 2025 - Balance Qty</t>
  </si>
  <si>
    <t>March 2025 - Issued Value</t>
  </si>
  <si>
    <t xml:space="preserve"> Incoming Qty</t>
  </si>
  <si>
    <t xml:space="preserve"> Incoming Unit Cost</t>
  </si>
  <si>
    <t xml:space="preserve"> Incoming Total Value</t>
  </si>
  <si>
    <t>March 2025 - Total Value</t>
  </si>
  <si>
    <t>RIS2025-03-0035</t>
  </si>
  <si>
    <t>RIS2025-03-0056</t>
  </si>
  <si>
    <t>RIS2025-03-0057</t>
  </si>
  <si>
    <t>RIS2025-03-0058</t>
  </si>
  <si>
    <t>x ---------- Page 1 of 2 ---------- x</t>
  </si>
  <si>
    <t>x ---------- Page 2 of 2 ---------- x</t>
  </si>
  <si>
    <t>04/30/2025</t>
  </si>
  <si>
    <t>RSMI2025-04-0059</t>
  </si>
  <si>
    <t xml:space="preserve">April 2025 - Issued Qty </t>
  </si>
  <si>
    <t>April 2025 - Issued Value</t>
  </si>
  <si>
    <t>April 2025 - Balance Qty</t>
  </si>
  <si>
    <t>April 2025 - Total Value</t>
  </si>
  <si>
    <t>RIS2025-04-0059</t>
  </si>
  <si>
    <t>RIS2025-04-0060</t>
  </si>
  <si>
    <t>RIS2025-04-0061</t>
  </si>
  <si>
    <t>RIS2025-04-0062</t>
  </si>
  <si>
    <t>RIS2025-04-0063</t>
  </si>
  <si>
    <t>RIS2025-04-0064</t>
  </si>
  <si>
    <t>RIS2025-04-0065</t>
  </si>
  <si>
    <t>RIS2025-04-0066</t>
  </si>
  <si>
    <t>RIS2025-04-0067</t>
  </si>
  <si>
    <t>RIS2025-04-0068</t>
  </si>
  <si>
    <t>RIS2025-04-0069</t>
  </si>
  <si>
    <t>RIS2025-04-0071</t>
  </si>
  <si>
    <t>RIS2025-04-0072</t>
  </si>
  <si>
    <t>RIS2025-04-0073</t>
  </si>
  <si>
    <t>RIS2025-04-0074</t>
  </si>
  <si>
    <t>RIS2025-04-0075</t>
  </si>
  <si>
    <t>RIS2025-04-0076</t>
  </si>
  <si>
    <t>RIS2025-04-0078</t>
  </si>
  <si>
    <t>RIS2025-04-0079</t>
  </si>
  <si>
    <t>RIS2025-04-0081</t>
  </si>
  <si>
    <t>RIS2025-04-0077</t>
  </si>
  <si>
    <t>RIS2025-04-0080</t>
  </si>
  <si>
    <t>RIS2025-04-0083</t>
  </si>
  <si>
    <t xml:space="preserve">Incoming Qty </t>
  </si>
  <si>
    <t xml:space="preserve">Incoming Unit Cost </t>
  </si>
  <si>
    <t xml:space="preserve">Incoming Total Value </t>
  </si>
  <si>
    <t>RIS2025-04-0070</t>
  </si>
  <si>
    <t>RIS2025-04-0082</t>
  </si>
  <si>
    <t>RIS2025-04-0085</t>
  </si>
  <si>
    <t>RIS2025-04-0086</t>
  </si>
  <si>
    <t>RIS2025-04-0089</t>
  </si>
  <si>
    <t>RIS2025-04-0090</t>
  </si>
  <si>
    <t>RIS2025-04-0091</t>
  </si>
  <si>
    <t>RIS2025-04-0092</t>
  </si>
  <si>
    <t>RIS2025-04-0093</t>
  </si>
  <si>
    <t>RIS2025-04-0094</t>
  </si>
  <si>
    <t>RIS2025-04-0095</t>
  </si>
  <si>
    <t>RIS2025-04-0096</t>
  </si>
  <si>
    <t>RIS2025-04-0098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</si>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</sst>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mm\.dd\.yyyy"/>
    <numFmt numFmtId="167" formatCode="_-* #,##0_-;\-* #,##0_-;_-* &quot;-&quot;??_-;_-@_-"/>
    <numFmt numFmtId="168" formatCode="@\ * \:"/>
    <numFmt numFmtId="169" formatCode="mmmm\ yyyy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masis MT Pro"/>
      <family val="1"/>
    </font>
    <font>
      <sz val="11"/>
      <color theme="1"/>
      <name val="Amasis MT Pro"/>
      <family val="1"/>
    </font>
    <font>
      <b/>
      <sz val="10"/>
      <color theme="1"/>
      <name val="Amasis MT Pro"/>
      <family val="1"/>
    </font>
    <font>
      <sz val="10"/>
      <color theme="1"/>
      <name val="Amasis MT Pro"/>
      <family val="1"/>
    </font>
    <font>
      <b/>
      <sz val="18"/>
      <color theme="1"/>
      <name val="Amasis MT Pro"/>
      <family val="1"/>
    </font>
    <font>
      <i/>
      <sz val="8"/>
      <color theme="1"/>
      <name val="Amasis MT Pro"/>
      <family val="1"/>
    </font>
    <font>
      <sz val="9"/>
      <color theme="1"/>
      <name val="Amasis MT Pro"/>
      <family val="1"/>
    </font>
    <font>
      <sz val="8"/>
      <name val="Amasis MT Pro"/>
      <family val="1"/>
    </font>
    <font>
      <sz val="9"/>
      <name val="Amasis MT Pro"/>
      <family val="1"/>
    </font>
    <font>
      <i/>
      <sz val="9"/>
      <color theme="1"/>
      <name val="Amasis MT Pro"/>
      <family val="1"/>
    </font>
    <font>
      <b/>
      <sz val="6"/>
      <color theme="1"/>
      <name val="Amasis MT Pro"/>
      <family val="1"/>
    </font>
    <font>
      <sz val="6"/>
      <color theme="1"/>
      <name val="Amasis MT Pro"/>
      <family val="1"/>
    </font>
    <font>
      <sz val="8"/>
      <color theme="1"/>
      <name val="Amasis MT Pro"/>
      <family val="1"/>
    </font>
    <font>
      <sz val="8"/>
      <color theme="1"/>
      <name val="Amasis MT Std Light"/>
      <family val="1"/>
    </font>
    <font>
      <sz val="8"/>
      <name val="Amasis MT Std Light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masis MT Pro Light"/>
      <family val="1"/>
    </font>
    <font>
      <b/>
      <sz val="18"/>
      <color theme="1"/>
      <name val="Amasis MT Pro Black"/>
      <family val="1"/>
    </font>
    <font>
      <sz val="24"/>
      <color theme="1"/>
      <name val="Amasis MT Pro Black"/>
      <family val="1"/>
    </font>
    <font>
      <sz val="11"/>
      <color theme="1"/>
      <name val="Amasis MT Pro Light"/>
      <family val="1"/>
    </font>
    <font>
      <b/>
      <sz val="12"/>
      <color theme="1"/>
      <name val="Amasis MT Pro Medium"/>
      <family val="1"/>
    </font>
    <font>
      <i/>
      <sz val="10"/>
      <color theme="1"/>
      <name val="Amasis MT Pro Light"/>
      <family val="1"/>
    </font>
    <font>
      <b/>
      <u/>
      <sz val="10"/>
      <color theme="1"/>
      <name val="Amasis MT Pro Light"/>
      <family val="1"/>
    </font>
    <font>
      <b/>
      <sz val="10"/>
      <color theme="1"/>
      <name val="Amasis MT Pro Light"/>
      <family val="1"/>
    </font>
    <font>
      <sz val="8"/>
      <color theme="1"/>
      <name val="Amasis MT Pro Medium"/>
      <family val="1"/>
    </font>
    <font>
      <b/>
      <sz val="12"/>
      <color theme="1"/>
      <name val="Amasis MT Pro Light"/>
      <family val="1"/>
    </font>
    <font>
      <sz val="10"/>
      <name val="Amasis MT Pro Light"/>
      <family val="1"/>
    </font>
    <font>
      <sz val="11"/>
      <name val="Amasis MT Pro Light"/>
      <family val="1"/>
    </font>
    <font>
      <sz val="8"/>
      <color theme="1"/>
      <name val="Amasis MT Std Light"/>
    </font>
    <font>
      <b/>
      <sz val="8"/>
      <color theme="1"/>
      <name val="Amasis MT Std Light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theme="6" tint="0.79998168889431442"/>
      </patternFill>
    </fill>
  </fills>
  <borders count="8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/>
      <top/>
      <bottom style="hair">
        <color rgb="FF000000"/>
      </bottom>
      <diagonal/>
    </border>
    <border>
      <left/>
      <right style="thin">
        <color indexed="64"/>
      </right>
      <top/>
      <bottom style="hair">
        <color rgb="FF000000"/>
      </bottom>
      <diagonal/>
    </border>
    <border>
      <left/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indexed="64"/>
      </left>
      <right/>
      <top style="hair">
        <color rgb="FF000000"/>
      </top>
      <bottom/>
      <diagonal/>
    </border>
    <border>
      <left/>
      <right style="thick">
        <color auto="1"/>
      </right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9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auto="1"/>
      </left>
      <right style="thin">
        <color indexed="64"/>
      </right>
      <top/>
      <bottom/>
      <diagonal/>
    </border>
    <border>
      <left/>
      <right/>
      <top style="hair">
        <color rgb="FF000000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55">
    <xf numFmtId="0" fontId="0" fillId="0" borderId="0" xfId="0"/>
    <xf numFmtId="0" fontId="4" fillId="2" borderId="4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0" xfId="0" applyFont="1" applyFill="1"/>
    <xf numFmtId="0" fontId="4" fillId="2" borderId="0" xfId="0" applyFont="1" applyFill="1" applyAlignment="1">
      <alignment horizontal="right" vertical="center"/>
    </xf>
    <xf numFmtId="0" fontId="5" fillId="2" borderId="8" xfId="0" quotePrefix="1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indent="1"/>
    </xf>
    <xf numFmtId="0" fontId="3" fillId="2" borderId="2" xfId="0" applyFont="1" applyFill="1" applyBorder="1"/>
    <xf numFmtId="0" fontId="3" fillId="2" borderId="3" xfId="0" applyFont="1" applyFill="1" applyBorder="1"/>
    <xf numFmtId="0" fontId="3" fillId="0" borderId="0" xfId="0" applyFont="1"/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/>
    <xf numFmtId="0" fontId="3" fillId="2" borderId="5" xfId="0" applyFont="1" applyFill="1" applyBorder="1"/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3" fillId="0" borderId="0" xfId="0" applyFont="1"/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left" vertical="center"/>
    </xf>
    <xf numFmtId="0" fontId="5" fillId="2" borderId="25" xfId="0" applyFont="1" applyFill="1" applyBorder="1" applyAlignment="1">
      <alignment horizontal="left" vertical="center" wrapText="1"/>
    </xf>
    <xf numFmtId="165" fontId="5" fillId="2" borderId="25" xfId="1" applyNumberFormat="1" applyFont="1" applyFill="1" applyBorder="1" applyAlignment="1">
      <alignment horizontal="right" vertical="center"/>
    </xf>
    <xf numFmtId="43" fontId="4" fillId="2" borderId="26" xfId="1" applyFont="1" applyFill="1" applyBorder="1" applyAlignment="1">
      <alignment horizontal="right" vertical="center"/>
    </xf>
    <xf numFmtId="164" fontId="4" fillId="2" borderId="27" xfId="0" applyNumberFormat="1" applyFont="1" applyFill="1" applyBorder="1" applyAlignment="1">
      <alignment horizontal="right" vertical="center"/>
    </xf>
    <xf numFmtId="0" fontId="8" fillId="0" borderId="28" xfId="0" applyFont="1" applyBorder="1" applyAlignment="1">
      <alignment horizontal="left" vertical="top" indent="1"/>
    </xf>
    <xf numFmtId="0" fontId="5" fillId="0" borderId="29" xfId="0" applyFont="1" applyBorder="1" applyAlignment="1">
      <alignment horizontal="center" vertical="center"/>
    </xf>
    <xf numFmtId="0" fontId="5" fillId="0" borderId="29" xfId="0" applyFont="1" applyBorder="1" applyAlignment="1">
      <alignment horizontal="left" vertical="center" indent="1"/>
    </xf>
    <xf numFmtId="0" fontId="9" fillId="0" borderId="29" xfId="0" applyFont="1" applyBorder="1" applyAlignment="1">
      <alignment horizontal="left" vertical="top" wrapText="1" indent="1"/>
    </xf>
    <xf numFmtId="0" fontId="10" fillId="0" borderId="29" xfId="0" applyFont="1" applyBorder="1" applyAlignment="1">
      <alignment horizontal="left" vertical="top" indent="1"/>
    </xf>
    <xf numFmtId="165" fontId="8" fillId="0" borderId="29" xfId="1" applyNumberFormat="1" applyFont="1" applyFill="1" applyBorder="1" applyAlignment="1">
      <alignment horizontal="right" vertical="top"/>
    </xf>
    <xf numFmtId="43" fontId="8" fillId="0" borderId="29" xfId="1" applyFont="1" applyFill="1" applyBorder="1" applyAlignment="1">
      <alignment horizontal="right" vertical="top"/>
    </xf>
    <xf numFmtId="164" fontId="8" fillId="0" borderId="30" xfId="0" applyNumberFormat="1" applyFont="1" applyBorder="1" applyAlignment="1">
      <alignment horizontal="right" vertical="top"/>
    </xf>
    <xf numFmtId="0" fontId="14" fillId="0" borderId="0" xfId="0" applyFont="1"/>
    <xf numFmtId="0" fontId="15" fillId="2" borderId="16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left" vertical="center"/>
    </xf>
    <xf numFmtId="0" fontId="15" fillId="0" borderId="8" xfId="0" applyFont="1" applyBorder="1" applyAlignment="1">
      <alignment horizontal="left" vertical="center" wrapText="1"/>
    </xf>
    <xf numFmtId="0" fontId="15" fillId="2" borderId="17" xfId="0" applyFont="1" applyFill="1" applyBorder="1" applyAlignment="1">
      <alignment horizontal="left" vertical="center" indent="1"/>
    </xf>
    <xf numFmtId="164" fontId="15" fillId="2" borderId="18" xfId="0" applyNumberFormat="1" applyFont="1" applyFill="1" applyBorder="1" applyAlignment="1">
      <alignment horizontal="right" vertical="center"/>
    </xf>
    <xf numFmtId="0" fontId="15" fillId="0" borderId="0" xfId="0" applyFont="1"/>
    <xf numFmtId="0" fontId="16" fillId="0" borderId="8" xfId="0" applyFont="1" applyBorder="1" applyAlignment="1">
      <alignment vertical="center" wrapText="1"/>
    </xf>
    <xf numFmtId="0" fontId="16" fillId="0" borderId="17" xfId="0" applyFont="1" applyBorder="1" applyAlignment="1">
      <alignment horizontal="left" vertical="top" wrapText="1" indent="1"/>
    </xf>
    <xf numFmtId="165" fontId="15" fillId="2" borderId="17" xfId="1" applyNumberFormat="1" applyFont="1" applyFill="1" applyBorder="1" applyAlignment="1">
      <alignment horizontal="left" vertical="top" indent="1"/>
    </xf>
    <xf numFmtId="43" fontId="15" fillId="2" borderId="17" xfId="1" applyFont="1" applyFill="1" applyBorder="1" applyAlignment="1">
      <alignment horizontal="left" vertical="top" indent="1"/>
    </xf>
    <xf numFmtId="0" fontId="16" fillId="2" borderId="17" xfId="0" applyFont="1" applyFill="1" applyBorder="1" applyAlignment="1">
      <alignment horizontal="left" vertical="top" indent="1"/>
    </xf>
    <xf numFmtId="0" fontId="15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horizontal="left" vertical="center" indent="1"/>
    </xf>
    <xf numFmtId="0" fontId="16" fillId="0" borderId="17" xfId="0" applyFont="1" applyBorder="1" applyAlignment="1">
      <alignment horizontal="left" vertical="top" indent="1"/>
    </xf>
    <xf numFmtId="165" fontId="15" fillId="0" borderId="17" xfId="1" applyNumberFormat="1" applyFont="1" applyFill="1" applyBorder="1" applyAlignment="1">
      <alignment horizontal="right" vertical="top"/>
    </xf>
    <xf numFmtId="43" fontId="15" fillId="0" borderId="17" xfId="1" applyFont="1" applyFill="1" applyBorder="1" applyAlignment="1">
      <alignment horizontal="right" vertical="top"/>
    </xf>
    <xf numFmtId="0" fontId="15" fillId="0" borderId="16" xfId="0" applyFont="1" applyBorder="1" applyAlignment="1">
      <alignment horizontal="left" vertical="top" indent="1"/>
    </xf>
    <xf numFmtId="164" fontId="15" fillId="0" borderId="18" xfId="0" applyNumberFormat="1" applyFont="1" applyBorder="1" applyAlignment="1">
      <alignment horizontal="right" vertical="top"/>
    </xf>
    <xf numFmtId="0" fontId="15" fillId="2" borderId="16" xfId="0" applyFont="1" applyFill="1" applyBorder="1" applyAlignment="1">
      <alignment horizontal="center" vertical="top"/>
    </xf>
    <xf numFmtId="43" fontId="15" fillId="2" borderId="17" xfId="1" applyFont="1" applyFill="1" applyBorder="1" applyAlignment="1">
      <alignment horizontal="left" vertical="top"/>
    </xf>
    <xf numFmtId="0" fontId="15" fillId="0" borderId="0" xfId="0" applyFont="1" applyAlignment="1">
      <alignment vertical="top"/>
    </xf>
    <xf numFmtId="43" fontId="15" fillId="2" borderId="18" xfId="1" applyFont="1" applyFill="1" applyBorder="1" applyAlignment="1">
      <alignment horizontal="right" vertical="top"/>
    </xf>
    <xf numFmtId="167" fontId="15" fillId="2" borderId="17" xfId="1" applyNumberFormat="1" applyFont="1" applyFill="1" applyBorder="1" applyAlignment="1">
      <alignment horizontal="left" vertical="top"/>
    </xf>
    <xf numFmtId="0" fontId="15" fillId="0" borderId="8" xfId="1" applyNumberFormat="1" applyFont="1" applyBorder="1" applyAlignment="1">
      <alignment vertical="top" wrapText="1"/>
    </xf>
    <xf numFmtId="167" fontId="15" fillId="2" borderId="17" xfId="1" applyNumberFormat="1" applyFont="1" applyFill="1" applyBorder="1" applyAlignment="1">
      <alignment horizontal="left" vertical="center" indent="1"/>
    </xf>
    <xf numFmtId="43" fontId="0" fillId="0" borderId="0" xfId="1" applyFont="1"/>
    <xf numFmtId="0" fontId="18" fillId="0" borderId="0" xfId="0" applyFont="1"/>
    <xf numFmtId="168" fontId="0" fillId="0" borderId="0" xfId="0" applyNumberFormat="1"/>
    <xf numFmtId="164" fontId="18" fillId="0" borderId="0" xfId="0" applyNumberFormat="1" applyFont="1"/>
    <xf numFmtId="0" fontId="0" fillId="0" borderId="0" xfId="0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43" fontId="15" fillId="0" borderId="0" xfId="1" applyFont="1"/>
    <xf numFmtId="0" fontId="15" fillId="0" borderId="8" xfId="1" applyNumberFormat="1" applyFont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12" fillId="0" borderId="26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top"/>
    </xf>
    <xf numFmtId="0" fontId="16" fillId="0" borderId="17" xfId="0" applyFont="1" applyBorder="1" applyAlignment="1">
      <alignment horizontal="center" vertical="top"/>
    </xf>
    <xf numFmtId="0" fontId="16" fillId="0" borderId="17" xfId="0" applyFont="1" applyBorder="1" applyAlignment="1">
      <alignment horizontal="left" vertical="top"/>
    </xf>
    <xf numFmtId="0" fontId="16" fillId="0" borderId="8" xfId="1" applyNumberFormat="1" applyFont="1" applyFill="1" applyBorder="1" applyAlignment="1">
      <alignment vertical="top" wrapText="1"/>
    </xf>
    <xf numFmtId="43" fontId="16" fillId="0" borderId="17" xfId="1" applyFont="1" applyFill="1" applyBorder="1" applyAlignment="1">
      <alignment horizontal="left" vertical="top"/>
    </xf>
    <xf numFmtId="43" fontId="16" fillId="0" borderId="33" xfId="1" applyFont="1" applyFill="1" applyBorder="1" applyAlignment="1">
      <alignment horizontal="right" vertical="top"/>
    </xf>
    <xf numFmtId="0" fontId="16" fillId="0" borderId="17" xfId="0" applyFont="1" applyBorder="1" applyAlignment="1">
      <alignment horizontal="center" vertical="center"/>
    </xf>
    <xf numFmtId="0" fontId="16" fillId="0" borderId="17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 wrapText="1"/>
    </xf>
    <xf numFmtId="43" fontId="16" fillId="0" borderId="17" xfId="1" applyFont="1" applyFill="1" applyBorder="1" applyAlignment="1">
      <alignment horizontal="left" vertical="center"/>
    </xf>
    <xf numFmtId="167" fontId="16" fillId="0" borderId="17" xfId="1" applyNumberFormat="1" applyFont="1" applyFill="1" applyBorder="1" applyAlignment="1">
      <alignment horizontal="left" vertical="top"/>
    </xf>
    <xf numFmtId="0" fontId="16" fillId="0" borderId="8" xfId="1" applyNumberFormat="1" applyFont="1" applyFill="1" applyBorder="1" applyAlignment="1">
      <alignment horizontal="left" vertical="center" wrapText="1"/>
    </xf>
    <xf numFmtId="167" fontId="16" fillId="0" borderId="17" xfId="1" applyNumberFormat="1" applyFont="1" applyFill="1" applyBorder="1" applyAlignment="1">
      <alignment horizontal="left" vertical="center" indent="1"/>
    </xf>
    <xf numFmtId="0" fontId="16" fillId="0" borderId="36" xfId="0" applyFont="1" applyBorder="1" applyAlignment="1">
      <alignment horizontal="center" vertical="top"/>
    </xf>
    <xf numFmtId="0" fontId="16" fillId="0" borderId="37" xfId="0" applyFont="1" applyBorder="1" applyAlignment="1">
      <alignment horizontal="center" vertical="center"/>
    </xf>
    <xf numFmtId="0" fontId="16" fillId="0" borderId="37" xfId="0" applyFont="1" applyBorder="1" applyAlignment="1">
      <alignment horizontal="left" vertical="center"/>
    </xf>
    <xf numFmtId="0" fontId="16" fillId="0" borderId="38" xfId="1" applyNumberFormat="1" applyFont="1" applyFill="1" applyBorder="1" applyAlignment="1">
      <alignment horizontal="left" vertical="center" wrapText="1"/>
    </xf>
    <xf numFmtId="43" fontId="16" fillId="0" borderId="37" xfId="1" applyFont="1" applyFill="1" applyBorder="1" applyAlignment="1">
      <alignment horizontal="left" vertical="top"/>
    </xf>
    <xf numFmtId="167" fontId="16" fillId="0" borderId="37" xfId="1" applyNumberFormat="1" applyFont="1" applyFill="1" applyBorder="1" applyAlignment="1">
      <alignment horizontal="left" vertical="center" indent="1"/>
    </xf>
    <xf numFmtId="43" fontId="16" fillId="0" borderId="39" xfId="1" applyFont="1" applyFill="1" applyBorder="1" applyAlignment="1">
      <alignment horizontal="right" vertical="top"/>
    </xf>
    <xf numFmtId="164" fontId="0" fillId="0" borderId="0" xfId="0" applyNumberFormat="1"/>
    <xf numFmtId="0" fontId="19" fillId="2" borderId="1" xfId="0" applyFont="1" applyFill="1" applyBorder="1"/>
    <xf numFmtId="0" fontId="19" fillId="2" borderId="2" xfId="0" applyFont="1" applyFill="1" applyBorder="1"/>
    <xf numFmtId="164" fontId="19" fillId="2" borderId="2" xfId="2" applyFont="1" applyFill="1" applyBorder="1"/>
    <xf numFmtId="0" fontId="19" fillId="2" borderId="3" xfId="0" applyFont="1" applyFill="1" applyBorder="1"/>
    <xf numFmtId="0" fontId="19" fillId="0" borderId="0" xfId="0" applyFont="1"/>
    <xf numFmtId="164" fontId="19" fillId="0" borderId="0" xfId="2" applyFont="1"/>
    <xf numFmtId="0" fontId="19" fillId="2" borderId="4" xfId="0" applyFont="1" applyFill="1" applyBorder="1"/>
    <xf numFmtId="164" fontId="19" fillId="2" borderId="0" xfId="2" applyFont="1" applyFill="1" applyBorder="1"/>
    <xf numFmtId="0" fontId="19" fillId="2" borderId="5" xfId="0" applyFont="1" applyFill="1" applyBorder="1"/>
    <xf numFmtId="0" fontId="22" fillId="0" borderId="0" xfId="0" applyFont="1"/>
    <xf numFmtId="0" fontId="22" fillId="2" borderId="4" xfId="0" applyFont="1" applyFill="1" applyBorder="1" applyAlignment="1">
      <alignment horizontal="left" indent="3"/>
    </xf>
    <xf numFmtId="164" fontId="22" fillId="2" borderId="0" xfId="2" applyFont="1" applyFill="1" applyBorder="1"/>
    <xf numFmtId="0" fontId="22" fillId="2" borderId="5" xfId="0" applyFont="1" applyFill="1" applyBorder="1"/>
    <xf numFmtId="0" fontId="19" fillId="2" borderId="4" xfId="0" applyFont="1" applyFill="1" applyBorder="1" applyAlignment="1">
      <alignment horizontal="left" indent="3"/>
    </xf>
    <xf numFmtId="0" fontId="19" fillId="0" borderId="0" xfId="0" applyFont="1" applyAlignment="1">
      <alignment horizontal="center" vertical="center" wrapText="1"/>
    </xf>
    <xf numFmtId="0" fontId="27" fillId="2" borderId="45" xfId="0" applyFont="1" applyFill="1" applyBorder="1" applyAlignment="1">
      <alignment horizontal="center" vertical="center" wrapText="1"/>
    </xf>
    <xf numFmtId="0" fontId="19" fillId="2" borderId="47" xfId="0" applyFont="1" applyFill="1" applyBorder="1" applyAlignment="1">
      <alignment horizontal="left" indent="1"/>
    </xf>
    <xf numFmtId="0" fontId="19" fillId="2" borderId="48" xfId="0" applyFont="1" applyFill="1" applyBorder="1"/>
    <xf numFmtId="0" fontId="19" fillId="2" borderId="48" xfId="0" applyFont="1" applyFill="1" applyBorder="1" applyAlignment="1">
      <alignment horizontal="left" indent="1"/>
    </xf>
    <xf numFmtId="165" fontId="19" fillId="2" borderId="48" xfId="0" applyNumberFormat="1" applyFont="1" applyFill="1" applyBorder="1" applyAlignment="1">
      <alignment horizontal="left" vertical="center" indent="1"/>
    </xf>
    <xf numFmtId="164" fontId="19" fillId="2" borderId="48" xfId="2" applyFont="1" applyFill="1" applyBorder="1" applyAlignment="1">
      <alignment horizontal="left" vertical="center" indent="1"/>
    </xf>
    <xf numFmtId="0" fontId="19" fillId="2" borderId="49" xfId="0" applyFont="1" applyFill="1" applyBorder="1" applyAlignment="1">
      <alignment horizontal="left" indent="1"/>
    </xf>
    <xf numFmtId="0" fontId="19" fillId="0" borderId="0" xfId="0" applyFont="1" applyAlignment="1">
      <alignment horizontal="center" vertical="center"/>
    </xf>
    <xf numFmtId="164" fontId="19" fillId="2" borderId="48" xfId="2" applyFont="1" applyFill="1" applyBorder="1" applyAlignment="1">
      <alignment horizontal="left" indent="1"/>
    </xf>
    <xf numFmtId="165" fontId="19" fillId="2" borderId="48" xfId="2" applyNumberFormat="1" applyFont="1" applyFill="1" applyBorder="1" applyAlignment="1">
      <alignment horizontal="left" vertical="center" indent="2"/>
    </xf>
    <xf numFmtId="165" fontId="19" fillId="2" borderId="48" xfId="2" applyNumberFormat="1" applyFont="1" applyFill="1" applyBorder="1" applyAlignment="1">
      <alignment horizontal="left" indent="2"/>
    </xf>
    <xf numFmtId="0" fontId="19" fillId="2" borderId="28" xfId="0" applyFont="1" applyFill="1" applyBorder="1" applyAlignment="1">
      <alignment horizontal="left" indent="1"/>
    </xf>
    <xf numFmtId="0" fontId="19" fillId="2" borderId="29" xfId="0" applyFont="1" applyFill="1" applyBorder="1" applyAlignment="1">
      <alignment horizontal="left" indent="1"/>
    </xf>
    <xf numFmtId="0" fontId="19" fillId="2" borderId="29" xfId="0" applyFont="1" applyFill="1" applyBorder="1"/>
    <xf numFmtId="164" fontId="19" fillId="2" borderId="29" xfId="2" applyFont="1" applyFill="1" applyBorder="1" applyAlignment="1">
      <alignment horizontal="left" indent="1"/>
    </xf>
    <xf numFmtId="165" fontId="19" fillId="2" borderId="29" xfId="2" applyNumberFormat="1" applyFont="1" applyFill="1" applyBorder="1" applyAlignment="1">
      <alignment horizontal="left" vertical="center" indent="2"/>
    </xf>
    <xf numFmtId="165" fontId="19" fillId="2" borderId="29" xfId="2" applyNumberFormat="1" applyFont="1" applyFill="1" applyBorder="1" applyAlignment="1">
      <alignment horizontal="left" indent="2"/>
    </xf>
    <xf numFmtId="165" fontId="19" fillId="2" borderId="29" xfId="0" applyNumberFormat="1" applyFont="1" applyFill="1" applyBorder="1" applyAlignment="1">
      <alignment horizontal="left" vertical="center" indent="1"/>
    </xf>
    <xf numFmtId="164" fontId="19" fillId="2" borderId="29" xfId="2" applyFont="1" applyFill="1" applyBorder="1" applyAlignment="1">
      <alignment horizontal="left" vertical="center" indent="1"/>
    </xf>
    <xf numFmtId="0" fontId="19" fillId="2" borderId="30" xfId="0" applyFont="1" applyFill="1" applyBorder="1" applyAlignment="1">
      <alignment horizontal="left" indent="1"/>
    </xf>
    <xf numFmtId="0" fontId="19" fillId="2" borderId="19" xfId="0" applyFont="1" applyFill="1" applyBorder="1"/>
    <xf numFmtId="0" fontId="19" fillId="2" borderId="20" xfId="0" applyFont="1" applyFill="1" applyBorder="1"/>
    <xf numFmtId="164" fontId="19" fillId="2" borderId="20" xfId="2" applyFont="1" applyFill="1" applyBorder="1"/>
    <xf numFmtId="0" fontId="19" fillId="2" borderId="21" xfId="0" applyFont="1" applyFill="1" applyBorder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164" fontId="19" fillId="0" borderId="0" xfId="2" applyFont="1" applyAlignment="1">
      <alignment horizontal="left"/>
    </xf>
    <xf numFmtId="164" fontId="22" fillId="0" borderId="0" xfId="2" applyFont="1" applyAlignment="1">
      <alignment horizontal="left"/>
    </xf>
    <xf numFmtId="164" fontId="19" fillId="0" borderId="0" xfId="2" applyFont="1" applyAlignment="1">
      <alignment horizontal="left" vertical="center" wrapText="1"/>
    </xf>
    <xf numFmtId="164" fontId="19" fillId="0" borderId="0" xfId="2" applyFont="1" applyAlignment="1">
      <alignment horizontal="left" vertical="center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29" fillId="0" borderId="0" xfId="0" applyFont="1" applyAlignment="1">
      <alignment horizontal="left" vertical="center" wrapText="1"/>
    </xf>
    <xf numFmtId="164" fontId="29" fillId="0" borderId="0" xfId="0" applyNumberFormat="1" applyFont="1" applyAlignment="1">
      <alignment horizontal="left"/>
    </xf>
    <xf numFmtId="164" fontId="29" fillId="0" borderId="0" xfId="0" applyNumberFormat="1" applyFont="1" applyAlignment="1">
      <alignment horizontal="left" vertical="center"/>
    </xf>
    <xf numFmtId="0" fontId="19" fillId="2" borderId="48" xfId="2" applyNumberFormat="1" applyFont="1" applyFill="1" applyBorder="1" applyAlignment="1">
      <alignment horizontal="left" vertical="top" wrapText="1"/>
    </xf>
    <xf numFmtId="0" fontId="19" fillId="2" borderId="48" xfId="0" applyFont="1" applyFill="1" applyBorder="1" applyAlignment="1">
      <alignment vertical="top"/>
    </xf>
    <xf numFmtId="0" fontId="19" fillId="2" borderId="48" xfId="0" applyFont="1" applyFill="1" applyBorder="1" applyAlignment="1">
      <alignment horizontal="left" vertical="top"/>
    </xf>
    <xf numFmtId="165" fontId="19" fillId="2" borderId="17" xfId="2" applyNumberFormat="1" applyFont="1" applyFill="1" applyBorder="1" applyAlignment="1">
      <alignment horizontal="left" vertical="top"/>
    </xf>
    <xf numFmtId="165" fontId="19" fillId="2" borderId="48" xfId="0" applyNumberFormat="1" applyFont="1" applyFill="1" applyBorder="1" applyAlignment="1">
      <alignment horizontal="left" vertical="top"/>
    </xf>
    <xf numFmtId="0" fontId="19" fillId="2" borderId="49" xfId="0" applyFont="1" applyFill="1" applyBorder="1" applyAlignment="1">
      <alignment horizontal="left" vertical="top"/>
    </xf>
    <xf numFmtId="0" fontId="19" fillId="2" borderId="17" xfId="0" applyFont="1" applyFill="1" applyBorder="1" applyAlignment="1">
      <alignment horizontal="center" vertical="top"/>
    </xf>
    <xf numFmtId="0" fontId="19" fillId="2" borderId="18" xfId="0" applyFont="1" applyFill="1" applyBorder="1" applyAlignment="1">
      <alignment horizontal="left" vertical="top"/>
    </xf>
    <xf numFmtId="0" fontId="19" fillId="2" borderId="48" xfId="0" applyFont="1" applyFill="1" applyBorder="1" applyAlignment="1">
      <alignment horizontal="center" vertical="top"/>
    </xf>
    <xf numFmtId="164" fontId="19" fillId="2" borderId="48" xfId="2" applyFont="1" applyFill="1" applyBorder="1" applyAlignment="1">
      <alignment horizontal="left" vertical="top"/>
    </xf>
    <xf numFmtId="164" fontId="26" fillId="2" borderId="9" xfId="2" applyFont="1" applyFill="1" applyBorder="1" applyAlignment="1">
      <alignment vertical="top"/>
    </xf>
    <xf numFmtId="164" fontId="19" fillId="2" borderId="47" xfId="0" applyNumberFormat="1" applyFont="1" applyFill="1" applyBorder="1" applyAlignment="1">
      <alignment horizontal="center" vertical="top"/>
    </xf>
    <xf numFmtId="0" fontId="19" fillId="2" borderId="0" xfId="0" applyFont="1" applyFill="1"/>
    <xf numFmtId="0" fontId="22" fillId="2" borderId="0" xfId="0" applyFont="1" applyFill="1"/>
    <xf numFmtId="0" fontId="19" fillId="0" borderId="0" xfId="0" applyFont="1" applyAlignment="1">
      <alignment vertical="top"/>
    </xf>
    <xf numFmtId="0" fontId="26" fillId="2" borderId="0" xfId="0" applyFont="1" applyFill="1"/>
    <xf numFmtId="0" fontId="28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top" wrapText="1"/>
    </xf>
    <xf numFmtId="0" fontId="16" fillId="0" borderId="0" xfId="0" applyFont="1" applyAlignment="1">
      <alignment vertical="top"/>
    </xf>
    <xf numFmtId="0" fontId="16" fillId="0" borderId="0" xfId="0" applyFont="1"/>
    <xf numFmtId="0" fontId="12" fillId="0" borderId="52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top"/>
    </xf>
    <xf numFmtId="0" fontId="16" fillId="0" borderId="54" xfId="0" applyFont="1" applyBorder="1" applyAlignment="1">
      <alignment horizontal="center" vertical="top"/>
    </xf>
    <xf numFmtId="0" fontId="16" fillId="0" borderId="54" xfId="0" applyFont="1" applyBorder="1" applyAlignment="1">
      <alignment horizontal="left" vertical="top"/>
    </xf>
    <xf numFmtId="0" fontId="16" fillId="0" borderId="55" xfId="1" applyNumberFormat="1" applyFont="1" applyFill="1" applyBorder="1" applyAlignment="1">
      <alignment vertical="top" wrapText="1"/>
    </xf>
    <xf numFmtId="43" fontId="16" fillId="0" borderId="54" xfId="1" applyFont="1" applyFill="1" applyBorder="1" applyAlignment="1">
      <alignment horizontal="left" vertical="top"/>
    </xf>
    <xf numFmtId="43" fontId="16" fillId="0" borderId="56" xfId="1" applyFont="1" applyFill="1" applyBorder="1" applyAlignment="1">
      <alignment horizontal="right" vertical="top"/>
    </xf>
    <xf numFmtId="43" fontId="16" fillId="0" borderId="55" xfId="0" applyNumberFormat="1" applyFont="1" applyBorder="1" applyAlignment="1">
      <alignment vertical="top"/>
    </xf>
    <xf numFmtId="0" fontId="16" fillId="0" borderId="54" xfId="0" applyFont="1" applyBorder="1" applyAlignment="1">
      <alignment horizontal="center" vertical="center"/>
    </xf>
    <xf numFmtId="0" fontId="16" fillId="0" borderId="54" xfId="0" applyFont="1" applyBorder="1" applyAlignment="1">
      <alignment horizontal="left" vertical="center"/>
    </xf>
    <xf numFmtId="0" fontId="16" fillId="0" borderId="55" xfId="0" applyFont="1" applyBorder="1" applyAlignment="1">
      <alignment horizontal="left" vertical="center" wrapText="1"/>
    </xf>
    <xf numFmtId="43" fontId="16" fillId="0" borderId="54" xfId="1" applyFont="1" applyFill="1" applyBorder="1" applyAlignment="1">
      <alignment horizontal="left" vertical="center"/>
    </xf>
    <xf numFmtId="0" fontId="16" fillId="0" borderId="55" xfId="1" applyNumberFormat="1" applyFont="1" applyFill="1" applyBorder="1" applyAlignment="1">
      <alignment horizontal="left" vertical="center" wrapText="1"/>
    </xf>
    <xf numFmtId="43" fontId="16" fillId="0" borderId="54" xfId="1" applyFont="1" applyFill="1" applyBorder="1" applyAlignment="1">
      <alignment horizontal="left" vertical="center" indent="1"/>
    </xf>
    <xf numFmtId="43" fontId="16" fillId="0" borderId="55" xfId="0" applyNumberFormat="1" applyFont="1" applyBorder="1"/>
    <xf numFmtId="0" fontId="16" fillId="0" borderId="58" xfId="0" applyFont="1" applyBorder="1" applyAlignment="1">
      <alignment horizontal="center" vertical="center"/>
    </xf>
    <xf numFmtId="0" fontId="16" fillId="0" borderId="58" xfId="0" applyFont="1" applyBorder="1" applyAlignment="1">
      <alignment horizontal="left" vertical="center"/>
    </xf>
    <xf numFmtId="0" fontId="16" fillId="0" borderId="59" xfId="1" applyNumberFormat="1" applyFont="1" applyFill="1" applyBorder="1" applyAlignment="1">
      <alignment vertical="top" wrapText="1"/>
    </xf>
    <xf numFmtId="43" fontId="16" fillId="0" borderId="58" xfId="1" applyFont="1" applyFill="1" applyBorder="1" applyAlignment="1">
      <alignment horizontal="left" vertical="top"/>
    </xf>
    <xf numFmtId="43" fontId="16" fillId="0" borderId="60" xfId="1" applyFont="1" applyFill="1" applyBorder="1" applyAlignment="1">
      <alignment horizontal="right" vertical="top"/>
    </xf>
    <xf numFmtId="43" fontId="16" fillId="0" borderId="59" xfId="0" applyNumberFormat="1" applyFont="1" applyBorder="1"/>
    <xf numFmtId="43" fontId="16" fillId="0" borderId="0" xfId="1" applyFont="1" applyFill="1"/>
    <xf numFmtId="0" fontId="16" fillId="0" borderId="57" xfId="0" applyFont="1" applyBorder="1" applyAlignment="1">
      <alignment horizontal="center" vertical="top"/>
    </xf>
    <xf numFmtId="0" fontId="16" fillId="0" borderId="53" xfId="0" applyFont="1" applyBorder="1" applyAlignment="1">
      <alignment horizontal="center" vertical="center"/>
    </xf>
    <xf numFmtId="0" fontId="16" fillId="0" borderId="53" xfId="0" applyFont="1" applyBorder="1" applyAlignment="1">
      <alignment horizontal="left" vertical="center"/>
    </xf>
    <xf numFmtId="0" fontId="0" fillId="3" borderId="0" xfId="0" applyFill="1"/>
    <xf numFmtId="164" fontId="0" fillId="3" borderId="0" xfId="2" applyFont="1" applyFill="1"/>
    <xf numFmtId="43" fontId="0" fillId="3" borderId="40" xfId="1" applyFont="1" applyFill="1" applyBorder="1"/>
    <xf numFmtId="43" fontId="0" fillId="3" borderId="0" xfId="1" applyFont="1" applyFill="1" applyBorder="1"/>
    <xf numFmtId="164" fontId="0" fillId="3" borderId="0" xfId="0" applyNumberFormat="1" applyFill="1"/>
    <xf numFmtId="43" fontId="0" fillId="3" borderId="0" xfId="1" applyFont="1" applyFill="1"/>
    <xf numFmtId="0" fontId="0" fillId="0" borderId="61" xfId="0" applyBorder="1" applyAlignment="1">
      <alignment horizontal="center" vertical="center"/>
    </xf>
    <xf numFmtId="43" fontId="0" fillId="3" borderId="61" xfId="1" applyFont="1" applyFill="1" applyBorder="1"/>
    <xf numFmtId="164" fontId="0" fillId="0" borderId="0" xfId="2" applyFont="1" applyFill="1"/>
    <xf numFmtId="43" fontId="0" fillId="0" borderId="40" xfId="1" applyFont="1" applyFill="1" applyBorder="1"/>
    <xf numFmtId="43" fontId="0" fillId="0" borderId="0" xfId="1" applyFont="1" applyFill="1" applyBorder="1"/>
    <xf numFmtId="43" fontId="0" fillId="0" borderId="0" xfId="1" applyFont="1" applyFill="1"/>
    <xf numFmtId="43" fontId="0" fillId="0" borderId="61" xfId="1" applyFont="1" applyFill="1" applyBorder="1"/>
    <xf numFmtId="0" fontId="0" fillId="0" borderId="0" xfId="0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31" fillId="4" borderId="62" xfId="0" applyFont="1" applyFill="1" applyBorder="1"/>
    <xf numFmtId="0" fontId="31" fillId="0" borderId="62" xfId="0" applyFont="1" applyBorder="1"/>
    <xf numFmtId="0" fontId="31" fillId="3" borderId="62" xfId="0" applyFont="1" applyFill="1" applyBorder="1"/>
    <xf numFmtId="0" fontId="31" fillId="4" borderId="62" xfId="0" applyFont="1" applyFill="1" applyBorder="1" applyAlignment="1">
      <alignment horizontal="left"/>
    </xf>
    <xf numFmtId="0" fontId="31" fillId="0" borderId="62" xfId="0" applyFont="1" applyBorder="1" applyAlignment="1">
      <alignment horizontal="left"/>
    </xf>
    <xf numFmtId="0" fontId="31" fillId="3" borderId="62" xfId="0" applyFont="1" applyFill="1" applyBorder="1" applyAlignment="1">
      <alignment horizontal="left"/>
    </xf>
    <xf numFmtId="164" fontId="0" fillId="0" borderId="0" xfId="0" applyNumberFormat="1" applyFill="1"/>
    <xf numFmtId="0" fontId="0" fillId="0" borderId="0" xfId="0" applyFill="1"/>
    <xf numFmtId="43" fontId="0" fillId="0" borderId="0" xfId="0" applyNumberFormat="1" applyFill="1"/>
    <xf numFmtId="43" fontId="15" fillId="2" borderId="17" xfId="1" applyNumberFormat="1" applyFont="1" applyFill="1" applyBorder="1" applyAlignment="1">
      <alignment horizontal="left" vertical="center"/>
    </xf>
    <xf numFmtId="0" fontId="15" fillId="0" borderId="6" xfId="0" applyFont="1" applyBorder="1" applyAlignment="1">
      <alignment horizontal="left" vertical="center" wrapText="1"/>
    </xf>
    <xf numFmtId="0" fontId="14" fillId="2" borderId="8" xfId="0" applyFont="1" applyFill="1" applyBorder="1" applyAlignment="1">
      <alignment vertical="center"/>
    </xf>
    <xf numFmtId="0" fontId="14" fillId="2" borderId="9" xfId="0" applyFont="1" applyFill="1" applyBorder="1" applyAlignment="1">
      <alignment vertical="center"/>
    </xf>
    <xf numFmtId="0" fontId="15" fillId="2" borderId="48" xfId="0" applyFont="1" applyFill="1" applyBorder="1" applyAlignment="1">
      <alignment horizontal="left" vertical="center"/>
    </xf>
    <xf numFmtId="0" fontId="15" fillId="0" borderId="48" xfId="0" applyFont="1" applyBorder="1" applyAlignment="1">
      <alignment horizontal="left" vertical="center" wrapText="1"/>
    </xf>
    <xf numFmtId="0" fontId="0" fillId="0" borderId="0" xfId="0" applyNumberFormat="1"/>
    <xf numFmtId="0" fontId="16" fillId="0" borderId="53" xfId="0" applyFont="1" applyFill="1" applyBorder="1" applyAlignment="1">
      <alignment horizontal="center" vertical="top"/>
    </xf>
    <xf numFmtId="0" fontId="16" fillId="0" borderId="54" xfId="0" applyFont="1" applyFill="1" applyBorder="1" applyAlignment="1">
      <alignment horizontal="center" vertical="center"/>
    </xf>
    <xf numFmtId="0" fontId="16" fillId="0" borderId="54" xfId="0" applyFont="1" applyFill="1" applyBorder="1" applyAlignment="1">
      <alignment horizontal="left" vertical="center"/>
    </xf>
    <xf numFmtId="43" fontId="16" fillId="0" borderId="54" xfId="1" applyNumberFormat="1" applyFont="1" applyFill="1" applyBorder="1" applyAlignment="1">
      <alignment horizontal="left" vertical="top"/>
    </xf>
    <xf numFmtId="43" fontId="16" fillId="0" borderId="56" xfId="1" applyNumberFormat="1" applyFont="1" applyFill="1" applyBorder="1" applyAlignment="1">
      <alignment horizontal="right" vertical="top"/>
    </xf>
    <xf numFmtId="43" fontId="16" fillId="0" borderId="55" xfId="0" applyNumberFormat="1" applyFont="1" applyFill="1" applyBorder="1" applyAlignment="1">
      <alignment vertical="top"/>
    </xf>
    <xf numFmtId="0" fontId="16" fillId="0" borderId="0" xfId="0" applyNumberFormat="1" applyFont="1" applyFill="1"/>
    <xf numFmtId="43" fontId="16" fillId="0" borderId="55" xfId="0" applyNumberFormat="1" applyFont="1" applyFill="1" applyBorder="1"/>
    <xf numFmtId="0" fontId="3" fillId="2" borderId="4" xfId="0" applyFont="1" applyFill="1" applyBorder="1" applyAlignment="1">
      <alignment horizontal="center" vertical="center" wrapText="1"/>
    </xf>
    <xf numFmtId="0" fontId="15" fillId="0" borderId="29" xfId="0" applyFont="1" applyBorder="1" applyAlignment="1">
      <alignment horizontal="left" vertical="center" wrapText="1"/>
    </xf>
    <xf numFmtId="0" fontId="15" fillId="0" borderId="66" xfId="0" applyFont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indent="1"/>
    </xf>
    <xf numFmtId="0" fontId="3" fillId="2" borderId="0" xfId="0" applyFont="1" applyFill="1" applyBorder="1"/>
    <xf numFmtId="0" fontId="15" fillId="2" borderId="67" xfId="0" applyFont="1" applyFill="1" applyBorder="1" applyAlignment="1">
      <alignment horizontal="center" vertical="center"/>
    </xf>
    <xf numFmtId="0" fontId="15" fillId="2" borderId="68" xfId="0" applyFont="1" applyFill="1" applyBorder="1" applyAlignment="1">
      <alignment horizontal="center" vertical="center"/>
    </xf>
    <xf numFmtId="0" fontId="15" fillId="2" borderId="68" xfId="0" applyFont="1" applyFill="1" applyBorder="1" applyAlignment="1">
      <alignment horizontal="left" vertical="center"/>
    </xf>
    <xf numFmtId="0" fontId="5" fillId="2" borderId="69" xfId="0" applyFont="1" applyFill="1" applyBorder="1" applyAlignment="1">
      <alignment horizontal="left" vertical="center"/>
    </xf>
    <xf numFmtId="165" fontId="5" fillId="2" borderId="69" xfId="1" applyNumberFormat="1" applyFont="1" applyFill="1" applyBorder="1" applyAlignment="1">
      <alignment horizontal="right" vertical="center"/>
    </xf>
    <xf numFmtId="43" fontId="4" fillId="2" borderId="70" xfId="1" applyFont="1" applyFill="1" applyBorder="1" applyAlignment="1">
      <alignment horizontal="right" vertical="center"/>
    </xf>
    <xf numFmtId="164" fontId="4" fillId="2" borderId="71" xfId="0" applyNumberFormat="1" applyFont="1" applyFill="1" applyBorder="1" applyAlignment="1">
      <alignment horizontal="right" vertical="center"/>
    </xf>
    <xf numFmtId="0" fontId="15" fillId="2" borderId="47" xfId="0" applyFont="1" applyFill="1" applyBorder="1" applyAlignment="1">
      <alignment horizontal="center" vertical="center"/>
    </xf>
    <xf numFmtId="0" fontId="15" fillId="2" borderId="48" xfId="0" applyFont="1" applyFill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left" vertical="center"/>
    </xf>
    <xf numFmtId="43" fontId="15" fillId="2" borderId="8" xfId="1" applyFont="1" applyFill="1" applyBorder="1" applyAlignment="1">
      <alignment horizontal="left" vertical="top"/>
    </xf>
    <xf numFmtId="43" fontId="15" fillId="2" borderId="8" xfId="1" applyNumberFormat="1" applyFont="1" applyFill="1" applyBorder="1" applyAlignment="1">
      <alignment horizontal="left" vertical="center" indent="1"/>
    </xf>
    <xf numFmtId="0" fontId="15" fillId="0" borderId="8" xfId="0" applyFont="1" applyBorder="1" applyAlignment="1">
      <alignment horizontal="center" vertical="center" wrapText="1"/>
    </xf>
    <xf numFmtId="0" fontId="15" fillId="0" borderId="8" xfId="1" applyNumberFormat="1" applyFont="1" applyBorder="1" applyAlignment="1">
      <alignment vertical="center" wrapText="1"/>
    </xf>
    <xf numFmtId="43" fontId="15" fillId="2" borderId="17" xfId="1" applyFont="1" applyFill="1" applyBorder="1" applyAlignment="1">
      <alignment horizontal="left" vertical="center"/>
    </xf>
    <xf numFmtId="43" fontId="15" fillId="2" borderId="18" xfId="1" applyFont="1" applyFill="1" applyBorder="1" applyAlignment="1">
      <alignment horizontal="right" vertical="center"/>
    </xf>
    <xf numFmtId="0" fontId="15" fillId="0" borderId="0" xfId="0" applyFont="1" applyAlignment="1">
      <alignment vertical="center"/>
    </xf>
    <xf numFmtId="0" fontId="31" fillId="4" borderId="62" xfId="0" applyFont="1" applyFill="1" applyBorder="1" applyAlignment="1">
      <alignment vertical="center"/>
    </xf>
    <xf numFmtId="0" fontId="31" fillId="0" borderId="62" xfId="0" applyFont="1" applyBorder="1" applyAlignment="1">
      <alignment vertical="center"/>
    </xf>
    <xf numFmtId="0" fontId="15" fillId="0" borderId="65" xfId="0" applyFont="1" applyBorder="1" applyAlignment="1">
      <alignment vertical="center"/>
    </xf>
    <xf numFmtId="43" fontId="15" fillId="2" borderId="32" xfId="1" applyFont="1" applyFill="1" applyBorder="1" applyAlignment="1">
      <alignment horizontal="left" vertical="center"/>
    </xf>
    <xf numFmtId="0" fontId="32" fillId="0" borderId="0" xfId="0" applyFont="1" applyAlignment="1">
      <alignment vertical="center"/>
    </xf>
    <xf numFmtId="0" fontId="15" fillId="0" borderId="48" xfId="0" applyFont="1" applyBorder="1" applyAlignment="1">
      <alignment vertical="center"/>
    </xf>
    <xf numFmtId="0" fontId="15" fillId="2" borderId="8" xfId="1" applyNumberFormat="1" applyFont="1" applyFill="1" applyBorder="1" applyAlignment="1">
      <alignment vertical="center" wrapText="1"/>
    </xf>
    <xf numFmtId="0" fontId="15" fillId="0" borderId="0" xfId="1" applyNumberFormat="1" applyFont="1" applyBorder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63" xfId="0" applyFont="1" applyBorder="1" applyAlignment="1">
      <alignment vertical="center"/>
    </xf>
    <xf numFmtId="43" fontId="15" fillId="2" borderId="48" xfId="1" applyFont="1" applyFill="1" applyBorder="1" applyAlignment="1">
      <alignment horizontal="left" vertical="center"/>
    </xf>
    <xf numFmtId="43" fontId="15" fillId="2" borderId="48" xfId="1" applyNumberFormat="1" applyFont="1" applyFill="1" applyBorder="1" applyAlignment="1">
      <alignment horizontal="left" vertical="center"/>
    </xf>
    <xf numFmtId="43" fontId="15" fillId="2" borderId="49" xfId="1" applyFont="1" applyFill="1" applyBorder="1" applyAlignment="1">
      <alignment horizontal="right" vertical="center"/>
    </xf>
    <xf numFmtId="0" fontId="15" fillId="0" borderId="65" xfId="1" applyNumberFormat="1" applyFont="1" applyBorder="1" applyAlignment="1">
      <alignment vertical="center" wrapText="1"/>
    </xf>
    <xf numFmtId="43" fontId="15" fillId="2" borderId="8" xfId="1" applyFont="1" applyFill="1" applyBorder="1" applyAlignment="1">
      <alignment horizontal="left" vertical="center"/>
    </xf>
    <xf numFmtId="43" fontId="15" fillId="2" borderId="8" xfId="1" applyNumberFormat="1" applyFont="1" applyFill="1" applyBorder="1" applyAlignment="1">
      <alignment horizontal="left" vertical="center"/>
    </xf>
    <xf numFmtId="43" fontId="15" fillId="2" borderId="9" xfId="1" applyFont="1" applyFill="1" applyBorder="1" applyAlignment="1">
      <alignment horizontal="right" vertical="center"/>
    </xf>
    <xf numFmtId="0" fontId="15" fillId="2" borderId="0" xfId="0" applyFont="1" applyFill="1" applyAlignment="1">
      <alignment vertical="center"/>
    </xf>
    <xf numFmtId="0" fontId="15" fillId="0" borderId="17" xfId="0" applyFont="1" applyBorder="1" applyAlignment="1">
      <alignment vertical="center"/>
    </xf>
    <xf numFmtId="0" fontId="15" fillId="0" borderId="48" xfId="1" applyNumberFormat="1" applyFont="1" applyBorder="1" applyAlignment="1">
      <alignment vertical="center" wrapText="1"/>
    </xf>
    <xf numFmtId="43" fontId="14" fillId="0" borderId="48" xfId="1" applyNumberFormat="1" applyFont="1" applyFill="1" applyBorder="1" applyAlignment="1">
      <alignment horizontal="right" vertical="center"/>
    </xf>
    <xf numFmtId="0" fontId="15" fillId="0" borderId="8" xfId="0" applyFont="1" applyBorder="1" applyAlignment="1">
      <alignment vertical="center"/>
    </xf>
    <xf numFmtId="43" fontId="15" fillId="2" borderId="37" xfId="1" applyFont="1" applyFill="1" applyBorder="1" applyAlignment="1">
      <alignment horizontal="left" vertical="center"/>
    </xf>
    <xf numFmtId="0" fontId="15" fillId="2" borderId="28" xfId="0" applyFont="1" applyFill="1" applyBorder="1" applyAlignment="1">
      <alignment horizontal="center" vertical="center"/>
    </xf>
    <xf numFmtId="43" fontId="15" fillId="2" borderId="29" xfId="1" applyFont="1" applyFill="1" applyBorder="1" applyAlignment="1">
      <alignment horizontal="left" vertical="center"/>
    </xf>
    <xf numFmtId="43" fontId="14" fillId="0" borderId="64" xfId="1" applyNumberFormat="1" applyFont="1" applyFill="1" applyBorder="1" applyAlignment="1">
      <alignment horizontal="right" vertical="center"/>
    </xf>
    <xf numFmtId="43" fontId="15" fillId="2" borderId="64" xfId="1" applyFont="1" applyFill="1" applyBorder="1" applyAlignment="1">
      <alignment horizontal="left" vertical="center"/>
    </xf>
    <xf numFmtId="0" fontId="14" fillId="0" borderId="48" xfId="0" applyFont="1" applyBorder="1" applyAlignment="1">
      <alignment horizontal="center" vertical="center"/>
    </xf>
    <xf numFmtId="0" fontId="14" fillId="0" borderId="48" xfId="0" applyFont="1" applyBorder="1" applyAlignment="1">
      <alignment horizontal="left" vertical="center"/>
    </xf>
    <xf numFmtId="0" fontId="14" fillId="0" borderId="65" xfId="0" applyFont="1" applyBorder="1" applyAlignment="1">
      <alignment horizontal="center" vertical="center"/>
    </xf>
    <xf numFmtId="0" fontId="14" fillId="0" borderId="64" xfId="0" applyFont="1" applyBorder="1" applyAlignment="1">
      <alignment horizontal="center" vertical="center"/>
    </xf>
    <xf numFmtId="0" fontId="14" fillId="0" borderId="64" xfId="0" applyFont="1" applyBorder="1" applyAlignment="1">
      <alignment horizontal="left" vertical="center"/>
    </xf>
    <xf numFmtId="0" fontId="16" fillId="0" borderId="0" xfId="0" applyNumberFormat="1" applyFont="1" applyFill="1" applyAlignment="1">
      <alignment vertical="top"/>
    </xf>
    <xf numFmtId="0" fontId="33" fillId="0" borderId="72" xfId="0" applyFont="1" applyBorder="1" applyAlignment="1">
      <alignment vertical="center"/>
    </xf>
    <xf numFmtId="43" fontId="15" fillId="2" borderId="7" xfId="1" applyFont="1" applyFill="1" applyBorder="1" applyAlignment="1">
      <alignment horizontal="right" vertical="top"/>
    </xf>
    <xf numFmtId="43" fontId="15" fillId="2" borderId="30" xfId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6" fillId="0" borderId="0" xfId="0" applyFont="1" applyFill="1"/>
    <xf numFmtId="0" fontId="16" fillId="5" borderId="55" xfId="1" applyNumberFormat="1" applyFont="1" applyFill="1" applyBorder="1" applyAlignment="1">
      <alignment vertical="top" wrapText="1"/>
    </xf>
    <xf numFmtId="0" fontId="3" fillId="0" borderId="0" xfId="0" applyFont="1"/>
    <xf numFmtId="0" fontId="15" fillId="2" borderId="16" xfId="0" applyFont="1" applyFill="1" applyBorder="1" applyAlignment="1">
      <alignment horizontal="center" vertical="center"/>
    </xf>
    <xf numFmtId="0" fontId="15" fillId="0" borderId="0" xfId="0" applyFont="1"/>
    <xf numFmtId="0" fontId="15" fillId="2" borderId="16" xfId="0" applyFont="1" applyFill="1" applyBorder="1" applyAlignment="1">
      <alignment horizontal="center" vertical="top"/>
    </xf>
    <xf numFmtId="0" fontId="15" fillId="0" borderId="0" xfId="0" applyFont="1" applyAlignment="1">
      <alignment vertical="top"/>
    </xf>
    <xf numFmtId="0" fontId="16" fillId="0" borderId="53" xfId="0" applyFont="1" applyFill="1" applyBorder="1" applyAlignment="1">
      <alignment horizontal="center" vertical="top"/>
    </xf>
    <xf numFmtId="0" fontId="16" fillId="0" borderId="54" xfId="0" applyFont="1" applyFill="1" applyBorder="1" applyAlignment="1">
      <alignment horizontal="center" vertical="center"/>
    </xf>
    <xf numFmtId="0" fontId="16" fillId="0" borderId="54" xfId="0" applyFont="1" applyFill="1" applyBorder="1" applyAlignment="1">
      <alignment horizontal="left" vertical="center"/>
    </xf>
    <xf numFmtId="0" fontId="16" fillId="0" borderId="37" xfId="0" applyFont="1" applyFill="1" applyBorder="1"/>
    <xf numFmtId="0" fontId="16" fillId="0" borderId="54" xfId="1" applyNumberFormat="1" applyFont="1" applyFill="1" applyBorder="1" applyAlignment="1">
      <alignment vertical="top" wrapText="1"/>
    </xf>
    <xf numFmtId="0" fontId="16" fillId="0" borderId="54" xfId="1" applyNumberFormat="1" applyFont="1" applyFill="1" applyBorder="1" applyAlignment="1">
      <alignment horizontal="left" vertical="center" wrapText="1"/>
    </xf>
    <xf numFmtId="0" fontId="16" fillId="0" borderId="73" xfId="1" applyNumberFormat="1" applyFont="1" applyFill="1" applyBorder="1" applyAlignment="1">
      <alignment vertical="top" wrapText="1"/>
    </xf>
    <xf numFmtId="0" fontId="16" fillId="0" borderId="73" xfId="0" applyFont="1" applyFill="1" applyBorder="1"/>
    <xf numFmtId="0" fontId="16" fillId="0" borderId="48" xfId="0" applyFont="1" applyFill="1" applyBorder="1"/>
    <xf numFmtId="0" fontId="16" fillId="0" borderId="50" xfId="1" applyNumberFormat="1" applyFont="1" applyFill="1" applyBorder="1" applyAlignment="1">
      <alignment vertical="top" wrapText="1"/>
    </xf>
    <xf numFmtId="0" fontId="16" fillId="0" borderId="17" xfId="0" applyFont="1" applyFill="1" applyBorder="1"/>
    <xf numFmtId="43" fontId="16" fillId="0" borderId="53" xfId="1" applyFont="1" applyFill="1" applyBorder="1" applyAlignment="1">
      <alignment horizontal="left" vertical="top"/>
    </xf>
    <xf numFmtId="43" fontId="16" fillId="0" borderId="53" xfId="1" applyNumberFormat="1" applyFont="1" applyFill="1" applyBorder="1" applyAlignment="1">
      <alignment horizontal="left" vertical="top"/>
    </xf>
    <xf numFmtId="0" fontId="16" fillId="0" borderId="50" xfId="1" applyNumberFormat="1" applyFont="1" applyFill="1" applyBorder="1" applyAlignment="1">
      <alignment horizontal="left" vertical="center" wrapText="1"/>
    </xf>
    <xf numFmtId="0" fontId="16" fillId="0" borderId="57" xfId="0" applyFont="1" applyFill="1" applyBorder="1" applyAlignment="1">
      <alignment horizontal="center" vertical="top"/>
    </xf>
    <xf numFmtId="0" fontId="16" fillId="0" borderId="58" xfId="0" applyFont="1" applyFill="1" applyBorder="1" applyAlignment="1">
      <alignment horizontal="center" vertical="center"/>
    </xf>
    <xf numFmtId="0" fontId="16" fillId="0" borderId="58" xfId="0" applyFont="1" applyFill="1" applyBorder="1" applyAlignment="1">
      <alignment horizontal="left" vertical="center"/>
    </xf>
    <xf numFmtId="43" fontId="16" fillId="0" borderId="58" xfId="1" applyNumberFormat="1" applyFont="1" applyFill="1" applyBorder="1" applyAlignment="1">
      <alignment horizontal="left" vertical="top"/>
    </xf>
    <xf numFmtId="43" fontId="16" fillId="0" borderId="60" xfId="1" applyNumberFormat="1" applyFont="1" applyFill="1" applyBorder="1" applyAlignment="1">
      <alignment horizontal="right" vertical="top"/>
    </xf>
    <xf numFmtId="43" fontId="16" fillId="0" borderId="59" xfId="0" applyNumberFormat="1" applyFont="1" applyFill="1" applyBorder="1"/>
    <xf numFmtId="0" fontId="16" fillId="0" borderId="0" xfId="0" applyNumberFormat="1" applyFont="1" applyFill="1" applyBorder="1"/>
    <xf numFmtId="0" fontId="16" fillId="0" borderId="0" xfId="0" applyFont="1" applyFill="1" applyBorder="1" applyAlignment="1">
      <alignment horizontal="center" vertical="top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/>
    </xf>
    <xf numFmtId="0" fontId="16" fillId="0" borderId="0" xfId="1" applyNumberFormat="1" applyFont="1" applyFill="1" applyBorder="1" applyAlignment="1">
      <alignment vertical="top" wrapText="1"/>
    </xf>
    <xf numFmtId="43" fontId="16" fillId="0" borderId="0" xfId="1" applyNumberFormat="1" applyFont="1" applyFill="1" applyBorder="1" applyAlignment="1">
      <alignment horizontal="left" vertical="top"/>
    </xf>
    <xf numFmtId="43" fontId="16" fillId="0" borderId="0" xfId="1" applyFont="1" applyFill="1" applyBorder="1" applyAlignment="1">
      <alignment horizontal="left" vertical="top"/>
    </xf>
    <xf numFmtId="43" fontId="16" fillId="0" borderId="0" xfId="1" applyNumberFormat="1" applyFont="1" applyFill="1" applyBorder="1" applyAlignment="1">
      <alignment horizontal="right" vertical="top"/>
    </xf>
    <xf numFmtId="43" fontId="16" fillId="0" borderId="0" xfId="0" applyNumberFormat="1" applyFont="1" applyFill="1" applyBorder="1"/>
    <xf numFmtId="43" fontId="15" fillId="2" borderId="17" xfId="1" applyNumberFormat="1" applyFont="1" applyFill="1" applyBorder="1" applyAlignment="1">
      <alignment horizontal="left" vertical="top"/>
    </xf>
    <xf numFmtId="43" fontId="15" fillId="2" borderId="17" xfId="1" applyNumberFormat="1" applyFont="1" applyFill="1" applyBorder="1" applyAlignment="1">
      <alignment horizontal="left" vertical="center" indent="1"/>
    </xf>
    <xf numFmtId="43" fontId="14" fillId="2" borderId="8" xfId="0" applyNumberFormat="1" applyFont="1" applyFill="1" applyBorder="1" applyAlignment="1">
      <alignment vertical="center"/>
    </xf>
    <xf numFmtId="0" fontId="16" fillId="6" borderId="17" xfId="0" applyFont="1" applyFill="1" applyBorder="1"/>
    <xf numFmtId="0" fontId="16" fillId="0" borderId="54" xfId="1" applyNumberFormat="1" applyFont="1" applyBorder="1" applyAlignment="1">
      <alignment vertical="top" wrapText="1"/>
    </xf>
    <xf numFmtId="167" fontId="15" fillId="2" borderId="17" xfId="1" applyNumberFormat="1" applyFont="1" applyFill="1" applyBorder="1" applyAlignment="1">
      <alignment horizontal="left" vertical="center"/>
    </xf>
    <xf numFmtId="165" fontId="15" fillId="2" borderId="17" xfId="1" applyNumberFormat="1" applyFont="1" applyFill="1" applyBorder="1" applyAlignment="1">
      <alignment horizontal="left" vertical="center"/>
    </xf>
    <xf numFmtId="165" fontId="15" fillId="0" borderId="17" xfId="1" applyNumberFormat="1" applyFont="1" applyFill="1" applyBorder="1" applyAlignment="1">
      <alignment horizontal="right" vertical="center"/>
    </xf>
    <xf numFmtId="43" fontId="15" fillId="0" borderId="0" xfId="0" applyNumberFormat="1" applyFont="1" applyAlignment="1">
      <alignment vertical="top"/>
    </xf>
    <xf numFmtId="164" fontId="3" fillId="0" borderId="0" xfId="0" applyNumberFormat="1" applyFont="1"/>
    <xf numFmtId="0" fontId="31" fillId="4" borderId="0" xfId="0" applyFont="1" applyFill="1" applyBorder="1" applyAlignment="1">
      <alignment horizontal="left"/>
    </xf>
    <xf numFmtId="0" fontId="31" fillId="0" borderId="0" xfId="0" applyFont="1" applyBorder="1" applyAlignment="1">
      <alignment horizontal="left"/>
    </xf>
    <xf numFmtId="0" fontId="31" fillId="3" borderId="0" xfId="0" applyFont="1" applyFill="1" applyBorder="1" applyAlignment="1">
      <alignment horizontal="left"/>
    </xf>
    <xf numFmtId="0" fontId="15" fillId="0" borderId="0" xfId="0" applyFont="1" applyBorder="1"/>
    <xf numFmtId="43" fontId="14" fillId="2" borderId="6" xfId="0" applyNumberFormat="1" applyFont="1" applyFill="1" applyBorder="1" applyAlignment="1">
      <alignment vertical="center"/>
    </xf>
    <xf numFmtId="43" fontId="16" fillId="0" borderId="54" xfId="1" applyFont="1" applyFill="1" applyBorder="1" applyAlignment="1">
      <alignment horizontal="right" vertical="top"/>
    </xf>
    <xf numFmtId="43" fontId="16" fillId="0" borderId="54" xfId="1" applyNumberFormat="1" applyFont="1" applyFill="1" applyBorder="1" applyAlignment="1">
      <alignment horizontal="right" vertical="top"/>
    </xf>
    <xf numFmtId="43" fontId="16" fillId="0" borderId="54" xfId="0" applyNumberFormat="1" applyFont="1" applyBorder="1"/>
    <xf numFmtId="43" fontId="16" fillId="0" borderId="54" xfId="0" applyNumberFormat="1" applyFont="1" applyBorder="1" applyAlignment="1">
      <alignment vertical="top"/>
    </xf>
    <xf numFmtId="43" fontId="16" fillId="0" borderId="54" xfId="0" applyNumberFormat="1" applyFont="1" applyFill="1" applyBorder="1" applyAlignment="1">
      <alignment vertical="top"/>
    </xf>
    <xf numFmtId="43" fontId="16" fillId="0" borderId="54" xfId="0" applyNumberFormat="1" applyFont="1" applyFill="1" applyBorder="1"/>
    <xf numFmtId="43" fontId="0" fillId="0" borderId="0" xfId="1" applyNumberFormat="1" applyFont="1" applyFill="1" applyBorder="1"/>
    <xf numFmtId="43" fontId="0" fillId="0" borderId="61" xfId="1" applyNumberFormat="1" applyFont="1" applyFill="1" applyBorder="1"/>
    <xf numFmtId="43" fontId="0" fillId="0" borderId="40" xfId="1" applyNumberFormat="1" applyFont="1" applyFill="1" applyBorder="1"/>
    <xf numFmtId="43" fontId="0" fillId="0" borderId="0" xfId="1" applyNumberFormat="1" applyFont="1" applyFill="1"/>
    <xf numFmtId="164" fontId="0" fillId="0" borderId="0" xfId="1" applyNumberFormat="1" applyFont="1" applyFill="1"/>
    <xf numFmtId="43" fontId="0" fillId="0" borderId="78" xfId="1" applyFont="1" applyFill="1" applyBorder="1"/>
    <xf numFmtId="43" fontId="0" fillId="0" borderId="61" xfId="0" applyNumberFormat="1" applyFill="1" applyBorder="1"/>
    <xf numFmtId="164" fontId="15" fillId="0" borderId="0" xfId="0" applyNumberFormat="1" applyFont="1" applyAlignment="1">
      <alignment vertical="top"/>
    </xf>
    <xf numFmtId="0" fontId="16" fillId="0" borderId="79" xfId="0" applyFont="1" applyBorder="1"/>
    <xf numFmtId="0" fontId="16" fillId="0" borderId="8" xfId="0" applyFont="1" applyBorder="1" applyAlignment="1">
      <alignment vertical="top"/>
    </xf>
    <xf numFmtId="0" fontId="16" fillId="0" borderId="8" xfId="0" applyNumberFormat="1" applyFont="1" applyFill="1" applyBorder="1" applyAlignment="1">
      <alignment vertical="top"/>
    </xf>
    <xf numFmtId="0" fontId="16" fillId="0" borderId="8" xfId="0" applyFont="1" applyBorder="1"/>
    <xf numFmtId="0" fontId="16" fillId="0" borderId="8" xfId="0" applyNumberFormat="1" applyFont="1" applyFill="1" applyBorder="1"/>
    <xf numFmtId="0" fontId="16" fillId="0" borderId="80" xfId="0" applyNumberFormat="1" applyFont="1" applyFill="1" applyBorder="1"/>
    <xf numFmtId="0" fontId="16" fillId="0" borderId="81" xfId="0" applyNumberFormat="1" applyFont="1" applyFill="1" applyBorder="1"/>
    <xf numFmtId="0" fontId="16" fillId="0" borderId="77" xfId="0" applyFont="1" applyBorder="1"/>
    <xf numFmtId="0" fontId="16" fillId="0" borderId="77" xfId="0" applyNumberFormat="1" applyFont="1" applyFill="1" applyBorder="1"/>
    <xf numFmtId="164" fontId="15" fillId="0" borderId="0" xfId="0" applyNumberFormat="1" applyFont="1"/>
    <xf numFmtId="0" fontId="16" fillId="0" borderId="82" xfId="0" applyFont="1" applyBorder="1" applyAlignment="1">
      <alignment horizontal="center" vertical="top"/>
    </xf>
    <xf numFmtId="0" fontId="16" fillId="0" borderId="83" xfId="0" applyFont="1" applyBorder="1" applyAlignment="1">
      <alignment horizontal="center" vertical="center"/>
    </xf>
    <xf numFmtId="0" fontId="16" fillId="0" borderId="83" xfId="0" applyFont="1" applyBorder="1" applyAlignment="1">
      <alignment horizontal="left" vertical="center"/>
    </xf>
    <xf numFmtId="0" fontId="16" fillId="0" borderId="83" xfId="1" applyNumberFormat="1" applyFont="1" applyFill="1" applyBorder="1" applyAlignment="1">
      <alignment vertical="top" wrapText="1"/>
    </xf>
    <xf numFmtId="43" fontId="16" fillId="0" borderId="83" xfId="1" applyFont="1" applyFill="1" applyBorder="1" applyAlignment="1">
      <alignment horizontal="left" vertical="top"/>
    </xf>
    <xf numFmtId="43" fontId="16" fillId="0" borderId="83" xfId="1" applyFont="1" applyFill="1" applyBorder="1" applyAlignment="1">
      <alignment horizontal="right" vertical="top"/>
    </xf>
    <xf numFmtId="43" fontId="16" fillId="0" borderId="83" xfId="0" applyNumberFormat="1" applyFont="1" applyBorder="1"/>
    <xf numFmtId="0" fontId="16" fillId="0" borderId="84" xfId="0" applyFont="1" applyBorder="1"/>
    <xf numFmtId="43" fontId="15" fillId="2" borderId="17" xfId="1" applyNumberFormat="1" applyFont="1" applyFill="1" applyBorder="1" applyAlignment="1">
      <alignment horizontal="left" vertical="top" indent="1"/>
    </xf>
    <xf numFmtId="43" fontId="15" fillId="0" borderId="17" xfId="1" applyNumberFormat="1" applyFont="1" applyFill="1" applyBorder="1" applyAlignment="1">
      <alignment horizontal="right" vertical="top"/>
    </xf>
    <xf numFmtId="43" fontId="15" fillId="2" borderId="18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 vertical="center"/>
    </xf>
    <xf numFmtId="166" fontId="5" fillId="2" borderId="9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5" fillId="2" borderId="31" xfId="0" applyFont="1" applyFill="1" applyBorder="1" applyAlignment="1">
      <alignment horizontal="center" vertical="top"/>
    </xf>
    <xf numFmtId="0" fontId="15" fillId="2" borderId="8" xfId="0" applyFont="1" applyFill="1" applyBorder="1" applyAlignment="1">
      <alignment horizontal="center" vertical="top"/>
    </xf>
    <xf numFmtId="0" fontId="15" fillId="2" borderId="9" xfId="0" applyFont="1" applyFill="1" applyBorder="1" applyAlignment="1">
      <alignment horizontal="center" vertical="top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top"/>
    </xf>
    <xf numFmtId="0" fontId="8" fillId="0" borderId="75" xfId="0" applyFont="1" applyBorder="1" applyAlignment="1">
      <alignment horizontal="center" vertical="top"/>
    </xf>
    <xf numFmtId="0" fontId="8" fillId="0" borderId="76" xfId="0" applyFont="1" applyBorder="1" applyAlignment="1">
      <alignment horizontal="center" vertical="top"/>
    </xf>
    <xf numFmtId="0" fontId="19" fillId="2" borderId="31" xfId="0" applyFont="1" applyFill="1" applyBorder="1" applyAlignment="1">
      <alignment horizontal="center"/>
    </xf>
    <xf numFmtId="0" fontId="19" fillId="2" borderId="8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center"/>
    </xf>
    <xf numFmtId="0" fontId="28" fillId="2" borderId="0" xfId="0" applyFont="1" applyFill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top" wrapText="1"/>
    </xf>
    <xf numFmtId="0" fontId="24" fillId="2" borderId="0" xfId="0" applyFont="1" applyFill="1" applyAlignment="1">
      <alignment horizontal="center" vertical="top"/>
    </xf>
    <xf numFmtId="0" fontId="24" fillId="2" borderId="5" xfId="0" applyFont="1" applyFill="1" applyBorder="1" applyAlignment="1">
      <alignment horizontal="center" vertical="top"/>
    </xf>
    <xf numFmtId="0" fontId="20" fillId="2" borderId="4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27" fillId="2" borderId="41" xfId="0" applyFont="1" applyFill="1" applyBorder="1" applyAlignment="1">
      <alignment horizontal="center" vertical="center" wrapText="1"/>
    </xf>
    <xf numFmtId="0" fontId="27" fillId="2" borderId="44" xfId="0" applyFont="1" applyFill="1" applyBorder="1" applyAlignment="1">
      <alignment horizontal="center" vertical="center" wrapText="1"/>
    </xf>
    <xf numFmtId="0" fontId="27" fillId="2" borderId="42" xfId="0" applyFont="1" applyFill="1" applyBorder="1" applyAlignment="1">
      <alignment horizontal="center" vertical="center" wrapText="1"/>
    </xf>
    <xf numFmtId="0" fontId="27" fillId="2" borderId="45" xfId="0" applyFont="1" applyFill="1" applyBorder="1" applyAlignment="1">
      <alignment horizontal="center" vertical="center" wrapText="1"/>
    </xf>
    <xf numFmtId="164" fontId="27" fillId="2" borderId="42" xfId="2" applyFont="1" applyFill="1" applyBorder="1" applyAlignment="1">
      <alignment horizontal="center" vertical="center" wrapText="1"/>
    </xf>
    <xf numFmtId="164" fontId="27" fillId="2" borderId="45" xfId="2" applyFont="1" applyFill="1" applyBorder="1" applyAlignment="1">
      <alignment horizontal="center" vertical="center" wrapText="1"/>
    </xf>
    <xf numFmtId="0" fontId="27" fillId="2" borderId="42" xfId="0" applyFont="1" applyFill="1" applyBorder="1" applyAlignment="1">
      <alignment horizontal="center" vertical="center"/>
    </xf>
    <xf numFmtId="0" fontId="27" fillId="2" borderId="43" xfId="0" applyFont="1" applyFill="1" applyBorder="1" applyAlignment="1">
      <alignment horizontal="center" vertical="center" wrapText="1"/>
    </xf>
    <xf numFmtId="0" fontId="27" fillId="2" borderId="46" xfId="0" applyFont="1" applyFill="1" applyBorder="1" applyAlignment="1">
      <alignment horizontal="center" vertical="center" wrapText="1"/>
    </xf>
    <xf numFmtId="164" fontId="23" fillId="2" borderId="4" xfId="0" applyNumberFormat="1" applyFont="1" applyFill="1" applyBorder="1" applyAlignment="1">
      <alignment horizontal="center" vertical="center"/>
    </xf>
  </cellXfs>
  <cellStyles count="5">
    <cellStyle name="Comma" xfId="1" builtinId="3"/>
    <cellStyle name="Comma 2" xfId="2" xr:uid="{01EABD39-B79C-4168-997F-6844A3979395}"/>
    <cellStyle name="Comma 2 2" xfId="4" xr:uid="{B0CCA8A5-17B8-4037-B030-24DD9AE6A3B5}"/>
    <cellStyle name="Comma 3" xfId="3" xr:uid="{07B1036E-0E32-4B46-9E2F-AC0C36C3CB5F}"/>
    <cellStyle name="Normal" xfId="0" builtinId="0"/>
  </cellStyles>
  <dxfs count="95">
    <dxf>
      <font>
        <strike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numFmt numFmtId="35" formatCode="_-* #,##0.00_-;\-* #,##0.00_-;_-* &quot;-&quot;??_-;_-@_-"/>
      <fill>
        <patternFill patternType="none">
          <fgColor rgb="FF000000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rgb="FF000000"/>
        </top>
        <bottom style="hair">
          <color rgb="FF000000"/>
        </bottom>
        <vertical/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rgb="FF000000"/>
        </top>
        <bottom style="hair">
          <color rgb="FF000000"/>
        </bottom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rgb="FF000000"/>
        </top>
        <bottom style="hair">
          <color rgb="FF000000"/>
        </bottom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rgb="FF000000"/>
        </top>
        <bottom style="hair">
          <color rgb="FF000000"/>
        </bottom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rgb="FF000000"/>
        </top>
        <bottom style="hair">
          <color rgb="FF000000"/>
        </bottom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rgb="FF000000"/>
        </top>
        <bottom style="hair">
          <color rgb="FF000000"/>
        </bottom>
        <vertical/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rgb="FF000000"/>
        </top>
        <bottom style="hair">
          <color rgb="FF000000"/>
        </bottom>
        <vertical/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rgb="FF000000"/>
        </top>
        <bottom style="hair">
          <color rgb="FF000000"/>
        </bottom>
        <vertical/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hair">
          <color rgb="FF000000"/>
        </top>
        <bottom style="hair">
          <color rgb="FF000000"/>
        </bottom>
        <vertical/>
        <horizontal style="hair">
          <color rgb="FF000000"/>
        </horizontal>
      </border>
    </dxf>
    <dxf>
      <border>
        <top style="hair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fill>
        <patternFill patternType="none">
          <fgColor rgb="FF000000"/>
          <bgColor auto="1"/>
        </patternFill>
      </fill>
    </dxf>
    <dxf>
      <border>
        <bottom style="hair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numFmt numFmtId="35" formatCode="_-* #,##0.00_-;\-* #,##0.00_-;_-* &quot;-&quot;??_-;_-@_-"/>
      <fill>
        <patternFill patternType="none">
          <fgColor rgb="FF000000"/>
          <bgColor auto="1"/>
        </patternFill>
      </fill>
      <border diagonalUp="0" diagonalDown="0">
        <top style="hair">
          <color rgb="FF000000"/>
        </top>
        <bottom style="hair">
          <color rgb="FF000000"/>
        </bottom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rgb="FF000000"/>
        </top>
        <bottom style="hair">
          <color rgb="FF000000"/>
        </bottom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rgb="FF000000"/>
        </top>
        <bottom style="hair">
          <color rgb="FF000000"/>
        </bottom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rgb="FF000000"/>
        </top>
        <bottom style="hair">
          <color rgb="FF000000"/>
        </bottom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rgb="FF000000"/>
        </top>
        <bottom style="hair">
          <color rgb="FF000000"/>
        </bottom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hair">
          <color rgb="FF000000"/>
        </top>
        <bottom style="hair">
          <color rgb="FF000000"/>
        </bottom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rgb="FF000000"/>
        </top>
        <bottom style="hair">
          <color rgb="FF000000"/>
        </bottom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rgb="FF000000"/>
        </top>
        <bottom style="hair">
          <color rgb="FF000000"/>
        </bottom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hair">
          <color rgb="FF000000"/>
        </top>
        <bottom style="hair">
          <color rgb="FF000000"/>
        </bottom>
        <horizontal style="hair">
          <color rgb="FF000000"/>
        </horizontal>
      </border>
    </dxf>
    <dxf>
      <border>
        <top style="hair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fill>
        <patternFill patternType="none">
          <fgColor rgb="FF000000"/>
          <bgColor auto="1"/>
        </patternFill>
      </fill>
    </dxf>
    <dxf>
      <border>
        <bottom style="hair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numFmt numFmtId="35" formatCode="_-* #,##0.00_-;\-* #,##0.00_-;_-* &quot;-&quot;??_-;_-@_-"/>
      <fill>
        <patternFill patternType="none">
          <fgColor rgb="FF000000"/>
          <bgColor auto="1"/>
        </patternFill>
      </fill>
      <border diagonalUp="0" diagonalDown="0">
        <top style="hair">
          <color rgb="FF000000"/>
        </top>
        <bottom style="hair">
          <color rgb="FF000000"/>
        </bottom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rgb="FF000000"/>
        </top>
        <bottom style="hair">
          <color rgb="FF000000"/>
        </bottom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rgb="FF000000"/>
        </top>
        <bottom style="hair">
          <color rgb="FF000000"/>
        </bottom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rgb="FF000000"/>
        </top>
        <bottom style="hair">
          <color rgb="FF000000"/>
        </bottom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rgb="FF000000"/>
        </top>
        <bottom style="hair">
          <color rgb="FF000000"/>
        </bottom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hair">
          <color rgb="FF000000"/>
        </top>
        <bottom style="hair">
          <color rgb="FF000000"/>
        </bottom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rgb="FF000000"/>
        </top>
        <bottom style="hair">
          <color rgb="FF000000"/>
        </bottom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rgb="FF000000"/>
        </top>
        <bottom style="hair">
          <color rgb="FF000000"/>
        </bottom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hair">
          <color rgb="FF000000"/>
        </top>
        <bottom style="hair">
          <color rgb="FF000000"/>
        </bottom>
        <horizontal style="hair">
          <color rgb="FF000000"/>
        </horizontal>
      </border>
    </dxf>
    <dxf>
      <border>
        <top style="hair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fill>
        <patternFill patternType="none">
          <fgColor rgb="FF000000"/>
          <bgColor auto="1"/>
        </patternFill>
      </fill>
    </dxf>
    <dxf>
      <border>
        <bottom style="hair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numFmt numFmtId="167" formatCode="_-* #,##0_-;\-* #,##0_-;_-* &quot;-&quot;??_-;_-@_-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hair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masis MT Std Light"/>
        <family val="1"/>
        <scheme val="none"/>
      </font>
      <fill>
        <patternFill patternType="none">
          <fgColor indexed="64"/>
          <bgColor auto="1"/>
        </patternFill>
      </fill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ck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ck">
          <color auto="1"/>
        </left>
        <right/>
        <top/>
        <bottom/>
        <vertical/>
        <horizontal/>
      </border>
    </dxf>
    <dxf>
      <numFmt numFmtId="164" formatCode="_(* #,##0.00_);_(* \(#,##0.00\);_(* &quot;-&quot;??_);_(@_)"/>
      <fill>
        <patternFill patternType="none">
          <fgColor indexed="64"/>
          <bgColor indexed="65"/>
        </patternFill>
      </fill>
    </dxf>
    <dxf>
      <numFmt numFmtId="164" formatCode="_(* #,##0.00_);_(* \(#,##0.00\);_(* &quot;-&quot;??_);_(@_)"/>
      <fill>
        <patternFill patternType="none">
          <fgColor indexed="64"/>
          <bgColor auto="1"/>
        </patternFill>
      </fill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</dxf>
    <dxf>
      <numFmt numFmtId="164" formatCode="_(* #,##0.00_);_(* \(#,##0.0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border diagonalUp="0" diagonalDown="0" outline="0">
        <left style="thick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border diagonalUp="0" diagonalDown="0" outline="0">
        <left/>
        <right style="thick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ck">
          <color auto="1"/>
        </left>
        <right style="thick">
          <color auto="1"/>
        </right>
        <top/>
        <bottom/>
      </border>
    </dxf>
    <dxf>
      <fill>
        <patternFill patternType="none">
          <fgColor indexed="64"/>
          <bgColor auto="1"/>
        </patternFill>
      </fill>
    </dxf>
    <dxf>
      <numFmt numFmtId="164" formatCode="_(* #,##0.00_);_(* \(#,##0.0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ck">
          <color auto="1"/>
        </left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9E704C8-A3CC-47EA-A732-5083AEBC4921}" autoFormatId="16" applyNumberFormats="0" applyBorderFormats="0" applyFontFormats="0" applyPatternFormats="0" applyAlignmentFormats="0" applyWidthHeightFormats="0">
  <queryTableRefresh nextId="26">
    <queryTableFields count="25">
      <queryTableField id="1" name="Article" tableColumnId="1"/>
      <queryTableField id="2" name="Type" tableColumnId="2"/>
      <queryTableField id="3" name="Decription" tableColumnId="3"/>
      <queryTableField id="4" name="Unit" tableColumnId="4"/>
      <queryTableField id="5" name="Quantity on Hand" tableColumnId="5"/>
      <queryTableField id="6" name="Unit Cost" tableColumnId="6"/>
      <queryTableField id="7" name="Total Value" tableColumnId="7"/>
      <queryTableField id="8" name="January 2025 - Issued Qty" tableColumnId="8"/>
      <queryTableField id="9" name="January 2025 - Issued Value" tableColumnId="9"/>
      <queryTableField id="10" name="January 2025 - Balance Qty" tableColumnId="10"/>
      <queryTableField id="11" name="January 2025 - Total Value" tableColumnId="11"/>
      <queryTableField id="12" name="Incoming Qty" tableColumnId="12"/>
      <queryTableField id="13" name="Incoming Unit Cost" tableColumnId="13"/>
      <queryTableField id="14" name="Incoming Total Value" tableColumnId="14"/>
      <queryTableField id="15" name="February 2025 - Issued Qty" tableColumnId="15"/>
      <queryTableField id="16" name="February 2025 - Issued Value" tableColumnId="16"/>
      <queryTableField id="17" name="February 2025 - Balance Qty" tableColumnId="17"/>
      <queryTableField id="18" name="February 2025 - Total Value" tableColumnId="18"/>
      <queryTableField id="19" name="Incoming Qty2" tableColumnId="19"/>
      <queryTableField id="20" name="Incoming Unit Cost3" tableColumnId="20"/>
      <queryTableField id="21" name="Incoming Total Value4" tableColumnId="21"/>
      <queryTableField id="22" name="March 2025 - Issued Qty" tableColumnId="22"/>
      <queryTableField id="23" name="March 2025 - Issued Value6" tableColumnId="23"/>
      <queryTableField id="24" name="March 2025 - Balance Qty7" tableColumnId="24"/>
      <queryTableField id="25" name="March 2025 - Total Value8" tableColumnId="25"/>
    </queryTableFields>
  </queryTableRefresh>
</queryTable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#NAME?</fb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8963A4-44C9-432D-9E29-CB2FE4364F70}" name="Table13_2" displayName="Table13_2" ref="A1:Y157" tableType="queryTable" totalsRowShown="0">
  <autoFilter ref="A1:Y157" xr:uid="{598963A4-44C9-432D-9E29-CB2FE4364F70}"/>
  <tableColumns count="25">
    <tableColumn id="1" xr3:uid="{5FA50E3F-4FD6-40B9-B3D5-4C2D3E05A8F0}" uniqueName="1" name="Article" queryTableFieldId="1" dataDxfId="94"/>
    <tableColumn id="2" xr3:uid="{604AAA0F-7ECE-494D-8F83-E3610A406F8F}" uniqueName="2" name="Type" queryTableFieldId="2" dataDxfId="93"/>
    <tableColumn id="3" xr3:uid="{E7FFBC2B-8228-4E34-98AB-BA01005B92F3}" uniqueName="3" name="Decription" queryTableFieldId="3" dataDxfId="92"/>
    <tableColumn id="4" xr3:uid="{A348987D-CA43-4664-ABF7-8F38B017EE58}" uniqueName="4" name="Unit" queryTableFieldId="4" dataDxfId="91"/>
    <tableColumn id="5" xr3:uid="{68766E0A-81BE-4222-AB82-7BF2BF86A8B7}" uniqueName="5" name="Quantity on Hand" queryTableFieldId="5"/>
    <tableColumn id="6" xr3:uid="{4EA5B4B4-9683-41F8-BBE2-CCD5379B122E}" uniqueName="6" name="Unit Cost" queryTableFieldId="6"/>
    <tableColumn id="7" xr3:uid="{D66595A1-9ACE-451D-B1E6-46EDDC2CC5CC}" uniqueName="7" name="Total Value" queryTableFieldId="7"/>
    <tableColumn id="8" xr3:uid="{84B3F666-33A0-4E40-8287-F6A491D5C658}" uniqueName="8" name="January 2025 - Issued Qty" queryTableFieldId="8"/>
    <tableColumn id="9" xr3:uid="{768A94FC-E020-4AB7-8CF6-CCD03E7DF76C}" uniqueName="9" name="January 2025 - Issued Value" queryTableFieldId="9"/>
    <tableColumn id="10" xr3:uid="{69A91B2E-DD2F-4B0D-A227-36818B1FC256}" uniqueName="10" name="January 2025 - Balance Qty" queryTableFieldId="10"/>
    <tableColumn id="11" xr3:uid="{934888DD-5984-4788-A532-CB99D9EDAB2E}" uniqueName="11" name="January 2025 - Total Value" queryTableFieldId="11"/>
    <tableColumn id="12" xr3:uid="{6F794344-B71B-4C68-A650-66763FB96F64}" uniqueName="12" name="Incoming Qty" queryTableFieldId="12"/>
    <tableColumn id="13" xr3:uid="{89F3A827-3CFD-49A9-85EC-59525DF72596}" uniqueName="13" name="Incoming Unit Cost" queryTableFieldId="13"/>
    <tableColumn id="14" xr3:uid="{E78404C3-DB5A-4255-AC8F-42841D96A063}" uniqueName="14" name="Incoming Total Value" queryTableFieldId="14"/>
    <tableColumn id="15" xr3:uid="{387F8EA2-1E3A-4572-B26F-6EA6C8A4D5FE}" uniqueName="15" name="February 2025 - Issued Qty" queryTableFieldId="15"/>
    <tableColumn id="16" xr3:uid="{E41605A6-1A77-4616-B350-0704397CA4D6}" uniqueName="16" name="February 2025 - Issued Value" queryTableFieldId="16"/>
    <tableColumn id="17" xr3:uid="{724E3B4A-0392-456C-9C03-B7D56FBD22B8}" uniqueName="17" name="February 2025 - Balance Qty" queryTableFieldId="17"/>
    <tableColumn id="18" xr3:uid="{B13BC080-A7D1-4FAC-82D9-986959533838}" uniqueName="18" name="February 2025 - Total Value" queryTableFieldId="18"/>
    <tableColumn id="19" xr3:uid="{8C098BC3-CF9F-4395-B3F4-5472323EA5B8}" uniqueName="19" name="Incoming Qty2" queryTableFieldId="19"/>
    <tableColumn id="20" xr3:uid="{C9D33746-8F43-461F-9CC3-98B9FF17B9A6}" uniqueName="20" name="Incoming Unit Cost3" queryTableFieldId="20"/>
    <tableColumn id="21" xr3:uid="{D62CEE96-8453-433D-8438-1EAEBB14BB78}" uniqueName="21" name="Incoming Total Value4" queryTableFieldId="21"/>
    <tableColumn id="22" xr3:uid="{DFFF8911-20C1-4F5C-B874-A83E2FB8E401}" uniqueName="22" name="March 2025 - Issued Qty" queryTableFieldId="22"/>
    <tableColumn id="23" xr3:uid="{7FB516B4-A3DA-4B6E-BD83-E10E517B7989}" uniqueName="23" name="March 2025 - Issued Value6" queryTableFieldId="23"/>
    <tableColumn id="24" xr3:uid="{A372D7BE-26BF-4283-B975-1714967229EC}" uniqueName="24" name="March 2025 - Balance Qty7" queryTableFieldId="24"/>
    <tableColumn id="25" xr3:uid="{0EBEEA42-08B1-483D-A637-C1A8E87E0FB5}" uniqueName="25" name="March 2025 - Total Value8" queryTableField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3464DA-0359-435C-A1F2-F9EA520A0276}" name="Table13" displayName="Table13" ref="A5:AF162" totalsRowShown="0" headerRowDxfId="90" dataDxfId="89">
  <autoFilter ref="A5:AF162" xr:uid="{653CEDF3-AD9F-4DFF-A2F4-ED9E090F0B31}"/>
  <sortState xmlns:xlrd2="http://schemas.microsoft.com/office/spreadsheetml/2017/richdata2" ref="A6:H162">
    <sortCondition ref="A6:A162"/>
    <sortCondition ref="B6:B162"/>
    <sortCondition ref="C6:C162"/>
  </sortState>
  <tableColumns count="32">
    <tableColumn id="7" xr3:uid="{61F72F7F-80CE-4A51-B1B1-7BE3A1B04C34}" name="Article" dataDxfId="88"/>
    <tableColumn id="1" xr3:uid="{75E69041-E9F0-41F8-B104-88CAFE4E696F}" name="Type" dataDxfId="87"/>
    <tableColumn id="2" xr3:uid="{58054E27-A80E-4C30-97D3-B596C3A6FD22}" name="Decription" dataDxfId="86"/>
    <tableColumn id="3" xr3:uid="{118734CF-0D46-410A-949F-564CEFD8C9CC}" name="Unit" dataDxfId="85"/>
    <tableColumn id="5" xr3:uid="{2B05F669-1DB6-4535-B060-ABBCDF67ACD3}" name="Quantity on Hand" dataDxfId="84" dataCellStyle="Comma"/>
    <tableColumn id="4" xr3:uid="{577A4117-3FF8-41C4-97B3-4C6E2635453B}" name="Unit Cost" dataDxfId="83" dataCellStyle="Comma"/>
    <tableColumn id="6" xr3:uid="{63780CA1-1D46-40EF-A3CE-D2F1876D29FE}" name="Total Value" dataDxfId="82" dataCellStyle="Comma">
      <calculatedColumnFormula>Table13[[#This Row],[Unit Cost]]*Table13[[#This Row],[Quantity on Hand]]</calculatedColumnFormula>
    </tableColumn>
    <tableColumn id="8" xr3:uid="{545D6845-CF76-494B-B54C-F1952FECADD3}" name="January 2025 - Issued Qty" dataDxfId="81" dataCellStyle="Comma">
      <calculatedColumnFormula>SUMIF(Table3[Item],Table13[[#This Row],[Decription]],Table3[Quantity Issued])</calculatedColumnFormula>
    </tableColumn>
    <tableColumn id="13" xr3:uid="{656C10AC-7A35-4637-9E2A-1F476410298F}" name="January 2025 - Issued Value" dataDxfId="80" dataCellStyle="Comma">
      <calculatedColumnFormula>Table13[[#This Row],[January 2025 - Issued Qty]]*Table13[[#This Row],[Unit Cost]]</calculatedColumnFormula>
    </tableColumn>
    <tableColumn id="9" xr3:uid="{AC0614A9-1032-4C9B-A407-59B7434B5157}" name="January 2025 - Balance Qty" dataDxfId="79">
      <calculatedColumnFormula>Table13[[#This Row],[Quantity on Hand]]-Table13[[#This Row],[January 2025 - Issued Qty]]</calculatedColumnFormula>
    </tableColumn>
    <tableColumn id="10" xr3:uid="{C319F0D3-441F-4BF1-AFFF-CA36AC0CCE4F}" name="January 2025 - Total Value" dataDxfId="78" dataCellStyle="Comma">
      <calculatedColumnFormula>Table13[[#This Row],[January 2025 - Balance Qty]]*Table13[[#This Row],[Unit Cost]]</calculatedColumnFormula>
    </tableColumn>
    <tableColumn id="18" xr3:uid="{4301FE1D-41B7-40BF-A64D-85A271908C97}" name="Incoming Qty" dataDxfId="77" dataCellStyle="Comma"/>
    <tableColumn id="20" xr3:uid="{C7FE7DFF-E91C-4B42-9BC2-BA0B89858A59}" name="Incoming Unit Cost" dataDxfId="76" dataCellStyle="Comma"/>
    <tableColumn id="19" xr3:uid="{859BC297-EF42-47C9-873D-3DCD24573438}" name="Incoming Total Value" dataDxfId="75" dataCellStyle="Comma">
      <calculatedColumnFormula>Table13[[#This Row],[Incoming Unit Cost]]*Table13[[#This Row],[Incoming Qty]]</calculatedColumnFormula>
    </tableColumn>
    <tableColumn id="11" xr3:uid="{BDB56971-3625-40F3-8581-CFC5DE18625F}" name="February 2025 - Issued Qty" dataDxfId="74" dataCellStyle="Comma">
      <calculatedColumnFormula>SUMIF(Table32[Item],Table13[[#This Row],[Decription]],Table32[Quantity Issued])</calculatedColumnFormula>
    </tableColumn>
    <tableColumn id="12" xr3:uid="{4364A5A5-F92D-4600-BB4E-522D8FA7529B}" name="February 2025 - Issued Value" dataDxfId="73" dataCellStyle="Comma">
      <calculatedColumnFormula>Table13[[#This Row],[Unit Cost]]*Table13[[#This Row],[February 2025 - Issued Qty]]</calculatedColumnFormula>
    </tableColumn>
    <tableColumn id="14" xr3:uid="{CCF44721-544C-446D-8E10-17265172EF05}" name="February 2025 - Balance Qty" dataDxfId="72">
      <calculatedColumnFormula>(Table13[[#This Row],[January 2025 - Balance Qty]]-Table13[[#This Row],[February 2025 - Issued Qty]])+Table13[[#This Row],[Incoming Qty]]</calculatedColumnFormula>
    </tableColumn>
    <tableColumn id="15" xr3:uid="{251E51E9-4189-417A-9163-12D2670AED28}" name="February 2025 - Total Value" dataDxfId="71" dataCellStyle="Comma">
      <calculatedColumnFormula>Table13[[#This Row],[February 2025 - Balance Qty]]*Table13[[#This Row],[Unit Cost]]</calculatedColumnFormula>
    </tableColumn>
    <tableColumn id="16" xr3:uid="{266D053B-F53D-49C2-8787-5C9640C264A5}" name=" Incoming Qty" dataDxfId="70"/>
    <tableColumn id="17" xr3:uid="{98519007-46D0-4CD2-AA5A-EA94875CD9B2}" name=" Incoming Unit Cost" dataDxfId="69"/>
    <tableColumn id="21" xr3:uid="{81868F0B-9783-47B5-AB86-5FF3D9485B03}" name=" Incoming Total Value" dataDxfId="68"/>
    <tableColumn id="22" xr3:uid="{5AF1E17A-FC90-42E0-8531-20B844B9242F}" name="March 2025 - Issued Qty" dataDxfId="67">
      <calculatedColumnFormula>SUMIF(Table3267[Item],Table13[[#This Row],[Decription]],Table3267[Quantity Issued])</calculatedColumnFormula>
    </tableColumn>
    <tableColumn id="23" xr3:uid="{F0FC455A-2CBC-4BC3-B2C5-D3746CB256B8}" name="March 2025 - Issued Value" dataDxfId="66">
      <calculatedColumnFormula>Table13[[#This Row],[Unit Cost]]*Table13[[#This Row],[March 2025 - Issued Qty]]</calculatedColumnFormula>
    </tableColumn>
    <tableColumn id="24" xr3:uid="{440948E1-39E3-460E-A5CA-ED52001505BB}" name="March 2025 - Balance Qty" dataDxfId="65">
      <calculatedColumnFormula>(Table13[[#This Row],[February 2025 - Balance Qty]]-Table13[[#This Row],[March 2025 - Issued Qty]])+Table13[[#This Row],[Incoming Qty]]</calculatedColumnFormula>
    </tableColumn>
    <tableColumn id="28" xr3:uid="{C4FB7EFF-0F21-41CF-97A0-3B71D3266641}" name="March 2025 - Total Value" dataDxfId="64" dataCellStyle="Comma">
      <calculatedColumnFormula>Table13[[#This Row],[March 2025 - Balance Qty]]*Table13[[#This Row],[Unit Cost]]</calculatedColumnFormula>
    </tableColumn>
    <tableColumn id="34" xr3:uid="{1CE9C848-246F-44FA-8BB0-E2E14465B17C}" name="Incoming Qty " dataDxfId="63" dataCellStyle="Comma"/>
    <tableColumn id="33" xr3:uid="{4B235D20-AEFD-44EC-9F1B-764E21110F0A}" name="Incoming Unit Cost " dataDxfId="62" dataCellStyle="Comma"/>
    <tableColumn id="32" xr3:uid="{F5CE5620-CC04-4187-9B8C-6816A2FE796E}" name="Incoming Total Value " dataDxfId="61" dataCellStyle="Comma"/>
    <tableColumn id="31" xr3:uid="{BAE1DDC7-DDC5-45CA-815D-47F1C8E64634}" name="April 2025 - Issued Qty " dataDxfId="60" dataCellStyle="Comma">
      <calculatedColumnFormula>SUMIF(Table326[Item],Table13[[#This Row],[Decription]],Table326[Quantity Issued])</calculatedColumnFormula>
    </tableColumn>
    <tableColumn id="30" xr3:uid="{37340132-DCA6-4B82-9914-D5D5B9500F84}" name="April 2025 - Issued Value" dataDxfId="59" dataCellStyle="Comma">
      <calculatedColumnFormula>Table13[[#This Row],[Unit Cost]]*Table13[[#This Row],[April 2025 - Issued Qty ]]</calculatedColumnFormula>
    </tableColumn>
    <tableColumn id="29" xr3:uid="{A548FB5D-2730-46F1-90EC-1DBCECDDD9DC}" name="April 2025 - Balance Qty" dataDxfId="58" dataCellStyle="Comma">
      <calculatedColumnFormula>(Table13[[#This Row],[March 2025 - Balance Qty]]-Table13[[#This Row],[April 2025 - Issued Qty ]])+Table13[[#This Row],[Incoming Qty ]]</calculatedColumnFormula>
    </tableColumn>
    <tableColumn id="25" xr3:uid="{3B612D3D-81C6-4AEB-8DF6-B5F99B15D7D1}" name="April 2025 - Total Value" dataDxfId="57" dataCellStyle="Comma">
      <calculatedColumnFormula>Table13[[#This Row],[April 2025 - Balance Qty]]*Table13[[#This Row],[Unit Cost]]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3517A7-EB4A-4EBD-965E-A37046E95004}" name="Table3" displayName="Table3" ref="A1:H75" totalsRowShown="0" headerRowDxfId="56" dataDxfId="54" headerRowBorderDxfId="55" tableBorderDxfId="53">
  <autoFilter ref="A1:H75" xr:uid="{F03517A7-EB4A-4EBD-965E-A37046E95004}"/>
  <tableColumns count="8">
    <tableColumn id="1" xr3:uid="{5E6FE03A-44DB-4B29-9688-DC0FD96FEC8B}" name="RIS No. " dataDxfId="52"/>
    <tableColumn id="2" xr3:uid="{7C078235-8BCE-40D6-8D26-A3F7E0EA2B00}" name="Responsibility Center Code" dataDxfId="51"/>
    <tableColumn id="3" xr3:uid="{8D9BB24F-63DB-4D5D-92E1-C696ECB2FD05}" name="Stock No." dataDxfId="50"/>
    <tableColumn id="4" xr3:uid="{E36AB7BA-5187-4FF7-931D-C0D1B04020C9}" name="Item" dataDxfId="49" dataCellStyle="Comma"/>
    <tableColumn id="5" xr3:uid="{EF2DE327-BAB0-44CB-8395-8D74B56133DF}" name="Unit" dataDxfId="48" dataCellStyle="Comma"/>
    <tableColumn id="6" xr3:uid="{B24DA2C6-B452-4DAF-AEC0-2DF886DEA634}" name="Quantity Issued" dataDxfId="47" dataCellStyle="Comma"/>
    <tableColumn id="7" xr3:uid="{486519BC-6948-4E48-8D0D-E908DC9E487D}" name="Unit Cost" dataDxfId="46" dataCellStyle="Comma"/>
    <tableColumn id="8" xr3:uid="{31FC738F-478E-4244-9DE2-E53891997EF0}" name="Amount" dataDxfId="45" dataCellStyle="Comma"/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E954E1-45A6-4A81-B42B-299F68B0D209}" name="Table32" displayName="Table32" ref="A1:J108" totalsRowShown="0" headerRowDxfId="44" dataDxfId="42" headerRowBorderDxfId="43" tableBorderDxfId="41" totalsRowBorderDxfId="40">
  <autoFilter ref="A1:J108" xr:uid="{F03517A7-EB4A-4EBD-965E-A37046E95004}"/>
  <sortState xmlns:xlrd2="http://schemas.microsoft.com/office/spreadsheetml/2017/richdata2" ref="A2:J108">
    <sortCondition ref="J1:J108"/>
  </sortState>
  <tableColumns count="10">
    <tableColumn id="1" xr3:uid="{6A5A3AE2-EB33-409C-A792-C4013BEA8D86}" name="RIS No. " dataDxfId="39"/>
    <tableColumn id="2" xr3:uid="{EB22199A-93F0-45BE-B7F2-DF7E8005B1A5}" name="Responsibility Center Code" dataDxfId="38"/>
    <tableColumn id="3" xr3:uid="{F7F7F6B8-CDBB-4745-A3D0-CF2FF426F361}" name="Stock No." dataDxfId="37"/>
    <tableColumn id="4" xr3:uid="{B0BE0775-E333-497C-A4B2-BDD6A92C0215}" name="Item" dataDxfId="36" dataCellStyle="Comma"/>
    <tableColumn id="5" xr3:uid="{A9CF8E55-4A2F-4356-A0C9-E4EF5DE4C0EA}" name="Unit" dataDxfId="35" dataCellStyle="Comma">
      <calculatedColumnFormula>_xlfn.XLOOKUP(Table32[[#This Row],[Item]],Table13[Decription],Table13[Unit])</calculatedColumnFormula>
    </tableColumn>
    <tableColumn id="6" xr3:uid="{C5DA8E54-EF9A-4368-ABBB-2BBCDD49F0FB}" name="Quantity Issued" dataDxfId="34" dataCellStyle="Comma"/>
    <tableColumn id="7" xr3:uid="{3C6EB6C5-B450-474E-AEA2-3B62A0081A91}" name="Unit Cost" dataDxfId="33" dataCellStyle="Comma">
      <calculatedColumnFormula>_xlfn.XLOOKUP(Table32[[#This Row],[Item]],Table13[Decription],Table13[Unit Cost])</calculatedColumnFormula>
    </tableColumn>
    <tableColumn id="8" xr3:uid="{AF52B7DF-2B9A-4536-A7C3-455508376AE2}" name="Amount" dataDxfId="32" dataCellStyle="Comma">
      <calculatedColumnFormula>Table32[[#This Row],[Unit Cost]]*Table32[[#This Row],[Quantity Issued]]</calculatedColumnFormula>
    </tableColumn>
    <tableColumn id="9" xr3:uid="{06C71D64-520B-4366-A8DF-2E3B2B8B5F34}" name="Balance" dataDxfId="31">
      <calculatedColumnFormula>_xlfn.XLOOKUP(Table32[[#This Row],[Item]],Table13[Decription],Table13[February 2025 - Balance Qty])</calculatedColumnFormula>
    </tableColumn>
    <tableColumn id="10" xr3:uid="{D081965A-386A-46E4-829E-33603D18EEB6}" name="Column1" dataDxfId="30">
      <calculatedColumnFormula>_xlfn.XLOOKUP(Table32[[#This Row],[Item]],Table13[Decription],Table13[Article])</calculatedColumnFormula>
    </tableColumn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CBF3CF-F1ED-47BA-8AC5-2A2A60D26C80}" name="Table3267" displayName="Table3267" ref="A1:J195" totalsRowShown="0" headerRowDxfId="29" dataDxfId="27" headerRowBorderDxfId="28" tableBorderDxfId="26" totalsRowBorderDxfId="25">
  <autoFilter ref="A1:J195" xr:uid="{F03517A7-EB4A-4EBD-965E-A37046E95004}"/>
  <sortState xmlns:xlrd2="http://schemas.microsoft.com/office/spreadsheetml/2017/richdata2" ref="A2:J191">
    <sortCondition ref="J1:J191"/>
  </sortState>
  <tableColumns count="10">
    <tableColumn id="1" xr3:uid="{A0B6A970-AAA4-44FD-9DB8-BAC570F39C44}" name="RIS No. " dataDxfId="24"/>
    <tableColumn id="2" xr3:uid="{3F8D2DF2-1337-47C2-8EA4-132C3858C181}" name="Responsibility Center Code" dataDxfId="23"/>
    <tableColumn id="3" xr3:uid="{6FC0CEE3-C033-41B3-BC65-FA94F4BABB23}" name="Stock No." dataDxfId="22"/>
    <tableColumn id="4" xr3:uid="{8AA67198-A8D7-4B23-A633-F745CD1EEEA0}" name="Item" dataDxfId="21" dataCellStyle="Comma"/>
    <tableColumn id="5" xr3:uid="{33DAA523-5C63-47E0-B4E4-494A5EDE239C}" name="Unit" dataDxfId="20" dataCellStyle="Comma">
      <calculatedColumnFormula>_xlfn.XLOOKUP(Table3267[[#This Row],[Item]],Table13[Decription],Table13[Unit])</calculatedColumnFormula>
    </tableColumn>
    <tableColumn id="6" xr3:uid="{2475B5E4-C9B8-4539-AF0F-A1F250BC2ACC}" name="Quantity Issued" dataDxfId="19" dataCellStyle="Comma"/>
    <tableColumn id="7" xr3:uid="{E16C0FFD-1D73-4837-ADE0-49AA6C750767}" name="Unit Cost" dataDxfId="18" dataCellStyle="Comma">
      <calculatedColumnFormula>_xlfn.XLOOKUP(Table3267[[#This Row],[Item]],Table13[Decription],Table13[Unit Cost])</calculatedColumnFormula>
    </tableColumn>
    <tableColumn id="8" xr3:uid="{BEF9142E-D995-4949-9D8C-B1C7E85EE5A0}" name="Amount" dataDxfId="17" dataCellStyle="Comma">
      <calculatedColumnFormula>Table3267[[#This Row],[Unit Cost]]*Table3267[[#This Row],[Quantity Issued]]</calculatedColumnFormula>
    </tableColumn>
    <tableColumn id="9" xr3:uid="{0D9F641E-D560-413C-AFE6-0C2733690422}" name="Balance" dataDxfId="16">
      <calculatedColumnFormula>_xlfn.XLOOKUP(Table3267[[#This Row],[Item]],Table13[Decription],Table13[February 2025 - Balance Qty])</calculatedColumnFormula>
    </tableColumn>
    <tableColumn id="10" xr3:uid="{F0B0CAA4-EA43-4F4A-8763-A0B4118589A2}" name="Column1" dataDxfId="15">
      <calculatedColumnFormula>_xlfn.XLOOKUP(Table3267[[#This Row],[Item]],Table13[Decription],Table13[Article])</calculatedColumnFormula>
    </tableColumn>
  </tableColumns>
  <tableStyleInfo name="TableStyleLight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C72BC8-793B-4A0E-A509-D11A705BC635}" name="Table326" displayName="Table326" ref="A1:J197" totalsRowShown="0" headerRowDxfId="14" dataDxfId="12" headerRowBorderDxfId="13" tableBorderDxfId="11" totalsRowBorderDxfId="10">
  <autoFilter ref="A1:J197" xr:uid="{F03517A7-EB4A-4EBD-965E-A37046E95004}"/>
  <sortState xmlns:xlrd2="http://schemas.microsoft.com/office/spreadsheetml/2017/richdata2" ref="A2:J197">
    <sortCondition ref="J1:J197"/>
  </sortState>
  <tableColumns count="10">
    <tableColumn id="1" xr3:uid="{3B37E91C-D159-4B3C-970B-3930AB3A198E}" name="RIS No. " dataDxfId="9"/>
    <tableColumn id="2" xr3:uid="{DD0A2F69-AE24-439D-AC03-97C25AA36582}" name="Responsibility Center Code" dataDxfId="8"/>
    <tableColumn id="3" xr3:uid="{E036DBFB-38EF-4512-9F11-F0669A3F4CE7}" name="Stock No." dataDxfId="7"/>
    <tableColumn id="4" xr3:uid="{C84DBF15-200F-4D56-BF5B-1ED5C96F4929}" name="Item" dataDxfId="6" dataCellStyle="Comma"/>
    <tableColumn id="5" xr3:uid="{F89F6F7F-3158-4A6B-AA91-C7C995368DA5}" name="Unit" dataDxfId="5" dataCellStyle="Comma">
      <calculatedColumnFormula>_xlfn.XLOOKUP(Table326[[#This Row],[Item]],Table13[Decription],Table13[Unit])</calculatedColumnFormula>
    </tableColumn>
    <tableColumn id="6" xr3:uid="{985E414B-9473-4203-A635-24359BFAA859}" name="Quantity Issued" dataDxfId="4" dataCellStyle="Comma"/>
    <tableColumn id="7" xr3:uid="{54935AEA-CB01-4B77-AAB9-E5DB210EE1CD}" name="Unit Cost" dataDxfId="3" dataCellStyle="Comma">
      <calculatedColumnFormula>_xlfn.XLOOKUP(Table326[[#This Row],[Item]],Table13[Decription],Table13[Unit Cost])</calculatedColumnFormula>
    </tableColumn>
    <tableColumn id="8" xr3:uid="{03C2D8C8-DDF8-45A6-8023-7C2AA78F7050}" name="Amount" dataDxfId="2" dataCellStyle="Comma">
      <calculatedColumnFormula>Table326[[#This Row],[Unit Cost]]*Table326[[#This Row],[Quantity Issued]]</calculatedColumnFormula>
    </tableColumn>
    <tableColumn id="9" xr3:uid="{42E0D4D4-8F99-4B89-88DF-5B313727579F}" name="Balance" dataDxfId="1">
      <calculatedColumnFormula>_xlfn.XLOOKUP(Table326[[#This Row],[Item]],Table13[Decription],Table13[April 2025 - Balance Qty])</calculatedColumnFormula>
    </tableColumn>
    <tableColumn id="10" xr3:uid="{0A16C602-32C8-442B-AD2E-101D4C57ED21}" name="Category" dataDxfId="0">
      <calculatedColumnFormula>_xlfn.XLOOKUP(Table326[[#This Row],[Item]],Table13[Decription],Table13[Article])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D710-BBA6-4C12-B430-78B5FFE46239}">
  <sheetPr codeName="Sheet8"/>
  <dimension ref="A1:Y157"/>
  <sheetViews>
    <sheetView topLeftCell="A2" zoomScale="88" workbookViewId="0">
      <selection activeCell="A4" sqref="A4"/>
    </sheetView>
  </sheetViews>
  <sheetFormatPr defaultRowHeight="14.5"/>
  <cols>
    <col min="1" max="1" width="13.1796875" bestFit="1" customWidth="1"/>
    <col min="2" max="2" width="18.54296875" bestFit="1" customWidth="1"/>
    <col min="3" max="3" width="50.90625" bestFit="1" customWidth="1"/>
    <col min="4" max="4" width="6.6328125" bestFit="1" customWidth="1"/>
    <col min="5" max="5" width="18.08984375" bestFit="1" customWidth="1"/>
    <col min="6" max="6" width="11.81640625" bestFit="1" customWidth="1"/>
    <col min="7" max="7" width="12.54296875" bestFit="1" customWidth="1"/>
    <col min="8" max="8" width="24.6328125" bestFit="1" customWidth="1"/>
    <col min="9" max="9" width="26.36328125" bestFit="1" customWidth="1"/>
    <col min="10" max="10" width="25.7265625" bestFit="1" customWidth="1"/>
    <col min="11" max="11" width="25.26953125" bestFit="1" customWidth="1"/>
    <col min="12" max="12" width="14.1796875" bestFit="1" customWidth="1"/>
    <col min="13" max="13" width="19" bestFit="1" customWidth="1"/>
    <col min="14" max="14" width="20.81640625" bestFit="1" customWidth="1"/>
    <col min="15" max="15" width="25.6328125" bestFit="1" customWidth="1"/>
    <col min="16" max="16" width="27.453125" bestFit="1" customWidth="1"/>
    <col min="17" max="17" width="26.7265625" bestFit="1" customWidth="1"/>
    <col min="18" max="18" width="26.26953125" bestFit="1" customWidth="1"/>
    <col min="19" max="19" width="15.26953125" bestFit="1" customWidth="1"/>
    <col min="20" max="20" width="20.08984375" bestFit="1" customWidth="1"/>
    <col min="21" max="21" width="21.81640625" bestFit="1" customWidth="1"/>
    <col min="22" max="22" width="23.54296875" bestFit="1" customWidth="1"/>
    <col min="23" max="23" width="26.26953125" bestFit="1" customWidth="1"/>
    <col min="24" max="24" width="25.6328125" bestFit="1" customWidth="1"/>
    <col min="25" max="25" width="25.1796875" bestFit="1" customWidth="1"/>
  </cols>
  <sheetData>
    <row r="1" spans="1:25">
      <c r="A1" t="s">
        <v>79</v>
      </c>
      <c r="B1" t="s">
        <v>80</v>
      </c>
      <c r="C1" t="s">
        <v>81</v>
      </c>
      <c r="D1" t="s">
        <v>15</v>
      </c>
      <c r="E1" t="s">
        <v>82</v>
      </c>
      <c r="F1" t="s">
        <v>17</v>
      </c>
      <c r="G1" t="s">
        <v>83</v>
      </c>
      <c r="H1" t="s">
        <v>224</v>
      </c>
      <c r="I1" t="s">
        <v>223</v>
      </c>
      <c r="J1" t="s">
        <v>227</v>
      </c>
      <c r="K1" t="s">
        <v>222</v>
      </c>
      <c r="L1" t="s">
        <v>270</v>
      </c>
      <c r="M1" t="s">
        <v>272</v>
      </c>
      <c r="N1" t="s">
        <v>271</v>
      </c>
      <c r="O1" t="s">
        <v>232</v>
      </c>
      <c r="P1" t="s">
        <v>233</v>
      </c>
      <c r="Q1" t="s">
        <v>234</v>
      </c>
      <c r="R1" t="s">
        <v>235</v>
      </c>
      <c r="S1" t="s">
        <v>322</v>
      </c>
      <c r="T1" t="s">
        <v>323</v>
      </c>
      <c r="U1" t="s">
        <v>324</v>
      </c>
      <c r="V1" t="s">
        <v>325</v>
      </c>
      <c r="W1" t="s">
        <v>330</v>
      </c>
      <c r="X1" t="s">
        <v>331</v>
      </c>
      <c r="Y1" t="s">
        <v>332</v>
      </c>
    </row>
    <row r="2" spans="1:25">
      <c r="A2" s="228" t="s">
        <v>77</v>
      </c>
      <c r="B2" s="228" t="s">
        <v>84</v>
      </c>
      <c r="C2" s="228" t="s">
        <v>279</v>
      </c>
      <c r="D2" s="228" t="s">
        <v>27</v>
      </c>
      <c r="E2">
        <v>1</v>
      </c>
      <c r="F2">
        <v>75</v>
      </c>
      <c r="G2">
        <v>75</v>
      </c>
      <c r="H2">
        <v>0</v>
      </c>
      <c r="I2">
        <v>0</v>
      </c>
      <c r="J2">
        <v>1</v>
      </c>
      <c r="K2">
        <v>75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75</v>
      </c>
      <c r="T2">
        <v>0</v>
      </c>
      <c r="U2">
        <v>0</v>
      </c>
      <c r="V2">
        <v>0</v>
      </c>
      <c r="W2">
        <v>0</v>
      </c>
      <c r="X2">
        <v>1</v>
      </c>
      <c r="Y2">
        <v>75</v>
      </c>
    </row>
    <row r="3" spans="1:25">
      <c r="A3" s="228" t="s">
        <v>77</v>
      </c>
      <c r="B3" s="228" t="s">
        <v>84</v>
      </c>
      <c r="C3" s="228" t="s">
        <v>85</v>
      </c>
      <c r="D3" s="228" t="s">
        <v>27</v>
      </c>
      <c r="E3">
        <v>5</v>
      </c>
      <c r="F3">
        <v>110</v>
      </c>
      <c r="G3">
        <v>550</v>
      </c>
      <c r="H3">
        <v>0</v>
      </c>
      <c r="I3">
        <v>0</v>
      </c>
      <c r="J3">
        <v>5</v>
      </c>
      <c r="K3">
        <v>550</v>
      </c>
      <c r="L3">
        <v>0</v>
      </c>
      <c r="M3">
        <v>0</v>
      </c>
      <c r="N3">
        <v>0</v>
      </c>
      <c r="O3">
        <v>2</v>
      </c>
      <c r="P3">
        <v>220</v>
      </c>
      <c r="Q3">
        <v>3</v>
      </c>
      <c r="R3">
        <v>330</v>
      </c>
      <c r="S3">
        <v>0</v>
      </c>
      <c r="T3">
        <v>0</v>
      </c>
      <c r="U3">
        <v>0</v>
      </c>
      <c r="V3">
        <v>2</v>
      </c>
      <c r="W3">
        <v>220</v>
      </c>
      <c r="X3">
        <v>3</v>
      </c>
      <c r="Y3">
        <v>330</v>
      </c>
    </row>
    <row r="4" spans="1:25">
      <c r="A4" s="228" t="s">
        <v>77</v>
      </c>
      <c r="B4" s="228" t="s">
        <v>84</v>
      </c>
      <c r="C4" s="228" t="s">
        <v>86</v>
      </c>
      <c r="D4" s="228" t="s">
        <v>27</v>
      </c>
      <c r="E4">
        <v>5</v>
      </c>
      <c r="F4">
        <v>403</v>
      </c>
      <c r="G4">
        <v>2015</v>
      </c>
      <c r="H4">
        <v>0</v>
      </c>
      <c r="I4">
        <v>0</v>
      </c>
      <c r="J4">
        <v>5</v>
      </c>
      <c r="K4">
        <v>2015</v>
      </c>
      <c r="L4">
        <v>0</v>
      </c>
      <c r="M4">
        <v>0</v>
      </c>
      <c r="N4">
        <v>0</v>
      </c>
      <c r="O4">
        <v>0</v>
      </c>
      <c r="P4">
        <v>0</v>
      </c>
      <c r="Q4">
        <v>5</v>
      </c>
      <c r="R4">
        <v>2015</v>
      </c>
      <c r="S4">
        <v>0</v>
      </c>
      <c r="T4">
        <v>0</v>
      </c>
      <c r="U4">
        <v>0</v>
      </c>
      <c r="V4">
        <v>0</v>
      </c>
      <c r="W4">
        <v>0</v>
      </c>
      <c r="X4">
        <v>5</v>
      </c>
      <c r="Y4">
        <v>2015</v>
      </c>
    </row>
    <row r="5" spans="1:25">
      <c r="A5" s="228" t="s">
        <v>77</v>
      </c>
      <c r="B5" s="228" t="s">
        <v>87</v>
      </c>
      <c r="C5" s="228" t="s">
        <v>88</v>
      </c>
      <c r="D5" s="228" t="s">
        <v>27</v>
      </c>
      <c r="E5">
        <v>2</v>
      </c>
      <c r="F5">
        <v>470</v>
      </c>
      <c r="G5">
        <v>940</v>
      </c>
      <c r="H5">
        <v>0</v>
      </c>
      <c r="I5">
        <v>0</v>
      </c>
      <c r="J5">
        <v>2</v>
      </c>
      <c r="K5">
        <v>940</v>
      </c>
      <c r="L5">
        <v>0</v>
      </c>
      <c r="M5">
        <v>0</v>
      </c>
      <c r="N5">
        <v>0</v>
      </c>
      <c r="O5">
        <v>0</v>
      </c>
      <c r="P5">
        <v>0</v>
      </c>
      <c r="Q5">
        <v>2</v>
      </c>
      <c r="R5">
        <v>940</v>
      </c>
      <c r="S5">
        <v>0</v>
      </c>
      <c r="T5">
        <v>0</v>
      </c>
      <c r="U5">
        <v>0</v>
      </c>
      <c r="V5">
        <v>0</v>
      </c>
      <c r="W5">
        <v>0</v>
      </c>
      <c r="X5">
        <v>2</v>
      </c>
      <c r="Y5">
        <v>940</v>
      </c>
    </row>
    <row r="6" spans="1:25">
      <c r="A6" s="228" t="s">
        <v>77</v>
      </c>
      <c r="B6" s="228" t="s">
        <v>87</v>
      </c>
      <c r="C6" s="228" t="s">
        <v>89</v>
      </c>
      <c r="D6" s="228" t="s">
        <v>27</v>
      </c>
      <c r="E6">
        <v>47</v>
      </c>
      <c r="F6">
        <v>38.89</v>
      </c>
      <c r="G6">
        <v>1827.83</v>
      </c>
      <c r="H6">
        <v>0</v>
      </c>
      <c r="I6">
        <v>0</v>
      </c>
      <c r="J6">
        <v>47</v>
      </c>
      <c r="K6">
        <v>1827.83</v>
      </c>
      <c r="L6">
        <v>0</v>
      </c>
      <c r="M6">
        <v>0</v>
      </c>
      <c r="N6">
        <v>0</v>
      </c>
      <c r="O6">
        <v>17</v>
      </c>
      <c r="P6">
        <v>661.13</v>
      </c>
      <c r="Q6">
        <v>30</v>
      </c>
      <c r="R6">
        <v>1166.7</v>
      </c>
      <c r="S6">
        <v>0</v>
      </c>
      <c r="T6">
        <v>0</v>
      </c>
      <c r="U6">
        <v>0</v>
      </c>
      <c r="V6">
        <v>17</v>
      </c>
      <c r="W6">
        <v>661.13</v>
      </c>
      <c r="X6">
        <v>30</v>
      </c>
      <c r="Y6">
        <v>1166.7</v>
      </c>
    </row>
    <row r="7" spans="1:25">
      <c r="A7" s="228" t="s">
        <v>77</v>
      </c>
      <c r="B7" s="228" t="s">
        <v>87</v>
      </c>
      <c r="C7" s="228" t="s">
        <v>90</v>
      </c>
      <c r="D7" s="228" t="s">
        <v>27</v>
      </c>
      <c r="E7">
        <v>2</v>
      </c>
      <c r="F7">
        <v>290</v>
      </c>
      <c r="G7">
        <v>580</v>
      </c>
      <c r="H7">
        <v>0</v>
      </c>
      <c r="I7">
        <v>0</v>
      </c>
      <c r="J7">
        <v>2</v>
      </c>
      <c r="K7">
        <v>580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580</v>
      </c>
      <c r="S7">
        <v>0</v>
      </c>
      <c r="T7">
        <v>0</v>
      </c>
      <c r="U7">
        <v>0</v>
      </c>
      <c r="V7">
        <v>0</v>
      </c>
      <c r="W7">
        <v>0</v>
      </c>
      <c r="X7">
        <v>2</v>
      </c>
      <c r="Y7">
        <v>580</v>
      </c>
    </row>
    <row r="8" spans="1:25">
      <c r="A8" s="228" t="s">
        <v>77</v>
      </c>
      <c r="B8" s="228" t="s">
        <v>87</v>
      </c>
      <c r="C8" s="228" t="s">
        <v>91</v>
      </c>
      <c r="D8" s="228" t="s">
        <v>27</v>
      </c>
      <c r="E8">
        <v>5</v>
      </c>
      <c r="F8">
        <v>6</v>
      </c>
      <c r="G8">
        <v>30</v>
      </c>
      <c r="H8">
        <v>0</v>
      </c>
      <c r="I8">
        <v>0</v>
      </c>
      <c r="J8">
        <v>5</v>
      </c>
      <c r="K8">
        <v>30</v>
      </c>
      <c r="L8">
        <v>0</v>
      </c>
      <c r="M8">
        <v>0</v>
      </c>
      <c r="N8">
        <v>0</v>
      </c>
      <c r="O8">
        <v>0</v>
      </c>
      <c r="P8">
        <v>0</v>
      </c>
      <c r="Q8">
        <v>5</v>
      </c>
      <c r="R8">
        <v>30</v>
      </c>
      <c r="S8">
        <v>0</v>
      </c>
      <c r="T8">
        <v>0</v>
      </c>
      <c r="U8">
        <v>0</v>
      </c>
      <c r="V8">
        <v>0</v>
      </c>
      <c r="W8">
        <v>0</v>
      </c>
      <c r="X8">
        <v>5</v>
      </c>
      <c r="Y8">
        <v>30</v>
      </c>
    </row>
    <row r="9" spans="1:25">
      <c r="A9" s="228" t="s">
        <v>77</v>
      </c>
      <c r="B9" s="228" t="s">
        <v>87</v>
      </c>
      <c r="C9" s="228" t="s">
        <v>92</v>
      </c>
      <c r="D9" s="228" t="s">
        <v>27</v>
      </c>
      <c r="E9">
        <v>4</v>
      </c>
      <c r="F9">
        <v>132</v>
      </c>
      <c r="G9">
        <v>528</v>
      </c>
      <c r="H9">
        <v>0</v>
      </c>
      <c r="I9">
        <v>0</v>
      </c>
      <c r="J9">
        <v>4</v>
      </c>
      <c r="K9">
        <v>528</v>
      </c>
      <c r="L9">
        <v>0</v>
      </c>
      <c r="M9">
        <v>0</v>
      </c>
      <c r="N9">
        <v>0</v>
      </c>
      <c r="O9">
        <v>0</v>
      </c>
      <c r="P9">
        <v>0</v>
      </c>
      <c r="Q9">
        <v>4</v>
      </c>
      <c r="R9">
        <v>528</v>
      </c>
      <c r="S9">
        <v>0</v>
      </c>
      <c r="T9">
        <v>0</v>
      </c>
      <c r="U9">
        <v>0</v>
      </c>
      <c r="V9">
        <v>0</v>
      </c>
      <c r="W9">
        <v>0</v>
      </c>
      <c r="X9">
        <v>4</v>
      </c>
      <c r="Y9">
        <v>528</v>
      </c>
    </row>
    <row r="10" spans="1:25">
      <c r="A10" s="228" t="s">
        <v>77</v>
      </c>
      <c r="B10" s="228" t="s">
        <v>87</v>
      </c>
      <c r="C10" s="228" t="s">
        <v>93</v>
      </c>
      <c r="D10" s="228" t="s">
        <v>29</v>
      </c>
      <c r="E10">
        <v>4</v>
      </c>
      <c r="F10">
        <v>200</v>
      </c>
      <c r="G10">
        <v>800</v>
      </c>
      <c r="H10">
        <v>0</v>
      </c>
      <c r="I10">
        <v>0</v>
      </c>
      <c r="J10">
        <v>4</v>
      </c>
      <c r="K10">
        <v>800</v>
      </c>
      <c r="L10">
        <v>0</v>
      </c>
      <c r="M10">
        <v>0</v>
      </c>
      <c r="N10">
        <v>0</v>
      </c>
      <c r="O10">
        <v>0</v>
      </c>
      <c r="P10">
        <v>0</v>
      </c>
      <c r="Q10">
        <v>4</v>
      </c>
      <c r="R10">
        <v>800</v>
      </c>
      <c r="S10">
        <v>0</v>
      </c>
      <c r="T10">
        <v>0</v>
      </c>
      <c r="U10">
        <v>0</v>
      </c>
      <c r="V10">
        <v>0</v>
      </c>
      <c r="W10">
        <v>0</v>
      </c>
      <c r="X10">
        <v>4</v>
      </c>
      <c r="Y10">
        <v>800</v>
      </c>
    </row>
    <row r="11" spans="1:25">
      <c r="A11" s="228" t="s">
        <v>77</v>
      </c>
      <c r="B11" s="228" t="s">
        <v>87</v>
      </c>
      <c r="C11" s="228" t="s">
        <v>94</v>
      </c>
      <c r="D11" s="228" t="s">
        <v>27</v>
      </c>
      <c r="E11">
        <v>5</v>
      </c>
      <c r="F11">
        <v>45</v>
      </c>
      <c r="G11">
        <v>225</v>
      </c>
      <c r="H11">
        <v>0</v>
      </c>
      <c r="I11">
        <v>0</v>
      </c>
      <c r="J11">
        <v>5</v>
      </c>
      <c r="K11">
        <v>225</v>
      </c>
      <c r="L11">
        <v>0</v>
      </c>
      <c r="M11">
        <v>0</v>
      </c>
      <c r="N11">
        <v>0</v>
      </c>
      <c r="O11">
        <v>0</v>
      </c>
      <c r="P11">
        <v>0</v>
      </c>
      <c r="Q11">
        <v>5</v>
      </c>
      <c r="R11">
        <v>225</v>
      </c>
      <c r="S11">
        <v>0</v>
      </c>
      <c r="T11">
        <v>0</v>
      </c>
      <c r="U11">
        <v>0</v>
      </c>
      <c r="V11">
        <v>0</v>
      </c>
      <c r="W11">
        <v>0</v>
      </c>
      <c r="X11">
        <v>5</v>
      </c>
      <c r="Y11">
        <v>225</v>
      </c>
    </row>
    <row r="12" spans="1:25">
      <c r="A12" s="228" t="s">
        <v>77</v>
      </c>
      <c r="B12" s="228" t="s">
        <v>87</v>
      </c>
      <c r="C12" s="228" t="s">
        <v>95</v>
      </c>
      <c r="D12" s="228" t="s">
        <v>27</v>
      </c>
      <c r="E12">
        <v>1</v>
      </c>
      <c r="F12">
        <v>38</v>
      </c>
      <c r="G12">
        <v>38</v>
      </c>
      <c r="H12">
        <v>0</v>
      </c>
      <c r="I12">
        <v>0</v>
      </c>
      <c r="J12">
        <v>1</v>
      </c>
      <c r="K12">
        <v>38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38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38</v>
      </c>
    </row>
    <row r="13" spans="1:25">
      <c r="A13" s="228" t="s">
        <v>77</v>
      </c>
      <c r="B13" s="228" t="s">
        <v>87</v>
      </c>
      <c r="C13" s="228" t="s">
        <v>96</v>
      </c>
      <c r="D13" s="228" t="s">
        <v>97</v>
      </c>
      <c r="E13">
        <v>18</v>
      </c>
      <c r="F13">
        <v>27.22</v>
      </c>
      <c r="G13">
        <v>489.96</v>
      </c>
      <c r="H13">
        <v>0</v>
      </c>
      <c r="I13">
        <v>0</v>
      </c>
      <c r="J13">
        <v>18</v>
      </c>
      <c r="K13">
        <v>489.96</v>
      </c>
      <c r="L13">
        <v>0</v>
      </c>
      <c r="M13">
        <v>0</v>
      </c>
      <c r="N13">
        <v>0</v>
      </c>
      <c r="O13">
        <v>0</v>
      </c>
      <c r="P13">
        <v>0</v>
      </c>
      <c r="Q13">
        <v>18</v>
      </c>
      <c r="R13">
        <v>489.96</v>
      </c>
      <c r="S13">
        <v>0</v>
      </c>
      <c r="T13">
        <v>0</v>
      </c>
      <c r="U13">
        <v>0</v>
      </c>
      <c r="V13">
        <v>0</v>
      </c>
      <c r="W13">
        <v>0</v>
      </c>
      <c r="X13">
        <v>18</v>
      </c>
      <c r="Y13">
        <v>489.96</v>
      </c>
    </row>
    <row r="14" spans="1:25">
      <c r="A14" s="228" t="s">
        <v>77</v>
      </c>
      <c r="B14" s="228" t="s">
        <v>98</v>
      </c>
      <c r="C14" s="228" t="s">
        <v>99</v>
      </c>
      <c r="D14" s="228" t="s">
        <v>100</v>
      </c>
      <c r="E14">
        <v>3</v>
      </c>
      <c r="F14">
        <v>42</v>
      </c>
      <c r="G14">
        <v>126</v>
      </c>
      <c r="H14">
        <v>0</v>
      </c>
      <c r="I14">
        <v>0</v>
      </c>
      <c r="J14">
        <v>3</v>
      </c>
      <c r="K14">
        <v>126</v>
      </c>
      <c r="L14">
        <v>0</v>
      </c>
      <c r="M14">
        <v>0</v>
      </c>
      <c r="N14">
        <v>0</v>
      </c>
      <c r="O14">
        <v>0</v>
      </c>
      <c r="P14">
        <v>0</v>
      </c>
      <c r="Q14">
        <v>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3</v>
      </c>
      <c r="Y14">
        <v>126</v>
      </c>
    </row>
    <row r="15" spans="1:25">
      <c r="A15" s="228" t="s">
        <v>77</v>
      </c>
      <c r="B15" s="228" t="s">
        <v>98</v>
      </c>
      <c r="C15" s="228" t="s">
        <v>101</v>
      </c>
      <c r="D15" s="228" t="s">
        <v>27</v>
      </c>
      <c r="E15">
        <v>1</v>
      </c>
      <c r="F15">
        <v>120</v>
      </c>
      <c r="G15">
        <v>120</v>
      </c>
      <c r="H15">
        <v>0</v>
      </c>
      <c r="I15">
        <v>0</v>
      </c>
      <c r="J15">
        <v>1</v>
      </c>
      <c r="K15">
        <v>120</v>
      </c>
      <c r="L15">
        <v>0</v>
      </c>
      <c r="M15">
        <v>0</v>
      </c>
      <c r="N15">
        <v>0</v>
      </c>
      <c r="O15">
        <v>1</v>
      </c>
      <c r="P15">
        <v>120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120</v>
      </c>
      <c r="X15">
        <v>0</v>
      </c>
      <c r="Y15">
        <v>0</v>
      </c>
    </row>
    <row r="16" spans="1:25">
      <c r="A16" s="228" t="s">
        <v>77</v>
      </c>
      <c r="B16" s="228" t="s">
        <v>98</v>
      </c>
      <c r="C16" s="228" t="s">
        <v>46</v>
      </c>
      <c r="D16" s="228" t="s">
        <v>27</v>
      </c>
      <c r="E16">
        <v>3</v>
      </c>
      <c r="F16">
        <v>276</v>
      </c>
      <c r="G16">
        <v>828</v>
      </c>
      <c r="H16">
        <v>3</v>
      </c>
      <c r="I16">
        <v>828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s="228" t="s">
        <v>77</v>
      </c>
      <c r="B17" s="228" t="s">
        <v>98</v>
      </c>
      <c r="C17" s="228" t="s">
        <v>49</v>
      </c>
      <c r="D17" s="228" t="s">
        <v>29</v>
      </c>
      <c r="E17">
        <v>13</v>
      </c>
      <c r="F17">
        <v>47.93</v>
      </c>
      <c r="G17">
        <v>623.09</v>
      </c>
      <c r="H17">
        <v>1</v>
      </c>
      <c r="I17">
        <v>47.93</v>
      </c>
      <c r="J17">
        <v>12</v>
      </c>
      <c r="K17">
        <v>575.16</v>
      </c>
      <c r="L17">
        <v>0</v>
      </c>
      <c r="M17">
        <v>0</v>
      </c>
      <c r="N17">
        <v>0</v>
      </c>
      <c r="O17">
        <v>4</v>
      </c>
      <c r="P17">
        <v>191.72</v>
      </c>
      <c r="Q17">
        <v>8</v>
      </c>
      <c r="R17">
        <v>383.44</v>
      </c>
      <c r="S17">
        <v>0</v>
      </c>
      <c r="T17">
        <v>0</v>
      </c>
      <c r="U17">
        <v>0</v>
      </c>
      <c r="V17">
        <v>4</v>
      </c>
      <c r="W17">
        <v>191.72</v>
      </c>
      <c r="X17">
        <v>8</v>
      </c>
      <c r="Y17">
        <v>383.44</v>
      </c>
    </row>
    <row r="18" spans="1:25">
      <c r="A18" s="228" t="s">
        <v>77</v>
      </c>
      <c r="B18" s="228" t="s">
        <v>98</v>
      </c>
      <c r="C18" s="228" t="s">
        <v>102</v>
      </c>
      <c r="D18" s="228" t="s">
        <v>29</v>
      </c>
      <c r="E18">
        <v>7</v>
      </c>
      <c r="F18">
        <v>100</v>
      </c>
      <c r="G18">
        <v>700</v>
      </c>
      <c r="H18">
        <v>0</v>
      </c>
      <c r="I18">
        <v>0</v>
      </c>
      <c r="J18">
        <v>7</v>
      </c>
      <c r="K18">
        <v>700</v>
      </c>
      <c r="L18">
        <v>0</v>
      </c>
      <c r="M18">
        <v>0</v>
      </c>
      <c r="N18">
        <v>0</v>
      </c>
      <c r="O18">
        <v>4</v>
      </c>
      <c r="P18">
        <v>400</v>
      </c>
      <c r="Q18">
        <v>3</v>
      </c>
      <c r="R18">
        <v>300</v>
      </c>
      <c r="S18">
        <v>0</v>
      </c>
      <c r="T18">
        <v>0</v>
      </c>
      <c r="U18">
        <v>0</v>
      </c>
      <c r="V18">
        <v>4</v>
      </c>
      <c r="W18">
        <v>400</v>
      </c>
      <c r="X18">
        <v>3</v>
      </c>
      <c r="Y18">
        <v>300</v>
      </c>
    </row>
    <row r="19" spans="1:25">
      <c r="A19" s="228" t="s">
        <v>77</v>
      </c>
      <c r="B19" s="228" t="s">
        <v>98</v>
      </c>
      <c r="C19" s="228" t="s">
        <v>47</v>
      </c>
      <c r="D19" s="228" t="s">
        <v>29</v>
      </c>
      <c r="E19">
        <v>17</v>
      </c>
      <c r="F19">
        <v>34.33</v>
      </c>
      <c r="G19">
        <v>583.61</v>
      </c>
      <c r="H19">
        <v>1</v>
      </c>
      <c r="I19">
        <v>34.33</v>
      </c>
      <c r="J19">
        <v>16</v>
      </c>
      <c r="K19">
        <v>549.28</v>
      </c>
      <c r="L19">
        <v>0</v>
      </c>
      <c r="M19">
        <v>0</v>
      </c>
      <c r="N19">
        <v>0</v>
      </c>
      <c r="O19">
        <v>2</v>
      </c>
      <c r="P19">
        <v>68.66</v>
      </c>
      <c r="Q19">
        <v>14</v>
      </c>
      <c r="R19">
        <v>480.62</v>
      </c>
      <c r="S19">
        <v>0</v>
      </c>
      <c r="T19">
        <v>0</v>
      </c>
      <c r="U19">
        <v>0</v>
      </c>
      <c r="V19">
        <v>2</v>
      </c>
      <c r="W19">
        <v>68.66</v>
      </c>
      <c r="X19">
        <v>14</v>
      </c>
      <c r="Y19">
        <v>480.62</v>
      </c>
    </row>
    <row r="20" spans="1:25">
      <c r="A20" s="228" t="s">
        <v>77</v>
      </c>
      <c r="B20" s="228" t="s">
        <v>98</v>
      </c>
      <c r="C20" s="228" t="s">
        <v>48</v>
      </c>
      <c r="D20" s="228" t="s">
        <v>27</v>
      </c>
      <c r="E20">
        <v>150</v>
      </c>
      <c r="F20">
        <v>3.875</v>
      </c>
      <c r="G20">
        <v>581.25</v>
      </c>
      <c r="H20">
        <v>9</v>
      </c>
      <c r="I20">
        <v>34.875</v>
      </c>
      <c r="J20">
        <v>141</v>
      </c>
      <c r="K20">
        <v>546.375</v>
      </c>
      <c r="L20">
        <v>0</v>
      </c>
      <c r="M20">
        <v>0</v>
      </c>
      <c r="N20">
        <v>0</v>
      </c>
      <c r="O20">
        <v>36</v>
      </c>
      <c r="P20">
        <v>139.5</v>
      </c>
      <c r="Q20">
        <v>105</v>
      </c>
      <c r="R20">
        <v>406.875</v>
      </c>
      <c r="S20">
        <v>0</v>
      </c>
      <c r="T20">
        <v>0</v>
      </c>
      <c r="U20">
        <v>0</v>
      </c>
      <c r="V20">
        <v>36</v>
      </c>
      <c r="W20">
        <v>139.5</v>
      </c>
      <c r="X20">
        <v>105</v>
      </c>
      <c r="Y20">
        <v>406.875</v>
      </c>
    </row>
    <row r="21" spans="1:25">
      <c r="A21" s="228" t="s">
        <v>77</v>
      </c>
      <c r="B21" s="228" t="s">
        <v>98</v>
      </c>
      <c r="C21" s="228" t="s">
        <v>103</v>
      </c>
      <c r="D21" s="228" t="s">
        <v>27</v>
      </c>
      <c r="E21">
        <v>5</v>
      </c>
      <c r="F21">
        <v>170</v>
      </c>
      <c r="G21">
        <v>850</v>
      </c>
      <c r="H21">
        <v>0</v>
      </c>
      <c r="I21">
        <v>0</v>
      </c>
      <c r="J21">
        <v>5</v>
      </c>
      <c r="K21">
        <v>850</v>
      </c>
      <c r="L21">
        <v>0</v>
      </c>
      <c r="M21">
        <v>0</v>
      </c>
      <c r="N21">
        <v>0</v>
      </c>
      <c r="O21">
        <v>0</v>
      </c>
      <c r="P21">
        <v>0</v>
      </c>
      <c r="Q21">
        <v>5</v>
      </c>
      <c r="R21">
        <v>850</v>
      </c>
      <c r="S21">
        <v>0</v>
      </c>
      <c r="T21">
        <v>0</v>
      </c>
      <c r="U21">
        <v>0</v>
      </c>
      <c r="V21">
        <v>0</v>
      </c>
      <c r="W21">
        <v>0</v>
      </c>
      <c r="X21">
        <v>5</v>
      </c>
      <c r="Y21">
        <v>850</v>
      </c>
    </row>
    <row r="22" spans="1:25">
      <c r="A22" s="228" t="s">
        <v>77</v>
      </c>
      <c r="B22" s="228" t="s">
        <v>98</v>
      </c>
      <c r="C22" s="228" t="s">
        <v>104</v>
      </c>
      <c r="D22" s="228" t="s">
        <v>100</v>
      </c>
      <c r="E22">
        <v>16</v>
      </c>
      <c r="F22">
        <v>440</v>
      </c>
      <c r="G22">
        <v>7040</v>
      </c>
      <c r="H22">
        <v>0</v>
      </c>
      <c r="I22">
        <v>0</v>
      </c>
      <c r="J22">
        <v>16</v>
      </c>
      <c r="K22">
        <v>7040</v>
      </c>
      <c r="L22">
        <v>0</v>
      </c>
      <c r="M22">
        <v>0</v>
      </c>
      <c r="N22">
        <v>0</v>
      </c>
      <c r="O22">
        <v>0</v>
      </c>
      <c r="P22">
        <v>0</v>
      </c>
      <c r="Q22">
        <v>16</v>
      </c>
      <c r="R22">
        <v>7040</v>
      </c>
      <c r="S22">
        <v>0</v>
      </c>
      <c r="T22">
        <v>0</v>
      </c>
      <c r="U22">
        <v>0</v>
      </c>
      <c r="V22">
        <v>0</v>
      </c>
      <c r="W22">
        <v>0</v>
      </c>
      <c r="X22">
        <v>16</v>
      </c>
      <c r="Y22">
        <v>7040</v>
      </c>
    </row>
    <row r="23" spans="1:25">
      <c r="A23" s="228" t="s">
        <v>77</v>
      </c>
      <c r="B23" s="228" t="s">
        <v>98</v>
      </c>
      <c r="C23" s="228" t="s">
        <v>52</v>
      </c>
      <c r="D23" s="228" t="s">
        <v>27</v>
      </c>
      <c r="E23">
        <v>93</v>
      </c>
      <c r="F23">
        <v>20</v>
      </c>
      <c r="G23">
        <v>1860</v>
      </c>
      <c r="H23">
        <v>1</v>
      </c>
      <c r="I23">
        <v>20</v>
      </c>
      <c r="J23">
        <v>92</v>
      </c>
      <c r="K23">
        <v>1840</v>
      </c>
      <c r="L23">
        <v>0</v>
      </c>
      <c r="M23">
        <v>0</v>
      </c>
      <c r="N23">
        <v>0</v>
      </c>
      <c r="O23">
        <v>0</v>
      </c>
      <c r="P23">
        <v>0</v>
      </c>
      <c r="Q23">
        <v>92</v>
      </c>
      <c r="R23">
        <v>1840</v>
      </c>
      <c r="S23">
        <v>0</v>
      </c>
      <c r="T23">
        <v>0</v>
      </c>
      <c r="U23">
        <v>0</v>
      </c>
      <c r="V23">
        <v>0</v>
      </c>
      <c r="W23">
        <v>0</v>
      </c>
      <c r="X23">
        <v>92</v>
      </c>
      <c r="Y23">
        <v>1840</v>
      </c>
    </row>
    <row r="24" spans="1:25">
      <c r="A24" s="228" t="s">
        <v>77</v>
      </c>
      <c r="B24" s="228" t="s">
        <v>98</v>
      </c>
      <c r="C24" s="228" t="s">
        <v>53</v>
      </c>
      <c r="D24" s="228" t="s">
        <v>27</v>
      </c>
      <c r="E24">
        <v>37</v>
      </c>
      <c r="F24">
        <v>20</v>
      </c>
      <c r="G24">
        <v>740</v>
      </c>
      <c r="H24">
        <v>1</v>
      </c>
      <c r="I24">
        <v>20</v>
      </c>
      <c r="J24">
        <v>36</v>
      </c>
      <c r="K24">
        <v>720</v>
      </c>
      <c r="L24">
        <v>0</v>
      </c>
      <c r="M24">
        <v>0</v>
      </c>
      <c r="N24">
        <v>0</v>
      </c>
      <c r="O24">
        <v>0</v>
      </c>
      <c r="P24">
        <v>0</v>
      </c>
      <c r="Q24">
        <v>36</v>
      </c>
      <c r="R24">
        <v>720</v>
      </c>
      <c r="S24">
        <v>0</v>
      </c>
      <c r="T24">
        <v>0</v>
      </c>
      <c r="U24">
        <v>0</v>
      </c>
      <c r="V24">
        <v>0</v>
      </c>
      <c r="W24">
        <v>0</v>
      </c>
      <c r="X24">
        <v>36</v>
      </c>
      <c r="Y24">
        <v>720</v>
      </c>
    </row>
    <row r="25" spans="1:25">
      <c r="A25" s="228" t="s">
        <v>77</v>
      </c>
      <c r="B25" s="228" t="s">
        <v>98</v>
      </c>
      <c r="C25" s="228" t="s">
        <v>105</v>
      </c>
      <c r="D25" s="228" t="s">
        <v>27</v>
      </c>
      <c r="E25">
        <v>65</v>
      </c>
      <c r="F25">
        <v>27.264615299999999</v>
      </c>
      <c r="G25">
        <v>1772.1999945</v>
      </c>
      <c r="H25">
        <v>0</v>
      </c>
      <c r="I25">
        <v>0</v>
      </c>
      <c r="J25">
        <v>65</v>
      </c>
      <c r="K25">
        <v>1772.1999945</v>
      </c>
      <c r="L25">
        <v>0</v>
      </c>
      <c r="M25">
        <v>0</v>
      </c>
      <c r="N25">
        <v>0</v>
      </c>
      <c r="O25">
        <v>0</v>
      </c>
      <c r="P25">
        <v>0</v>
      </c>
      <c r="Q25">
        <v>65</v>
      </c>
      <c r="R25">
        <v>1772.1999945</v>
      </c>
      <c r="S25">
        <v>0</v>
      </c>
      <c r="T25">
        <v>0</v>
      </c>
      <c r="U25">
        <v>0</v>
      </c>
      <c r="V25">
        <v>0</v>
      </c>
      <c r="W25">
        <v>0</v>
      </c>
      <c r="X25">
        <v>65</v>
      </c>
      <c r="Y25">
        <v>1772.1999945</v>
      </c>
    </row>
    <row r="26" spans="1:25">
      <c r="A26" s="228" t="s">
        <v>77</v>
      </c>
      <c r="B26" s="228" t="s">
        <v>98</v>
      </c>
      <c r="C26" s="228" t="s">
        <v>69</v>
      </c>
      <c r="D26" s="228" t="s">
        <v>27</v>
      </c>
      <c r="E26">
        <v>46</v>
      </c>
      <c r="F26">
        <v>25</v>
      </c>
      <c r="G26">
        <v>1150</v>
      </c>
      <c r="H26">
        <v>8</v>
      </c>
      <c r="I26">
        <v>200</v>
      </c>
      <c r="J26">
        <v>38</v>
      </c>
      <c r="K26">
        <v>950</v>
      </c>
      <c r="L26">
        <v>0</v>
      </c>
      <c r="M26">
        <v>0</v>
      </c>
      <c r="N26">
        <v>0</v>
      </c>
      <c r="O26">
        <v>0</v>
      </c>
      <c r="P26">
        <v>0</v>
      </c>
      <c r="Q26">
        <v>38</v>
      </c>
      <c r="R26">
        <v>950</v>
      </c>
      <c r="S26">
        <v>0</v>
      </c>
      <c r="T26">
        <v>0</v>
      </c>
      <c r="U26">
        <v>0</v>
      </c>
      <c r="V26">
        <v>0</v>
      </c>
      <c r="W26">
        <v>0</v>
      </c>
      <c r="X26">
        <v>38</v>
      </c>
      <c r="Y26">
        <v>950</v>
      </c>
    </row>
    <row r="27" spans="1:25">
      <c r="A27" s="228" t="s">
        <v>77</v>
      </c>
      <c r="B27" s="228" t="s">
        <v>98</v>
      </c>
      <c r="C27" s="228" t="s">
        <v>106</v>
      </c>
      <c r="D27" s="228" t="s">
        <v>27</v>
      </c>
      <c r="E27">
        <v>30</v>
      </c>
      <c r="F27">
        <v>110</v>
      </c>
      <c r="G27">
        <v>3300</v>
      </c>
      <c r="H27">
        <v>0</v>
      </c>
      <c r="I27">
        <v>0</v>
      </c>
      <c r="J27">
        <v>30</v>
      </c>
      <c r="K27">
        <v>3300</v>
      </c>
      <c r="L27">
        <v>0</v>
      </c>
      <c r="M27">
        <v>0</v>
      </c>
      <c r="N27">
        <v>0</v>
      </c>
      <c r="O27">
        <v>0</v>
      </c>
      <c r="P27">
        <v>0</v>
      </c>
      <c r="Q27">
        <v>30</v>
      </c>
      <c r="R27">
        <v>3300</v>
      </c>
      <c r="S27">
        <v>0</v>
      </c>
      <c r="T27">
        <v>0</v>
      </c>
      <c r="U27">
        <v>0</v>
      </c>
      <c r="V27">
        <v>0</v>
      </c>
      <c r="W27">
        <v>0</v>
      </c>
      <c r="X27">
        <v>30</v>
      </c>
      <c r="Y27">
        <v>3300</v>
      </c>
    </row>
    <row r="28" spans="1:25">
      <c r="A28" s="228" t="s">
        <v>77</v>
      </c>
      <c r="B28" s="228" t="s">
        <v>98</v>
      </c>
      <c r="C28" s="228" t="s">
        <v>107</v>
      </c>
      <c r="D28" s="228" t="s">
        <v>27</v>
      </c>
      <c r="E28">
        <v>20</v>
      </c>
      <c r="F28">
        <v>22</v>
      </c>
      <c r="G28">
        <v>440</v>
      </c>
      <c r="H28">
        <v>0</v>
      </c>
      <c r="I28">
        <v>0</v>
      </c>
      <c r="J28">
        <v>20</v>
      </c>
      <c r="K28">
        <v>440</v>
      </c>
      <c r="L28">
        <v>0</v>
      </c>
      <c r="M28">
        <v>0</v>
      </c>
      <c r="N28">
        <v>0</v>
      </c>
      <c r="O28">
        <v>0</v>
      </c>
      <c r="P28">
        <v>0</v>
      </c>
      <c r="Q28">
        <v>20</v>
      </c>
      <c r="R28">
        <v>440</v>
      </c>
      <c r="S28">
        <v>0</v>
      </c>
      <c r="T28">
        <v>0</v>
      </c>
      <c r="U28">
        <v>0</v>
      </c>
      <c r="V28">
        <v>0</v>
      </c>
      <c r="W28">
        <v>0</v>
      </c>
      <c r="X28">
        <v>20</v>
      </c>
      <c r="Y28">
        <v>440</v>
      </c>
    </row>
    <row r="29" spans="1:25">
      <c r="A29" s="228" t="s">
        <v>77</v>
      </c>
      <c r="B29" s="228" t="s">
        <v>98</v>
      </c>
      <c r="C29" s="228" t="s">
        <v>65</v>
      </c>
      <c r="D29" s="228" t="s">
        <v>29</v>
      </c>
      <c r="E29">
        <v>3</v>
      </c>
      <c r="F29">
        <v>145</v>
      </c>
      <c r="G29">
        <v>435</v>
      </c>
      <c r="H29">
        <v>1</v>
      </c>
      <c r="I29">
        <v>145</v>
      </c>
      <c r="J29">
        <v>2</v>
      </c>
      <c r="K29">
        <v>290</v>
      </c>
      <c r="L29">
        <v>0</v>
      </c>
      <c r="M29">
        <v>0</v>
      </c>
      <c r="N29">
        <v>0</v>
      </c>
      <c r="O29">
        <v>0</v>
      </c>
      <c r="P29">
        <v>0</v>
      </c>
      <c r="Q29">
        <v>2</v>
      </c>
      <c r="R29">
        <v>290</v>
      </c>
      <c r="S29">
        <v>0</v>
      </c>
      <c r="T29">
        <v>0</v>
      </c>
      <c r="U29">
        <v>0</v>
      </c>
      <c r="V29">
        <v>0</v>
      </c>
      <c r="W29">
        <v>0</v>
      </c>
      <c r="X29">
        <v>2</v>
      </c>
      <c r="Y29">
        <v>290</v>
      </c>
    </row>
    <row r="30" spans="1:25">
      <c r="A30" s="228" t="s">
        <v>77</v>
      </c>
      <c r="B30" s="228" t="s">
        <v>98</v>
      </c>
      <c r="C30" s="228" t="s">
        <v>108</v>
      </c>
      <c r="D30" s="228" t="s">
        <v>29</v>
      </c>
      <c r="E30">
        <v>14</v>
      </c>
      <c r="F30">
        <v>43.53</v>
      </c>
      <c r="G30">
        <v>609.42000000000007</v>
      </c>
      <c r="H30">
        <v>0</v>
      </c>
      <c r="I30">
        <v>0</v>
      </c>
      <c r="J30">
        <v>14</v>
      </c>
      <c r="K30">
        <v>609.42000000000007</v>
      </c>
      <c r="L30">
        <v>0</v>
      </c>
      <c r="M30">
        <v>0</v>
      </c>
      <c r="N30">
        <v>0</v>
      </c>
      <c r="O30">
        <v>0</v>
      </c>
      <c r="P30">
        <v>0</v>
      </c>
      <c r="Q30">
        <v>14</v>
      </c>
      <c r="R30">
        <v>609.42000000000007</v>
      </c>
      <c r="S30">
        <v>0</v>
      </c>
      <c r="U30">
        <v>0</v>
      </c>
      <c r="V30">
        <v>0</v>
      </c>
      <c r="W30">
        <v>0</v>
      </c>
      <c r="X30">
        <v>14</v>
      </c>
      <c r="Y30">
        <v>609.42000000000007</v>
      </c>
    </row>
    <row r="31" spans="1:25">
      <c r="A31" s="228" t="s">
        <v>77</v>
      </c>
      <c r="B31" s="228" t="s">
        <v>98</v>
      </c>
      <c r="C31" s="228" t="s">
        <v>109</v>
      </c>
      <c r="D31" s="228" t="s">
        <v>27</v>
      </c>
      <c r="E31">
        <v>5</v>
      </c>
      <c r="F31">
        <v>245</v>
      </c>
      <c r="G31">
        <v>1225</v>
      </c>
      <c r="H31">
        <v>0</v>
      </c>
      <c r="I31">
        <v>0</v>
      </c>
      <c r="J31">
        <v>5</v>
      </c>
      <c r="K31">
        <v>1225</v>
      </c>
      <c r="L31">
        <v>0</v>
      </c>
      <c r="M31">
        <v>0</v>
      </c>
      <c r="N31">
        <v>0</v>
      </c>
      <c r="O31">
        <v>1</v>
      </c>
      <c r="P31">
        <v>245</v>
      </c>
      <c r="Q31">
        <v>4</v>
      </c>
      <c r="R31">
        <v>980</v>
      </c>
      <c r="S31">
        <v>0</v>
      </c>
      <c r="T31">
        <v>0</v>
      </c>
      <c r="U31">
        <v>0</v>
      </c>
      <c r="V31">
        <v>1</v>
      </c>
      <c r="W31">
        <v>245</v>
      </c>
      <c r="X31">
        <v>4</v>
      </c>
      <c r="Y31">
        <v>980</v>
      </c>
    </row>
    <row r="32" spans="1:25">
      <c r="A32" s="228" t="s">
        <v>77</v>
      </c>
      <c r="B32" s="228" t="s">
        <v>98</v>
      </c>
      <c r="C32" s="228" t="s">
        <v>110</v>
      </c>
      <c r="D32" s="228" t="s">
        <v>27</v>
      </c>
      <c r="E32">
        <v>2</v>
      </c>
      <c r="F32">
        <v>206.67</v>
      </c>
      <c r="G32">
        <v>413.34</v>
      </c>
      <c r="H32">
        <v>2</v>
      </c>
      <c r="I32">
        <v>413.34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s="228" t="s">
        <v>77</v>
      </c>
      <c r="B33" s="228" t="s">
        <v>98</v>
      </c>
      <c r="C33" s="228" t="s">
        <v>111</v>
      </c>
      <c r="D33" s="228" t="s">
        <v>27</v>
      </c>
      <c r="E33">
        <v>10</v>
      </c>
      <c r="F33">
        <v>190</v>
      </c>
      <c r="G33">
        <v>1900</v>
      </c>
      <c r="H33">
        <v>0</v>
      </c>
      <c r="I33">
        <v>0</v>
      </c>
      <c r="J33">
        <v>10</v>
      </c>
      <c r="K33">
        <v>1900</v>
      </c>
      <c r="L33">
        <v>0</v>
      </c>
      <c r="M33">
        <v>0</v>
      </c>
      <c r="N33">
        <v>0</v>
      </c>
      <c r="O33">
        <v>0</v>
      </c>
      <c r="P33">
        <v>0</v>
      </c>
      <c r="Q33">
        <v>10</v>
      </c>
      <c r="R33">
        <v>1900</v>
      </c>
      <c r="S33">
        <v>0</v>
      </c>
      <c r="T33">
        <v>0</v>
      </c>
      <c r="U33">
        <v>0</v>
      </c>
      <c r="V33">
        <v>0</v>
      </c>
      <c r="W33">
        <v>0</v>
      </c>
      <c r="X33">
        <v>10</v>
      </c>
      <c r="Y33">
        <v>1900</v>
      </c>
    </row>
    <row r="34" spans="1:25">
      <c r="A34" s="228" t="s">
        <v>77</v>
      </c>
      <c r="B34" s="228" t="s">
        <v>98</v>
      </c>
      <c r="C34" s="228" t="s">
        <v>68</v>
      </c>
      <c r="D34" s="228" t="s">
        <v>29</v>
      </c>
      <c r="E34">
        <v>7</v>
      </c>
      <c r="F34">
        <v>20</v>
      </c>
      <c r="G34">
        <v>140</v>
      </c>
      <c r="H34">
        <v>4</v>
      </c>
      <c r="I34">
        <v>80</v>
      </c>
      <c r="J34">
        <v>3</v>
      </c>
      <c r="K34">
        <v>60</v>
      </c>
      <c r="L34">
        <v>0</v>
      </c>
      <c r="M34">
        <v>0</v>
      </c>
      <c r="O34">
        <v>0</v>
      </c>
      <c r="P34">
        <v>0</v>
      </c>
      <c r="Q34">
        <v>3</v>
      </c>
      <c r="R34">
        <v>60</v>
      </c>
      <c r="S34">
        <v>0</v>
      </c>
      <c r="T34">
        <v>0</v>
      </c>
      <c r="V34">
        <v>0</v>
      </c>
      <c r="W34">
        <v>0</v>
      </c>
      <c r="X34">
        <v>3</v>
      </c>
      <c r="Y34">
        <v>60</v>
      </c>
    </row>
    <row r="35" spans="1:25">
      <c r="A35" s="228" t="s">
        <v>77</v>
      </c>
      <c r="B35" s="228" t="s">
        <v>98</v>
      </c>
      <c r="C35" s="228" t="s">
        <v>112</v>
      </c>
      <c r="D35" s="228" t="s">
        <v>29</v>
      </c>
      <c r="E35">
        <v>9</v>
      </c>
      <c r="F35">
        <v>33.93</v>
      </c>
      <c r="G35">
        <v>305.37</v>
      </c>
      <c r="H35">
        <v>2</v>
      </c>
      <c r="I35">
        <v>67.86</v>
      </c>
      <c r="J35">
        <v>7</v>
      </c>
      <c r="K35">
        <v>237.51</v>
      </c>
      <c r="L35">
        <v>0</v>
      </c>
      <c r="M35">
        <v>0</v>
      </c>
      <c r="N35">
        <v>0</v>
      </c>
      <c r="O35">
        <v>1</v>
      </c>
      <c r="P35">
        <v>33.93</v>
      </c>
      <c r="Q35">
        <v>6</v>
      </c>
      <c r="R35">
        <v>203.57999999999998</v>
      </c>
      <c r="S35">
        <v>0</v>
      </c>
      <c r="T35">
        <v>0</v>
      </c>
      <c r="U35">
        <v>0</v>
      </c>
      <c r="V35">
        <v>1</v>
      </c>
      <c r="W35">
        <v>33.93</v>
      </c>
      <c r="X35">
        <v>6</v>
      </c>
      <c r="Y35">
        <v>203.57999999999998</v>
      </c>
    </row>
    <row r="36" spans="1:25">
      <c r="A36" s="228" t="s">
        <v>77</v>
      </c>
      <c r="B36" s="228" t="s">
        <v>98</v>
      </c>
      <c r="C36" s="228" t="s">
        <v>50</v>
      </c>
      <c r="D36" s="228" t="s">
        <v>27</v>
      </c>
      <c r="E36">
        <v>1</v>
      </c>
      <c r="F36">
        <v>30</v>
      </c>
      <c r="G36">
        <v>30</v>
      </c>
      <c r="H36">
        <v>1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s="228" t="s">
        <v>77</v>
      </c>
      <c r="B37" s="228" t="s">
        <v>98</v>
      </c>
      <c r="C37" s="228" t="s">
        <v>113</v>
      </c>
      <c r="D37" s="228" t="s">
        <v>27</v>
      </c>
      <c r="E37">
        <v>4</v>
      </c>
      <c r="F37">
        <v>15</v>
      </c>
      <c r="G37">
        <v>60</v>
      </c>
      <c r="H37">
        <v>0</v>
      </c>
      <c r="I37">
        <v>0</v>
      </c>
      <c r="J37">
        <v>4</v>
      </c>
      <c r="K37">
        <v>60</v>
      </c>
      <c r="L37">
        <v>0</v>
      </c>
      <c r="M37">
        <v>0</v>
      </c>
      <c r="N37">
        <v>0</v>
      </c>
      <c r="O37">
        <v>0</v>
      </c>
      <c r="P37">
        <v>0</v>
      </c>
      <c r="Q37">
        <v>4</v>
      </c>
      <c r="R37">
        <v>60</v>
      </c>
      <c r="S37">
        <v>0</v>
      </c>
      <c r="T37">
        <v>0</v>
      </c>
      <c r="U37">
        <v>0</v>
      </c>
      <c r="V37">
        <v>0</v>
      </c>
      <c r="W37">
        <v>0</v>
      </c>
      <c r="X37">
        <v>4</v>
      </c>
      <c r="Y37">
        <v>60</v>
      </c>
    </row>
    <row r="38" spans="1:25">
      <c r="A38" s="228" t="s">
        <v>77</v>
      </c>
      <c r="B38" s="228" t="s">
        <v>98</v>
      </c>
      <c r="C38" s="228" t="s">
        <v>114</v>
      </c>
      <c r="D38" s="228" t="s">
        <v>100</v>
      </c>
      <c r="E38">
        <v>29</v>
      </c>
      <c r="F38">
        <v>27.6</v>
      </c>
      <c r="G38">
        <v>800.40000000000009</v>
      </c>
      <c r="H38">
        <v>0</v>
      </c>
      <c r="I38">
        <v>0</v>
      </c>
      <c r="J38">
        <v>29</v>
      </c>
      <c r="K38">
        <v>800.40000000000009</v>
      </c>
      <c r="L38">
        <v>0</v>
      </c>
      <c r="M38">
        <v>0</v>
      </c>
      <c r="N38">
        <v>0</v>
      </c>
      <c r="O38">
        <v>0</v>
      </c>
      <c r="P38">
        <v>0</v>
      </c>
      <c r="Q38">
        <v>29</v>
      </c>
      <c r="R38">
        <v>800.40000000000009</v>
      </c>
      <c r="S38">
        <v>0</v>
      </c>
      <c r="T38">
        <v>0</v>
      </c>
      <c r="U38">
        <v>0</v>
      </c>
      <c r="V38">
        <v>0</v>
      </c>
      <c r="W38">
        <v>0</v>
      </c>
      <c r="X38">
        <v>29</v>
      </c>
      <c r="Y38">
        <v>800.40000000000009</v>
      </c>
    </row>
    <row r="39" spans="1:25">
      <c r="A39" s="228" t="s">
        <v>77</v>
      </c>
      <c r="B39" s="228" t="s">
        <v>98</v>
      </c>
      <c r="C39" s="228" t="s">
        <v>115</v>
      </c>
      <c r="D39" s="228" t="s">
        <v>100</v>
      </c>
      <c r="E39">
        <v>46</v>
      </c>
      <c r="F39">
        <v>20</v>
      </c>
      <c r="G39">
        <v>920</v>
      </c>
      <c r="H39">
        <v>0</v>
      </c>
      <c r="I39">
        <v>0</v>
      </c>
      <c r="J39">
        <v>46</v>
      </c>
      <c r="K39">
        <v>920</v>
      </c>
      <c r="L39">
        <v>0</v>
      </c>
      <c r="M39">
        <v>0</v>
      </c>
      <c r="N39">
        <v>0</v>
      </c>
      <c r="O39">
        <v>0</v>
      </c>
      <c r="P39">
        <v>0</v>
      </c>
      <c r="Q39">
        <v>46</v>
      </c>
      <c r="R39">
        <v>920</v>
      </c>
      <c r="S39">
        <v>0</v>
      </c>
      <c r="T39">
        <v>0</v>
      </c>
      <c r="U39">
        <v>0</v>
      </c>
      <c r="V39">
        <v>0</v>
      </c>
      <c r="W39">
        <v>0</v>
      </c>
      <c r="X39">
        <v>46</v>
      </c>
      <c r="Y39">
        <v>920</v>
      </c>
    </row>
    <row r="40" spans="1:25">
      <c r="A40" s="228" t="s">
        <v>77</v>
      </c>
      <c r="B40" s="228" t="s">
        <v>98</v>
      </c>
      <c r="C40" s="228" t="s">
        <v>116</v>
      </c>
      <c r="D40" s="228" t="s">
        <v>29</v>
      </c>
      <c r="E40">
        <v>5</v>
      </c>
      <c r="F40">
        <v>88.46</v>
      </c>
      <c r="G40">
        <v>442.29999999999995</v>
      </c>
      <c r="H40">
        <v>0</v>
      </c>
      <c r="I40">
        <v>0</v>
      </c>
      <c r="J40">
        <v>5</v>
      </c>
      <c r="K40">
        <v>442.29999999999995</v>
      </c>
      <c r="L40">
        <v>0</v>
      </c>
      <c r="M40">
        <v>0</v>
      </c>
      <c r="N40">
        <v>0</v>
      </c>
      <c r="O40">
        <v>3</v>
      </c>
      <c r="P40">
        <v>265.38</v>
      </c>
      <c r="Q40">
        <v>2</v>
      </c>
      <c r="R40">
        <v>176.92</v>
      </c>
      <c r="S40">
        <v>0</v>
      </c>
      <c r="T40">
        <v>0</v>
      </c>
      <c r="U40">
        <v>0</v>
      </c>
      <c r="V40">
        <v>3</v>
      </c>
      <c r="W40">
        <v>265.38</v>
      </c>
      <c r="X40">
        <v>2</v>
      </c>
      <c r="Y40">
        <v>176.92</v>
      </c>
    </row>
    <row r="41" spans="1:25">
      <c r="A41" s="228" t="s">
        <v>77</v>
      </c>
      <c r="B41" s="228" t="s">
        <v>98</v>
      </c>
      <c r="C41" s="228" t="s">
        <v>64</v>
      </c>
      <c r="D41" s="228" t="s">
        <v>27</v>
      </c>
      <c r="E41">
        <v>527</v>
      </c>
      <c r="F41">
        <v>8.5755407899999998</v>
      </c>
      <c r="G41">
        <v>4519.3099963300001</v>
      </c>
      <c r="H41">
        <v>12</v>
      </c>
      <c r="I41">
        <v>102.90648948</v>
      </c>
      <c r="J41">
        <v>515</v>
      </c>
      <c r="K41">
        <v>4416.4035068499998</v>
      </c>
      <c r="L41">
        <v>0</v>
      </c>
      <c r="M41">
        <v>0</v>
      </c>
      <c r="N41">
        <v>0</v>
      </c>
      <c r="O41">
        <v>120</v>
      </c>
      <c r="P41">
        <v>1029.0648948</v>
      </c>
      <c r="Q41">
        <v>395</v>
      </c>
      <c r="R41">
        <v>3387.3386120499999</v>
      </c>
      <c r="S41">
        <v>0</v>
      </c>
      <c r="T41">
        <v>0</v>
      </c>
      <c r="U41">
        <v>0</v>
      </c>
      <c r="V41">
        <v>120</v>
      </c>
      <c r="W41">
        <v>1029.0648948</v>
      </c>
      <c r="X41">
        <v>395</v>
      </c>
      <c r="Y41">
        <v>3387.3386120499999</v>
      </c>
    </row>
    <row r="42" spans="1:25">
      <c r="A42" s="228" t="s">
        <v>77</v>
      </c>
      <c r="B42" s="228" t="s">
        <v>117</v>
      </c>
      <c r="C42" s="228" t="s">
        <v>118</v>
      </c>
      <c r="D42" s="228" t="s">
        <v>27</v>
      </c>
      <c r="E42">
        <v>3</v>
      </c>
      <c r="F42">
        <v>121</v>
      </c>
      <c r="G42">
        <v>363</v>
      </c>
      <c r="H42">
        <v>0</v>
      </c>
      <c r="I42">
        <v>0</v>
      </c>
      <c r="J42">
        <v>3</v>
      </c>
      <c r="K42">
        <v>363</v>
      </c>
      <c r="L42">
        <v>0</v>
      </c>
      <c r="M42">
        <v>0</v>
      </c>
      <c r="N42">
        <v>0</v>
      </c>
      <c r="O42">
        <v>0</v>
      </c>
      <c r="P42">
        <v>0</v>
      </c>
      <c r="Q42">
        <v>3</v>
      </c>
      <c r="R42">
        <v>363</v>
      </c>
      <c r="S42">
        <v>0</v>
      </c>
      <c r="T42">
        <v>0</v>
      </c>
      <c r="U42">
        <v>0</v>
      </c>
      <c r="V42">
        <v>0</v>
      </c>
      <c r="W42">
        <v>0</v>
      </c>
      <c r="X42">
        <v>3</v>
      </c>
      <c r="Y42">
        <v>363</v>
      </c>
    </row>
    <row r="43" spans="1:25">
      <c r="A43" s="228" t="s">
        <v>77</v>
      </c>
      <c r="B43" s="228" t="s">
        <v>117</v>
      </c>
      <c r="C43" s="228" t="s">
        <v>119</v>
      </c>
      <c r="D43" s="228" t="s">
        <v>27</v>
      </c>
      <c r="E43">
        <v>5</v>
      </c>
      <c r="F43">
        <v>144</v>
      </c>
      <c r="G43">
        <v>720</v>
      </c>
      <c r="H43">
        <v>0</v>
      </c>
      <c r="I43">
        <v>0</v>
      </c>
      <c r="J43">
        <v>5</v>
      </c>
      <c r="K43">
        <v>720</v>
      </c>
      <c r="L43">
        <v>0</v>
      </c>
      <c r="M43">
        <v>0</v>
      </c>
      <c r="N43">
        <v>0</v>
      </c>
      <c r="O43">
        <v>0</v>
      </c>
      <c r="P43">
        <v>0</v>
      </c>
      <c r="Q43">
        <v>5</v>
      </c>
      <c r="R43">
        <v>720</v>
      </c>
      <c r="S43">
        <v>0</v>
      </c>
      <c r="T43">
        <v>0</v>
      </c>
      <c r="U43">
        <v>0</v>
      </c>
      <c r="V43">
        <v>0</v>
      </c>
      <c r="W43">
        <v>0</v>
      </c>
      <c r="X43">
        <v>5</v>
      </c>
      <c r="Y43">
        <v>720</v>
      </c>
    </row>
    <row r="44" spans="1:25">
      <c r="A44" s="228" t="s">
        <v>77</v>
      </c>
      <c r="B44" s="228" t="s">
        <v>117</v>
      </c>
      <c r="C44" s="228" t="s">
        <v>120</v>
      </c>
      <c r="D44" s="228" t="s">
        <v>38</v>
      </c>
      <c r="E44">
        <v>35</v>
      </c>
      <c r="F44">
        <v>80.558285699999999</v>
      </c>
      <c r="G44">
        <v>2819.5399994999998</v>
      </c>
      <c r="H44">
        <v>0</v>
      </c>
      <c r="I44">
        <v>0</v>
      </c>
      <c r="J44">
        <v>35</v>
      </c>
      <c r="K44">
        <v>2819.5399994999998</v>
      </c>
      <c r="L44">
        <v>0</v>
      </c>
      <c r="M44">
        <v>0</v>
      </c>
      <c r="N44">
        <v>0</v>
      </c>
      <c r="O44">
        <v>1</v>
      </c>
      <c r="P44">
        <v>80.558285699999999</v>
      </c>
      <c r="Q44">
        <v>34</v>
      </c>
      <c r="R44">
        <v>2738.9817137999999</v>
      </c>
      <c r="S44">
        <v>0</v>
      </c>
      <c r="T44">
        <v>0</v>
      </c>
      <c r="U44">
        <v>0</v>
      </c>
      <c r="V44">
        <v>1</v>
      </c>
      <c r="W44">
        <v>80.558285699999999</v>
      </c>
      <c r="X44">
        <v>34</v>
      </c>
      <c r="Y44">
        <v>2738.9817137999999</v>
      </c>
    </row>
    <row r="45" spans="1:25">
      <c r="A45" s="228" t="s">
        <v>77</v>
      </c>
      <c r="B45" s="228" t="s">
        <v>117</v>
      </c>
      <c r="C45" s="228" t="s">
        <v>121</v>
      </c>
      <c r="D45" s="228" t="s">
        <v>32</v>
      </c>
      <c r="E45">
        <v>1</v>
      </c>
      <c r="F45">
        <v>1093</v>
      </c>
      <c r="G45">
        <v>1093</v>
      </c>
      <c r="H45">
        <v>0</v>
      </c>
      <c r="I45">
        <v>0</v>
      </c>
      <c r="J45">
        <v>1</v>
      </c>
      <c r="K45">
        <v>1093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1093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1093</v>
      </c>
    </row>
    <row r="46" spans="1:25">
      <c r="A46" s="228" t="s">
        <v>77</v>
      </c>
      <c r="B46" s="228" t="s">
        <v>117</v>
      </c>
      <c r="C46" s="228" t="s">
        <v>122</v>
      </c>
      <c r="D46" s="228" t="s">
        <v>100</v>
      </c>
      <c r="E46">
        <v>44</v>
      </c>
      <c r="F46">
        <v>83.18</v>
      </c>
      <c r="G46">
        <v>3659.92</v>
      </c>
      <c r="H46">
        <v>0</v>
      </c>
      <c r="I46">
        <v>0</v>
      </c>
      <c r="J46">
        <v>44</v>
      </c>
      <c r="K46">
        <v>3659.92</v>
      </c>
      <c r="L46">
        <v>0</v>
      </c>
      <c r="M46">
        <v>0</v>
      </c>
      <c r="N46">
        <v>0</v>
      </c>
      <c r="O46">
        <v>1</v>
      </c>
      <c r="P46">
        <v>83.18</v>
      </c>
      <c r="Q46">
        <v>43</v>
      </c>
      <c r="R46">
        <v>3576.7400000000002</v>
      </c>
      <c r="S46">
        <v>0</v>
      </c>
      <c r="T46">
        <v>0</v>
      </c>
      <c r="U46">
        <v>0</v>
      </c>
      <c r="V46">
        <v>1</v>
      </c>
      <c r="W46">
        <v>83.18</v>
      </c>
      <c r="X46">
        <v>43</v>
      </c>
      <c r="Y46">
        <v>3576.7400000000002</v>
      </c>
    </row>
    <row r="47" spans="1:25">
      <c r="A47" s="228" t="s">
        <v>77</v>
      </c>
      <c r="B47" s="228" t="s">
        <v>117</v>
      </c>
      <c r="C47" s="228" t="s">
        <v>123</v>
      </c>
      <c r="D47" s="228" t="s">
        <v>27</v>
      </c>
      <c r="E47">
        <v>10</v>
      </c>
      <c r="F47">
        <v>235</v>
      </c>
      <c r="G47">
        <v>2350</v>
      </c>
      <c r="H47">
        <v>0</v>
      </c>
      <c r="I47">
        <v>0</v>
      </c>
      <c r="J47">
        <v>10</v>
      </c>
      <c r="K47">
        <v>2350</v>
      </c>
      <c r="L47">
        <v>0</v>
      </c>
      <c r="M47">
        <v>0</v>
      </c>
      <c r="N47">
        <v>0</v>
      </c>
      <c r="O47">
        <v>0</v>
      </c>
      <c r="P47">
        <v>0</v>
      </c>
      <c r="Q47">
        <v>10</v>
      </c>
      <c r="R47">
        <v>2350</v>
      </c>
      <c r="S47">
        <v>0</v>
      </c>
      <c r="T47">
        <v>0</v>
      </c>
      <c r="U47">
        <v>0</v>
      </c>
      <c r="V47">
        <v>0</v>
      </c>
      <c r="W47">
        <v>0</v>
      </c>
      <c r="X47">
        <v>10</v>
      </c>
      <c r="Y47">
        <v>2350</v>
      </c>
    </row>
    <row r="48" spans="1:25">
      <c r="A48" s="228" t="s">
        <v>77</v>
      </c>
      <c r="B48" s="228" t="s">
        <v>124</v>
      </c>
      <c r="C48" s="228" t="s">
        <v>125</v>
      </c>
      <c r="D48" s="228" t="s">
        <v>38</v>
      </c>
      <c r="E48">
        <v>5</v>
      </c>
      <c r="F48">
        <v>150</v>
      </c>
      <c r="G48">
        <v>750</v>
      </c>
      <c r="H48">
        <v>0</v>
      </c>
      <c r="I48">
        <v>0</v>
      </c>
      <c r="J48">
        <v>5</v>
      </c>
      <c r="K48">
        <v>750</v>
      </c>
      <c r="L48">
        <v>0</v>
      </c>
      <c r="M48">
        <v>0</v>
      </c>
      <c r="N48">
        <v>0</v>
      </c>
      <c r="O48">
        <v>0</v>
      </c>
      <c r="P48">
        <v>0</v>
      </c>
      <c r="Q48">
        <v>5</v>
      </c>
      <c r="R48">
        <v>750</v>
      </c>
      <c r="S48">
        <v>0</v>
      </c>
      <c r="T48">
        <v>0</v>
      </c>
      <c r="U48">
        <v>0</v>
      </c>
      <c r="V48">
        <v>0</v>
      </c>
      <c r="W48">
        <v>0</v>
      </c>
      <c r="X48">
        <v>5</v>
      </c>
      <c r="Y48">
        <v>750</v>
      </c>
    </row>
    <row r="49" spans="1:25">
      <c r="A49" s="228" t="s">
        <v>77</v>
      </c>
      <c r="B49" s="228" t="s">
        <v>124</v>
      </c>
      <c r="C49" s="228" t="s">
        <v>67</v>
      </c>
      <c r="D49" s="228" t="s">
        <v>38</v>
      </c>
      <c r="E49">
        <v>10</v>
      </c>
      <c r="F49">
        <v>225</v>
      </c>
      <c r="G49">
        <v>2250</v>
      </c>
      <c r="H49">
        <v>1</v>
      </c>
      <c r="I49">
        <v>225</v>
      </c>
      <c r="J49">
        <v>9</v>
      </c>
      <c r="K49">
        <v>2025</v>
      </c>
      <c r="L49">
        <v>0</v>
      </c>
      <c r="M49">
        <v>0</v>
      </c>
      <c r="N49">
        <v>0</v>
      </c>
      <c r="O49">
        <v>0</v>
      </c>
      <c r="P49">
        <v>0</v>
      </c>
      <c r="Q49">
        <v>9</v>
      </c>
      <c r="R49">
        <v>2025</v>
      </c>
      <c r="S49">
        <v>0</v>
      </c>
      <c r="T49">
        <v>0</v>
      </c>
      <c r="U49">
        <v>0</v>
      </c>
      <c r="V49">
        <v>0</v>
      </c>
      <c r="W49">
        <v>0</v>
      </c>
      <c r="X49">
        <v>9</v>
      </c>
      <c r="Y49">
        <v>2025</v>
      </c>
    </row>
    <row r="50" spans="1:25">
      <c r="A50" s="228" t="s">
        <v>77</v>
      </c>
      <c r="B50" s="228" t="s">
        <v>124</v>
      </c>
      <c r="C50" s="228" t="s">
        <v>126</v>
      </c>
      <c r="D50" s="228" t="s">
        <v>38</v>
      </c>
      <c r="E50">
        <v>5</v>
      </c>
      <c r="F50">
        <v>40</v>
      </c>
      <c r="G50">
        <v>200</v>
      </c>
      <c r="H50">
        <v>0</v>
      </c>
      <c r="I50">
        <v>0</v>
      </c>
      <c r="J50">
        <v>5</v>
      </c>
      <c r="K50">
        <v>200</v>
      </c>
      <c r="L50">
        <v>0</v>
      </c>
      <c r="M50">
        <v>0</v>
      </c>
      <c r="N50">
        <v>0</v>
      </c>
      <c r="O50">
        <v>0</v>
      </c>
      <c r="P50">
        <v>0</v>
      </c>
      <c r="Q50">
        <v>5</v>
      </c>
      <c r="R50">
        <v>200</v>
      </c>
      <c r="S50">
        <v>0</v>
      </c>
      <c r="T50">
        <v>0</v>
      </c>
      <c r="U50">
        <v>0</v>
      </c>
      <c r="V50">
        <v>0</v>
      </c>
      <c r="W50">
        <v>0</v>
      </c>
      <c r="X50">
        <v>5</v>
      </c>
      <c r="Y50">
        <v>200</v>
      </c>
    </row>
    <row r="51" spans="1:25">
      <c r="A51" s="228" t="s">
        <v>77</v>
      </c>
      <c r="B51" s="228" t="s">
        <v>124</v>
      </c>
      <c r="C51" s="228" t="s">
        <v>127</v>
      </c>
      <c r="D51" s="228" t="s">
        <v>38</v>
      </c>
      <c r="E51">
        <v>9</v>
      </c>
      <c r="F51">
        <v>140</v>
      </c>
      <c r="G51">
        <v>1260</v>
      </c>
      <c r="H51">
        <v>0</v>
      </c>
      <c r="I51">
        <v>0</v>
      </c>
      <c r="J51">
        <v>9</v>
      </c>
      <c r="K51">
        <v>1260</v>
      </c>
      <c r="L51">
        <v>0</v>
      </c>
      <c r="M51">
        <v>0</v>
      </c>
      <c r="N51">
        <v>0</v>
      </c>
      <c r="O51">
        <v>0</v>
      </c>
      <c r="P51">
        <v>0</v>
      </c>
      <c r="Q51">
        <v>9</v>
      </c>
      <c r="R51">
        <v>1260</v>
      </c>
      <c r="S51">
        <v>0</v>
      </c>
      <c r="T51">
        <v>0</v>
      </c>
      <c r="U51">
        <v>0</v>
      </c>
      <c r="V51">
        <v>0</v>
      </c>
      <c r="W51">
        <v>0</v>
      </c>
      <c r="X51">
        <v>9</v>
      </c>
      <c r="Y51">
        <v>1260</v>
      </c>
    </row>
    <row r="52" spans="1:25">
      <c r="A52" s="228" t="s">
        <v>77</v>
      </c>
      <c r="B52" s="228" t="s">
        <v>124</v>
      </c>
      <c r="C52" s="228" t="s">
        <v>128</v>
      </c>
      <c r="D52" s="228" t="s">
        <v>31</v>
      </c>
      <c r="E52">
        <v>19</v>
      </c>
      <c r="F52">
        <v>285</v>
      </c>
      <c r="G52">
        <v>5415</v>
      </c>
      <c r="H52">
        <v>0</v>
      </c>
      <c r="I52">
        <v>0</v>
      </c>
      <c r="J52">
        <v>19</v>
      </c>
      <c r="K52">
        <v>5415</v>
      </c>
      <c r="L52">
        <v>0</v>
      </c>
      <c r="M52">
        <v>0</v>
      </c>
      <c r="N52">
        <v>0</v>
      </c>
      <c r="O52">
        <v>16</v>
      </c>
      <c r="P52">
        <v>4560</v>
      </c>
      <c r="Q52">
        <v>3</v>
      </c>
      <c r="R52">
        <v>855</v>
      </c>
      <c r="S52">
        <v>0</v>
      </c>
      <c r="T52">
        <v>0</v>
      </c>
      <c r="U52">
        <v>0</v>
      </c>
      <c r="V52">
        <v>16</v>
      </c>
      <c r="W52">
        <v>4560</v>
      </c>
      <c r="X52">
        <v>3</v>
      </c>
      <c r="Y52">
        <v>855</v>
      </c>
    </row>
    <row r="53" spans="1:25">
      <c r="A53" s="228" t="s">
        <v>77</v>
      </c>
      <c r="B53" s="228" t="s">
        <v>124</v>
      </c>
      <c r="C53" s="228" t="s">
        <v>54</v>
      </c>
      <c r="D53" s="228" t="s">
        <v>31</v>
      </c>
      <c r="E53">
        <v>29</v>
      </c>
      <c r="F53">
        <v>325</v>
      </c>
      <c r="G53">
        <v>9425</v>
      </c>
      <c r="H53">
        <v>26</v>
      </c>
      <c r="I53">
        <v>8450</v>
      </c>
      <c r="J53">
        <v>3</v>
      </c>
      <c r="K53">
        <v>975</v>
      </c>
      <c r="L53">
        <v>125</v>
      </c>
      <c r="M53">
        <v>325</v>
      </c>
      <c r="N53">
        <v>40625</v>
      </c>
      <c r="O53">
        <v>2</v>
      </c>
      <c r="P53">
        <v>650</v>
      </c>
      <c r="Q53">
        <v>126</v>
      </c>
      <c r="R53">
        <v>40950</v>
      </c>
      <c r="S53">
        <v>0</v>
      </c>
      <c r="T53">
        <v>0</v>
      </c>
      <c r="U53">
        <v>0</v>
      </c>
      <c r="V53">
        <v>2</v>
      </c>
      <c r="W53">
        <v>650</v>
      </c>
      <c r="X53">
        <v>126</v>
      </c>
      <c r="Y53">
        <v>40950</v>
      </c>
    </row>
    <row r="54" spans="1:25">
      <c r="A54" s="228" t="s">
        <v>77</v>
      </c>
      <c r="B54" s="228" t="s">
        <v>124</v>
      </c>
      <c r="C54" s="228" t="s">
        <v>129</v>
      </c>
      <c r="D54" s="228" t="s">
        <v>31</v>
      </c>
      <c r="E54">
        <v>44</v>
      </c>
      <c r="F54">
        <v>310</v>
      </c>
      <c r="G54">
        <v>13640</v>
      </c>
      <c r="H54">
        <v>0</v>
      </c>
      <c r="I54">
        <v>0</v>
      </c>
      <c r="J54">
        <v>44</v>
      </c>
      <c r="K54">
        <v>13640</v>
      </c>
      <c r="L54">
        <v>0</v>
      </c>
      <c r="M54">
        <v>0</v>
      </c>
      <c r="N54">
        <v>0</v>
      </c>
      <c r="O54">
        <v>0</v>
      </c>
      <c r="P54">
        <v>0</v>
      </c>
      <c r="Q54">
        <v>44</v>
      </c>
      <c r="R54">
        <v>13640</v>
      </c>
      <c r="S54">
        <v>0</v>
      </c>
      <c r="T54">
        <v>0</v>
      </c>
      <c r="U54">
        <v>0</v>
      </c>
      <c r="V54">
        <v>0</v>
      </c>
      <c r="W54">
        <v>0</v>
      </c>
      <c r="X54">
        <v>44</v>
      </c>
      <c r="Y54">
        <v>13640</v>
      </c>
    </row>
    <row r="55" spans="1:25">
      <c r="A55" s="228" t="s">
        <v>77</v>
      </c>
      <c r="B55" s="228" t="s">
        <v>124</v>
      </c>
      <c r="C55" s="228" t="s">
        <v>51</v>
      </c>
      <c r="D55" s="228" t="s">
        <v>31</v>
      </c>
      <c r="E55">
        <v>43</v>
      </c>
      <c r="F55">
        <v>340.17</v>
      </c>
      <c r="G55">
        <v>14627.310000000001</v>
      </c>
      <c r="H55">
        <v>20</v>
      </c>
      <c r="I55">
        <v>6803.4000000000005</v>
      </c>
      <c r="J55">
        <v>23</v>
      </c>
      <c r="K55">
        <v>7823.9100000000008</v>
      </c>
      <c r="L55">
        <v>0</v>
      </c>
      <c r="M55">
        <v>0</v>
      </c>
      <c r="N55">
        <v>0</v>
      </c>
      <c r="O55">
        <v>13</v>
      </c>
      <c r="P55">
        <v>4422.21</v>
      </c>
      <c r="Q55">
        <v>10</v>
      </c>
      <c r="R55">
        <v>3401.7000000000003</v>
      </c>
      <c r="S55">
        <v>0</v>
      </c>
      <c r="T55">
        <v>0</v>
      </c>
      <c r="U55">
        <v>0</v>
      </c>
      <c r="V55">
        <v>13</v>
      </c>
      <c r="W55">
        <v>4422.21</v>
      </c>
      <c r="X55">
        <v>10</v>
      </c>
      <c r="Y55">
        <v>3401.7000000000003</v>
      </c>
    </row>
    <row r="56" spans="1:25">
      <c r="A56" s="228" t="s">
        <v>77</v>
      </c>
      <c r="B56" s="228" t="s">
        <v>124</v>
      </c>
      <c r="C56" s="228" t="s">
        <v>130</v>
      </c>
      <c r="D56" s="228" t="s">
        <v>38</v>
      </c>
      <c r="E56">
        <v>11</v>
      </c>
      <c r="F56">
        <v>96.84</v>
      </c>
      <c r="G56">
        <v>1065.24</v>
      </c>
      <c r="H56">
        <v>0</v>
      </c>
      <c r="I56">
        <v>0</v>
      </c>
      <c r="J56">
        <v>11</v>
      </c>
      <c r="K56">
        <v>1065.24</v>
      </c>
      <c r="L56">
        <v>0</v>
      </c>
      <c r="M56">
        <v>0</v>
      </c>
      <c r="N56">
        <v>0</v>
      </c>
      <c r="O56">
        <v>0</v>
      </c>
      <c r="P56">
        <v>0</v>
      </c>
      <c r="Q56">
        <v>11</v>
      </c>
      <c r="R56">
        <v>1065.24</v>
      </c>
      <c r="S56">
        <v>0</v>
      </c>
      <c r="T56">
        <v>0</v>
      </c>
      <c r="U56">
        <v>0</v>
      </c>
      <c r="V56">
        <v>0</v>
      </c>
      <c r="W56">
        <v>0</v>
      </c>
      <c r="X56">
        <v>11</v>
      </c>
      <c r="Y56">
        <v>1065.24</v>
      </c>
    </row>
    <row r="57" spans="1:25">
      <c r="A57" s="228" t="s">
        <v>77</v>
      </c>
      <c r="B57" s="228" t="s">
        <v>124</v>
      </c>
      <c r="C57" s="228" t="s">
        <v>131</v>
      </c>
      <c r="D57" s="228" t="s">
        <v>38</v>
      </c>
      <c r="E57">
        <v>12</v>
      </c>
      <c r="F57">
        <v>40</v>
      </c>
      <c r="G57">
        <v>480</v>
      </c>
      <c r="H57">
        <v>0</v>
      </c>
      <c r="I57">
        <v>0</v>
      </c>
      <c r="J57">
        <v>12</v>
      </c>
      <c r="K57">
        <v>480</v>
      </c>
      <c r="L57">
        <v>0</v>
      </c>
      <c r="M57">
        <v>0</v>
      </c>
      <c r="N57">
        <v>0</v>
      </c>
      <c r="O57">
        <v>0</v>
      </c>
      <c r="P57">
        <v>0</v>
      </c>
      <c r="Q57">
        <v>12</v>
      </c>
      <c r="R57">
        <v>480</v>
      </c>
      <c r="S57">
        <v>0</v>
      </c>
      <c r="T57">
        <v>0</v>
      </c>
      <c r="U57">
        <v>0</v>
      </c>
      <c r="V57">
        <v>0</v>
      </c>
      <c r="W57">
        <v>0</v>
      </c>
      <c r="X57">
        <v>12</v>
      </c>
      <c r="Y57">
        <v>480</v>
      </c>
    </row>
    <row r="58" spans="1:25">
      <c r="A58" s="228" t="s">
        <v>77</v>
      </c>
      <c r="B58" s="228" t="s">
        <v>124</v>
      </c>
      <c r="C58" s="228" t="s">
        <v>132</v>
      </c>
      <c r="D58" s="228" t="s">
        <v>38</v>
      </c>
      <c r="E58">
        <v>13</v>
      </c>
      <c r="F58">
        <v>53.7</v>
      </c>
      <c r="G58">
        <v>698.1</v>
      </c>
      <c r="H58">
        <v>0</v>
      </c>
      <c r="I58">
        <v>0</v>
      </c>
      <c r="J58">
        <v>13</v>
      </c>
      <c r="K58">
        <v>698.1</v>
      </c>
      <c r="L58">
        <v>0</v>
      </c>
      <c r="M58">
        <v>0</v>
      </c>
      <c r="N58">
        <v>0</v>
      </c>
      <c r="O58">
        <v>0</v>
      </c>
      <c r="P58">
        <v>0</v>
      </c>
      <c r="Q58">
        <v>13</v>
      </c>
      <c r="R58">
        <v>698.1</v>
      </c>
      <c r="S58">
        <v>0</v>
      </c>
      <c r="T58">
        <v>0</v>
      </c>
      <c r="U58">
        <v>0</v>
      </c>
      <c r="V58">
        <v>0</v>
      </c>
      <c r="W58">
        <v>0</v>
      </c>
      <c r="X58">
        <v>13</v>
      </c>
      <c r="Y58">
        <v>698.1</v>
      </c>
    </row>
    <row r="59" spans="1:25">
      <c r="A59" s="228" t="s">
        <v>77</v>
      </c>
      <c r="B59" s="228" t="s">
        <v>133</v>
      </c>
      <c r="C59" s="228" t="s">
        <v>134</v>
      </c>
      <c r="D59" s="228" t="s">
        <v>34</v>
      </c>
      <c r="E59">
        <v>10</v>
      </c>
      <c r="F59">
        <v>462.43</v>
      </c>
      <c r="G59">
        <v>4624.3</v>
      </c>
      <c r="H59">
        <v>0</v>
      </c>
      <c r="I59">
        <v>0</v>
      </c>
      <c r="J59">
        <v>10</v>
      </c>
      <c r="K59">
        <v>4624.3</v>
      </c>
      <c r="L59">
        <v>0</v>
      </c>
      <c r="M59">
        <v>0</v>
      </c>
      <c r="N59">
        <v>0</v>
      </c>
      <c r="O59">
        <v>1</v>
      </c>
      <c r="P59">
        <v>462.43</v>
      </c>
      <c r="Q59">
        <v>9</v>
      </c>
      <c r="R59">
        <v>4161.87</v>
      </c>
      <c r="S59">
        <v>0</v>
      </c>
      <c r="T59">
        <v>0</v>
      </c>
      <c r="U59">
        <v>0</v>
      </c>
      <c r="V59">
        <v>1</v>
      </c>
      <c r="W59">
        <v>462.43</v>
      </c>
      <c r="X59">
        <v>9</v>
      </c>
      <c r="Y59">
        <v>4161.87</v>
      </c>
    </row>
    <row r="60" spans="1:25">
      <c r="A60" s="228" t="s">
        <v>77</v>
      </c>
      <c r="B60" s="228" t="s">
        <v>133</v>
      </c>
      <c r="C60" s="228" t="s">
        <v>135</v>
      </c>
      <c r="D60" s="228" t="s">
        <v>34</v>
      </c>
      <c r="E60">
        <v>11</v>
      </c>
      <c r="F60">
        <v>458.46</v>
      </c>
      <c r="G60">
        <v>5043.0599999999995</v>
      </c>
      <c r="H60">
        <v>0</v>
      </c>
      <c r="I60">
        <v>0</v>
      </c>
      <c r="J60">
        <v>11</v>
      </c>
      <c r="K60">
        <v>5043.0599999999995</v>
      </c>
      <c r="L60">
        <v>0</v>
      </c>
      <c r="M60">
        <v>0</v>
      </c>
      <c r="N60">
        <v>0</v>
      </c>
      <c r="O60">
        <v>1</v>
      </c>
      <c r="P60">
        <v>458.46</v>
      </c>
      <c r="Q60">
        <v>10</v>
      </c>
      <c r="R60">
        <v>4584.5999999999995</v>
      </c>
      <c r="S60">
        <v>0</v>
      </c>
      <c r="T60">
        <v>0</v>
      </c>
      <c r="U60">
        <v>0</v>
      </c>
      <c r="V60">
        <v>1</v>
      </c>
      <c r="W60">
        <v>458.46</v>
      </c>
      <c r="X60">
        <v>10</v>
      </c>
      <c r="Y60">
        <v>4584.5999999999995</v>
      </c>
    </row>
    <row r="61" spans="1:25">
      <c r="A61" s="228" t="s">
        <v>77</v>
      </c>
      <c r="B61" s="228" t="s">
        <v>133</v>
      </c>
      <c r="C61" s="228" t="s">
        <v>136</v>
      </c>
      <c r="D61" s="228" t="s">
        <v>34</v>
      </c>
      <c r="E61">
        <v>11</v>
      </c>
      <c r="F61">
        <v>458.46</v>
      </c>
      <c r="G61">
        <v>5043.0599999999995</v>
      </c>
      <c r="H61">
        <v>0</v>
      </c>
      <c r="I61">
        <v>0</v>
      </c>
      <c r="J61">
        <v>11</v>
      </c>
      <c r="K61">
        <v>5043.0599999999995</v>
      </c>
      <c r="L61">
        <v>0</v>
      </c>
      <c r="M61">
        <v>0</v>
      </c>
      <c r="N61">
        <v>0</v>
      </c>
      <c r="O61">
        <v>1</v>
      </c>
      <c r="P61">
        <v>458.46</v>
      </c>
      <c r="Q61">
        <v>10</v>
      </c>
      <c r="R61">
        <v>4584.5999999999995</v>
      </c>
      <c r="S61">
        <v>0</v>
      </c>
      <c r="T61">
        <v>0</v>
      </c>
      <c r="U61">
        <v>0</v>
      </c>
      <c r="V61">
        <v>1</v>
      </c>
      <c r="W61">
        <v>458.46</v>
      </c>
      <c r="X61">
        <v>10</v>
      </c>
      <c r="Y61">
        <v>4584.5999999999995</v>
      </c>
    </row>
    <row r="62" spans="1:25">
      <c r="A62" s="228" t="s">
        <v>77</v>
      </c>
      <c r="B62" s="228" t="s">
        <v>133</v>
      </c>
      <c r="C62" s="228" t="s">
        <v>137</v>
      </c>
      <c r="D62" s="228" t="s">
        <v>34</v>
      </c>
      <c r="E62">
        <v>2</v>
      </c>
      <c r="F62">
        <v>370</v>
      </c>
      <c r="G62">
        <v>740</v>
      </c>
      <c r="H62">
        <v>0</v>
      </c>
      <c r="I62">
        <v>0</v>
      </c>
      <c r="J62">
        <v>2</v>
      </c>
      <c r="K62">
        <v>740</v>
      </c>
      <c r="L62">
        <v>0</v>
      </c>
      <c r="M62">
        <v>0</v>
      </c>
      <c r="N62">
        <v>0</v>
      </c>
      <c r="O62">
        <v>0</v>
      </c>
      <c r="P62">
        <v>0</v>
      </c>
      <c r="Q62">
        <v>2</v>
      </c>
      <c r="R62">
        <v>740</v>
      </c>
      <c r="S62">
        <v>0</v>
      </c>
      <c r="T62">
        <v>0</v>
      </c>
      <c r="U62">
        <v>0</v>
      </c>
      <c r="V62">
        <v>0</v>
      </c>
      <c r="W62">
        <v>0</v>
      </c>
      <c r="X62">
        <v>2</v>
      </c>
      <c r="Y62">
        <v>740</v>
      </c>
    </row>
    <row r="63" spans="1:25">
      <c r="A63" s="228" t="s">
        <v>77</v>
      </c>
      <c r="B63" s="228" t="s">
        <v>133</v>
      </c>
      <c r="C63" s="228" t="s">
        <v>138</v>
      </c>
      <c r="D63" s="228" t="s">
        <v>34</v>
      </c>
      <c r="E63">
        <v>15</v>
      </c>
      <c r="F63">
        <v>468.3</v>
      </c>
      <c r="G63">
        <v>7024.5</v>
      </c>
      <c r="H63">
        <v>0</v>
      </c>
      <c r="I63">
        <v>0</v>
      </c>
      <c r="J63">
        <v>15</v>
      </c>
      <c r="K63">
        <v>7024.5</v>
      </c>
      <c r="L63">
        <v>0</v>
      </c>
      <c r="M63">
        <v>0</v>
      </c>
      <c r="N63">
        <v>0</v>
      </c>
      <c r="O63">
        <v>2</v>
      </c>
      <c r="P63">
        <v>936.6</v>
      </c>
      <c r="Q63">
        <v>13</v>
      </c>
      <c r="R63">
        <v>6087.9000000000005</v>
      </c>
      <c r="S63">
        <v>0</v>
      </c>
      <c r="T63">
        <v>0</v>
      </c>
      <c r="U63">
        <v>0</v>
      </c>
      <c r="V63">
        <v>2</v>
      </c>
      <c r="W63">
        <v>936.6</v>
      </c>
      <c r="X63">
        <v>13</v>
      </c>
      <c r="Y63">
        <v>6087.9000000000005</v>
      </c>
    </row>
    <row r="64" spans="1:25">
      <c r="A64" s="228" t="s">
        <v>77</v>
      </c>
      <c r="B64" s="228" t="s">
        <v>133</v>
      </c>
      <c r="C64" s="228" t="s">
        <v>139</v>
      </c>
      <c r="D64" s="228" t="s">
        <v>27</v>
      </c>
      <c r="E64">
        <v>0</v>
      </c>
      <c r="F64">
        <v>3700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s="228" t="s">
        <v>77</v>
      </c>
      <c r="B65" s="228" t="s">
        <v>133</v>
      </c>
      <c r="C65" s="228" t="s">
        <v>60</v>
      </c>
      <c r="D65" s="228" t="s">
        <v>34</v>
      </c>
      <c r="E65">
        <v>29</v>
      </c>
      <c r="F65">
        <v>370.2</v>
      </c>
      <c r="G65">
        <v>10735.8</v>
      </c>
      <c r="H65">
        <v>1</v>
      </c>
      <c r="I65">
        <v>370.2</v>
      </c>
      <c r="J65">
        <v>28</v>
      </c>
      <c r="K65">
        <v>10365.6</v>
      </c>
      <c r="L65">
        <v>0</v>
      </c>
      <c r="M65">
        <v>0</v>
      </c>
      <c r="N65">
        <v>0</v>
      </c>
      <c r="O65">
        <v>1</v>
      </c>
      <c r="P65">
        <v>370.2</v>
      </c>
      <c r="Q65">
        <v>27</v>
      </c>
      <c r="R65">
        <v>9995.4</v>
      </c>
      <c r="S65">
        <v>0</v>
      </c>
      <c r="T65">
        <v>0</v>
      </c>
      <c r="U65">
        <v>0</v>
      </c>
      <c r="V65">
        <v>1</v>
      </c>
      <c r="W65">
        <v>370.2</v>
      </c>
      <c r="X65">
        <v>27</v>
      </c>
      <c r="Y65">
        <v>9995.4</v>
      </c>
    </row>
    <row r="66" spans="1:25">
      <c r="A66" s="228" t="s">
        <v>77</v>
      </c>
      <c r="B66" s="228" t="s">
        <v>133</v>
      </c>
      <c r="C66" s="228" t="s">
        <v>61</v>
      </c>
      <c r="D66" s="228" t="s">
        <v>34</v>
      </c>
      <c r="E66">
        <v>20</v>
      </c>
      <c r="F66">
        <v>370</v>
      </c>
      <c r="G66">
        <v>7400</v>
      </c>
      <c r="H66">
        <v>1</v>
      </c>
      <c r="I66">
        <v>370</v>
      </c>
      <c r="J66">
        <v>19</v>
      </c>
      <c r="K66">
        <v>7030</v>
      </c>
      <c r="L66">
        <v>0</v>
      </c>
      <c r="M66">
        <v>0</v>
      </c>
      <c r="N66">
        <v>0</v>
      </c>
      <c r="O66">
        <v>1</v>
      </c>
      <c r="P66">
        <v>370</v>
      </c>
      <c r="Q66">
        <v>18</v>
      </c>
      <c r="R66">
        <v>6660</v>
      </c>
      <c r="S66">
        <v>0</v>
      </c>
      <c r="T66">
        <v>0</v>
      </c>
      <c r="U66">
        <v>0</v>
      </c>
      <c r="V66">
        <v>1</v>
      </c>
      <c r="W66">
        <v>370</v>
      </c>
      <c r="X66">
        <v>18</v>
      </c>
      <c r="Y66">
        <v>6660</v>
      </c>
    </row>
    <row r="67" spans="1:25">
      <c r="A67" s="228" t="s">
        <v>77</v>
      </c>
      <c r="B67" s="228" t="s">
        <v>133</v>
      </c>
      <c r="C67" s="228" t="s">
        <v>62</v>
      </c>
      <c r="D67" s="228" t="s">
        <v>34</v>
      </c>
      <c r="E67">
        <v>10</v>
      </c>
      <c r="F67">
        <v>370</v>
      </c>
      <c r="G67">
        <v>3700</v>
      </c>
      <c r="H67">
        <v>1</v>
      </c>
      <c r="I67">
        <v>370</v>
      </c>
      <c r="J67">
        <v>9</v>
      </c>
      <c r="K67">
        <v>3330</v>
      </c>
      <c r="L67">
        <v>0</v>
      </c>
      <c r="M67">
        <v>0</v>
      </c>
      <c r="N67">
        <v>0</v>
      </c>
      <c r="O67">
        <v>1</v>
      </c>
      <c r="P67">
        <v>370</v>
      </c>
      <c r="Q67">
        <v>8</v>
      </c>
      <c r="R67">
        <v>2960</v>
      </c>
      <c r="S67">
        <v>0</v>
      </c>
      <c r="T67">
        <v>0</v>
      </c>
      <c r="U67">
        <v>0</v>
      </c>
      <c r="V67">
        <v>1</v>
      </c>
      <c r="W67">
        <v>370</v>
      </c>
      <c r="X67">
        <v>8</v>
      </c>
      <c r="Y67">
        <v>2960</v>
      </c>
    </row>
    <row r="68" spans="1:25">
      <c r="A68" s="228" t="s">
        <v>77</v>
      </c>
      <c r="B68" s="228" t="s">
        <v>133</v>
      </c>
      <c r="C68" s="228" t="s">
        <v>63</v>
      </c>
      <c r="D68" s="228" t="s">
        <v>34</v>
      </c>
      <c r="E68">
        <v>11</v>
      </c>
      <c r="F68">
        <v>371.36</v>
      </c>
      <c r="G68">
        <v>4084.96</v>
      </c>
      <c r="H68">
        <v>1</v>
      </c>
      <c r="I68">
        <v>371.36</v>
      </c>
      <c r="J68">
        <v>10</v>
      </c>
      <c r="K68">
        <v>3713.6000000000004</v>
      </c>
      <c r="L68">
        <v>0</v>
      </c>
      <c r="M68">
        <v>0</v>
      </c>
      <c r="N68">
        <v>0</v>
      </c>
      <c r="O68">
        <v>1</v>
      </c>
      <c r="P68">
        <v>371.36</v>
      </c>
      <c r="Q68">
        <v>9</v>
      </c>
      <c r="R68">
        <v>3342.2400000000002</v>
      </c>
      <c r="S68">
        <v>0</v>
      </c>
      <c r="T68">
        <v>0</v>
      </c>
      <c r="U68">
        <v>0</v>
      </c>
      <c r="V68">
        <v>1</v>
      </c>
      <c r="W68">
        <v>371.36</v>
      </c>
      <c r="X68">
        <v>9</v>
      </c>
      <c r="Y68">
        <v>3342.2400000000002</v>
      </c>
    </row>
    <row r="69" spans="1:25">
      <c r="A69" s="228" t="s">
        <v>77</v>
      </c>
      <c r="B69" s="228" t="s">
        <v>133</v>
      </c>
      <c r="C69" s="228" t="s">
        <v>140</v>
      </c>
      <c r="D69" s="228" t="s">
        <v>34</v>
      </c>
      <c r="E69">
        <v>2</v>
      </c>
      <c r="F69">
        <v>770</v>
      </c>
      <c r="G69">
        <v>1540</v>
      </c>
      <c r="H69">
        <v>0</v>
      </c>
      <c r="I69">
        <v>0</v>
      </c>
      <c r="J69">
        <v>2</v>
      </c>
      <c r="K69">
        <v>1540</v>
      </c>
      <c r="L69">
        <v>0</v>
      </c>
      <c r="M69">
        <v>0</v>
      </c>
      <c r="N69">
        <v>0</v>
      </c>
      <c r="O69">
        <v>0</v>
      </c>
      <c r="P69">
        <v>0</v>
      </c>
      <c r="Q69">
        <v>2</v>
      </c>
      <c r="R69">
        <v>1540</v>
      </c>
      <c r="S69">
        <v>0</v>
      </c>
      <c r="T69">
        <v>0</v>
      </c>
      <c r="U69">
        <v>0</v>
      </c>
      <c r="V69">
        <v>0</v>
      </c>
      <c r="W69">
        <v>0</v>
      </c>
      <c r="X69">
        <v>2</v>
      </c>
      <c r="Y69">
        <v>1540</v>
      </c>
    </row>
    <row r="70" spans="1:25">
      <c r="A70" s="228" t="s">
        <v>77</v>
      </c>
      <c r="B70" s="228" t="s">
        <v>133</v>
      </c>
      <c r="C70" s="228" t="s">
        <v>56</v>
      </c>
      <c r="D70" s="228" t="s">
        <v>34</v>
      </c>
      <c r="E70">
        <v>4</v>
      </c>
      <c r="F70">
        <v>375</v>
      </c>
      <c r="G70">
        <v>1500</v>
      </c>
      <c r="H70">
        <v>1</v>
      </c>
      <c r="I70">
        <v>375</v>
      </c>
      <c r="J70">
        <v>3</v>
      </c>
      <c r="K70">
        <v>1125</v>
      </c>
      <c r="L70">
        <v>0</v>
      </c>
      <c r="M70">
        <v>0</v>
      </c>
      <c r="N70">
        <v>0</v>
      </c>
      <c r="O70">
        <v>0</v>
      </c>
      <c r="P70">
        <v>0</v>
      </c>
      <c r="Q70">
        <v>3</v>
      </c>
      <c r="R70">
        <v>1125</v>
      </c>
      <c r="S70">
        <v>0</v>
      </c>
      <c r="T70">
        <v>0</v>
      </c>
      <c r="U70">
        <v>0</v>
      </c>
      <c r="V70">
        <v>0</v>
      </c>
      <c r="W70">
        <v>0</v>
      </c>
      <c r="X70">
        <v>3</v>
      </c>
      <c r="Y70">
        <v>1125</v>
      </c>
    </row>
    <row r="71" spans="1:25">
      <c r="A71" s="228" t="s">
        <v>77</v>
      </c>
      <c r="B71" s="228" t="s">
        <v>133</v>
      </c>
      <c r="C71" s="228" t="s">
        <v>57</v>
      </c>
      <c r="D71" s="228" t="s">
        <v>34</v>
      </c>
      <c r="E71">
        <v>3</v>
      </c>
      <c r="F71">
        <v>385</v>
      </c>
      <c r="G71">
        <v>1155</v>
      </c>
      <c r="H71">
        <v>1</v>
      </c>
      <c r="I71">
        <v>385</v>
      </c>
      <c r="J71">
        <v>2</v>
      </c>
      <c r="K71">
        <v>770</v>
      </c>
      <c r="L71">
        <v>0</v>
      </c>
      <c r="M71">
        <v>0</v>
      </c>
      <c r="N71">
        <v>0</v>
      </c>
      <c r="O71">
        <v>0</v>
      </c>
      <c r="P71">
        <v>0</v>
      </c>
      <c r="Q71">
        <v>2</v>
      </c>
      <c r="R71">
        <v>770</v>
      </c>
      <c r="S71">
        <v>0</v>
      </c>
      <c r="T71">
        <v>0</v>
      </c>
      <c r="U71">
        <v>0</v>
      </c>
      <c r="V71">
        <v>0</v>
      </c>
      <c r="W71">
        <v>0</v>
      </c>
      <c r="X71">
        <v>2</v>
      </c>
      <c r="Y71">
        <v>770</v>
      </c>
    </row>
    <row r="72" spans="1:25">
      <c r="A72" s="228" t="s">
        <v>77</v>
      </c>
      <c r="B72" s="228" t="s">
        <v>133</v>
      </c>
      <c r="C72" s="228" t="s">
        <v>58</v>
      </c>
      <c r="D72" s="228" t="s">
        <v>34</v>
      </c>
      <c r="E72">
        <v>2</v>
      </c>
      <c r="F72">
        <v>385</v>
      </c>
      <c r="G72">
        <v>770</v>
      </c>
      <c r="H72">
        <v>1</v>
      </c>
      <c r="I72">
        <v>385</v>
      </c>
      <c r="J72">
        <v>1</v>
      </c>
      <c r="K72">
        <v>385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385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385</v>
      </c>
    </row>
    <row r="73" spans="1:25">
      <c r="A73" s="228" t="s">
        <v>77</v>
      </c>
      <c r="B73" s="228" t="s">
        <v>133</v>
      </c>
      <c r="C73" s="228" t="s">
        <v>59</v>
      </c>
      <c r="D73" s="228" t="s">
        <v>34</v>
      </c>
      <c r="E73">
        <v>3</v>
      </c>
      <c r="F73">
        <v>385</v>
      </c>
      <c r="G73">
        <v>1155</v>
      </c>
      <c r="H73">
        <v>1</v>
      </c>
      <c r="I73">
        <v>385</v>
      </c>
      <c r="J73">
        <v>2</v>
      </c>
      <c r="K73">
        <v>770</v>
      </c>
      <c r="L73">
        <v>0</v>
      </c>
      <c r="M73">
        <v>0</v>
      </c>
      <c r="N73">
        <v>0</v>
      </c>
      <c r="O73">
        <v>0</v>
      </c>
      <c r="P73">
        <v>0</v>
      </c>
      <c r="Q73">
        <v>2</v>
      </c>
      <c r="R73">
        <v>770</v>
      </c>
      <c r="S73">
        <v>0</v>
      </c>
      <c r="T73">
        <v>0</v>
      </c>
      <c r="U73">
        <v>0</v>
      </c>
      <c r="V73">
        <v>0</v>
      </c>
      <c r="W73">
        <v>0</v>
      </c>
      <c r="X73">
        <v>2</v>
      </c>
      <c r="Y73">
        <v>770</v>
      </c>
    </row>
    <row r="74" spans="1:25">
      <c r="A74" s="228" t="s">
        <v>77</v>
      </c>
      <c r="B74" s="228" t="s">
        <v>133</v>
      </c>
      <c r="C74" s="228" t="s">
        <v>141</v>
      </c>
      <c r="D74" s="228" t="s">
        <v>34</v>
      </c>
      <c r="E74">
        <v>1</v>
      </c>
      <c r="F74">
        <v>320</v>
      </c>
      <c r="G74">
        <v>320</v>
      </c>
      <c r="H74">
        <v>0</v>
      </c>
      <c r="I74">
        <v>0</v>
      </c>
      <c r="J74">
        <v>1</v>
      </c>
      <c r="K74">
        <v>320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320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320</v>
      </c>
    </row>
    <row r="75" spans="1:25">
      <c r="A75" s="228" t="s">
        <v>77</v>
      </c>
      <c r="B75" s="228" t="s">
        <v>133</v>
      </c>
      <c r="C75" s="228" t="s">
        <v>142</v>
      </c>
      <c r="D75" s="228" t="s">
        <v>34</v>
      </c>
      <c r="E75">
        <v>0</v>
      </c>
      <c r="F75">
        <v>320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s="228" t="s">
        <v>77</v>
      </c>
      <c r="B76" s="228" t="s">
        <v>133</v>
      </c>
      <c r="C76" s="228" t="s">
        <v>143</v>
      </c>
      <c r="D76" s="228" t="s">
        <v>34</v>
      </c>
      <c r="E76">
        <v>1</v>
      </c>
      <c r="F76">
        <v>320</v>
      </c>
      <c r="G76">
        <v>320</v>
      </c>
      <c r="H76">
        <v>0</v>
      </c>
      <c r="I76">
        <v>0</v>
      </c>
      <c r="J76">
        <v>1</v>
      </c>
      <c r="K76">
        <v>320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320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320</v>
      </c>
    </row>
    <row r="77" spans="1:25">
      <c r="A77" s="228" t="s">
        <v>77</v>
      </c>
      <c r="B77" s="228" t="s">
        <v>133</v>
      </c>
      <c r="C77" s="228" t="s">
        <v>144</v>
      </c>
      <c r="D77" s="228" t="s">
        <v>34</v>
      </c>
      <c r="E77">
        <v>0</v>
      </c>
      <c r="F77">
        <v>320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s="228" t="s">
        <v>77</v>
      </c>
      <c r="B78" s="228" t="s">
        <v>133</v>
      </c>
      <c r="C78" s="228" t="s">
        <v>145</v>
      </c>
      <c r="D78" s="228" t="s">
        <v>34</v>
      </c>
      <c r="E78">
        <v>2</v>
      </c>
      <c r="F78">
        <v>100</v>
      </c>
      <c r="G78">
        <v>200</v>
      </c>
      <c r="H78">
        <v>0</v>
      </c>
      <c r="I78">
        <v>0</v>
      </c>
      <c r="J78">
        <v>2</v>
      </c>
      <c r="K78">
        <v>200</v>
      </c>
      <c r="L78">
        <v>0</v>
      </c>
      <c r="M78">
        <v>0</v>
      </c>
      <c r="N78">
        <v>0</v>
      </c>
      <c r="O78">
        <v>0</v>
      </c>
      <c r="P78">
        <v>0</v>
      </c>
      <c r="Q78">
        <v>2</v>
      </c>
      <c r="R78">
        <v>200</v>
      </c>
      <c r="S78">
        <v>0</v>
      </c>
      <c r="T78">
        <v>0</v>
      </c>
      <c r="U78">
        <v>0</v>
      </c>
      <c r="V78">
        <v>0</v>
      </c>
      <c r="W78">
        <v>0</v>
      </c>
      <c r="X78">
        <v>2</v>
      </c>
      <c r="Y78">
        <v>200</v>
      </c>
    </row>
    <row r="79" spans="1:25">
      <c r="A79" s="228" t="s">
        <v>77</v>
      </c>
      <c r="B79" s="228" t="s">
        <v>133</v>
      </c>
      <c r="C79" s="228" t="s">
        <v>146</v>
      </c>
      <c r="D79" s="228" t="s">
        <v>34</v>
      </c>
      <c r="E79">
        <v>5</v>
      </c>
      <c r="F79">
        <v>60</v>
      </c>
      <c r="G79">
        <v>300</v>
      </c>
      <c r="H79">
        <v>0</v>
      </c>
      <c r="I79">
        <v>0</v>
      </c>
      <c r="J79">
        <v>5</v>
      </c>
      <c r="K79">
        <v>300</v>
      </c>
      <c r="L79">
        <v>0</v>
      </c>
      <c r="M79">
        <v>0</v>
      </c>
      <c r="N79">
        <v>0</v>
      </c>
      <c r="O79">
        <v>0</v>
      </c>
      <c r="P79">
        <v>0</v>
      </c>
      <c r="Q79">
        <v>5</v>
      </c>
      <c r="R79">
        <v>300</v>
      </c>
      <c r="S79">
        <v>0</v>
      </c>
      <c r="T79">
        <v>0</v>
      </c>
      <c r="U79">
        <v>0</v>
      </c>
      <c r="V79">
        <v>0</v>
      </c>
      <c r="W79">
        <v>0</v>
      </c>
      <c r="X79">
        <v>5</v>
      </c>
      <c r="Y79">
        <v>300</v>
      </c>
    </row>
    <row r="80" spans="1:25">
      <c r="A80" s="228" t="s">
        <v>77</v>
      </c>
      <c r="B80" s="228" t="s">
        <v>133</v>
      </c>
      <c r="C80" s="228" t="s">
        <v>147</v>
      </c>
      <c r="D80" s="228" t="s">
        <v>100</v>
      </c>
      <c r="E80">
        <v>5</v>
      </c>
      <c r="F80">
        <v>45</v>
      </c>
      <c r="G80">
        <v>225</v>
      </c>
      <c r="H80">
        <v>0</v>
      </c>
      <c r="I80">
        <v>0</v>
      </c>
      <c r="J80">
        <v>5</v>
      </c>
      <c r="K80">
        <v>225</v>
      </c>
      <c r="L80">
        <v>0</v>
      </c>
      <c r="M80">
        <v>0</v>
      </c>
      <c r="N80">
        <v>0</v>
      </c>
      <c r="O80">
        <v>0</v>
      </c>
      <c r="P80">
        <v>0</v>
      </c>
      <c r="Q80">
        <v>5</v>
      </c>
      <c r="R80">
        <v>225</v>
      </c>
      <c r="S80">
        <v>0</v>
      </c>
      <c r="T80">
        <v>0</v>
      </c>
      <c r="U80">
        <v>0</v>
      </c>
      <c r="V80">
        <v>0</v>
      </c>
      <c r="W80">
        <v>0</v>
      </c>
      <c r="X80">
        <v>5</v>
      </c>
      <c r="Y80">
        <v>225</v>
      </c>
    </row>
    <row r="81" spans="1:25">
      <c r="A81" s="228" t="s">
        <v>77</v>
      </c>
      <c r="B81" s="228" t="s">
        <v>148</v>
      </c>
      <c r="C81" s="228" t="s">
        <v>149</v>
      </c>
      <c r="D81" s="228" t="s">
        <v>32</v>
      </c>
      <c r="E81">
        <v>17</v>
      </c>
      <c r="F81">
        <v>34.75</v>
      </c>
      <c r="G81">
        <v>590.75</v>
      </c>
      <c r="H81">
        <v>0</v>
      </c>
      <c r="I81">
        <v>0</v>
      </c>
      <c r="J81">
        <v>17</v>
      </c>
      <c r="K81">
        <v>590.75</v>
      </c>
      <c r="L81">
        <v>0</v>
      </c>
      <c r="M81">
        <v>0</v>
      </c>
      <c r="N81">
        <v>0</v>
      </c>
      <c r="O81">
        <v>0</v>
      </c>
      <c r="P81">
        <v>0</v>
      </c>
      <c r="Q81">
        <v>17</v>
      </c>
      <c r="R81">
        <v>590.75</v>
      </c>
      <c r="S81">
        <v>0</v>
      </c>
      <c r="T81">
        <v>0</v>
      </c>
      <c r="U81">
        <v>0</v>
      </c>
      <c r="V81">
        <v>0</v>
      </c>
      <c r="W81">
        <v>0</v>
      </c>
      <c r="X81">
        <v>17</v>
      </c>
      <c r="Y81">
        <v>590.75</v>
      </c>
    </row>
    <row r="82" spans="1:25">
      <c r="A82" s="228" t="s">
        <v>77</v>
      </c>
      <c r="B82" s="228" t="s">
        <v>148</v>
      </c>
      <c r="C82" s="228" t="s">
        <v>150</v>
      </c>
      <c r="D82" s="228" t="s">
        <v>27</v>
      </c>
      <c r="E82">
        <v>29</v>
      </c>
      <c r="F82">
        <v>30</v>
      </c>
      <c r="G82">
        <v>870</v>
      </c>
      <c r="H82">
        <v>0</v>
      </c>
      <c r="I82">
        <v>0</v>
      </c>
      <c r="J82">
        <v>29</v>
      </c>
      <c r="K82">
        <v>870</v>
      </c>
      <c r="L82">
        <v>0</v>
      </c>
      <c r="M82">
        <v>0</v>
      </c>
      <c r="N82">
        <v>0</v>
      </c>
      <c r="O82">
        <v>0</v>
      </c>
      <c r="P82">
        <v>0</v>
      </c>
      <c r="Q82">
        <v>29</v>
      </c>
      <c r="R82">
        <v>870</v>
      </c>
      <c r="S82">
        <v>0</v>
      </c>
      <c r="T82">
        <v>0</v>
      </c>
      <c r="U82">
        <v>0</v>
      </c>
      <c r="V82">
        <v>0</v>
      </c>
      <c r="W82">
        <v>0</v>
      </c>
      <c r="X82">
        <v>29</v>
      </c>
      <c r="Y82">
        <v>870</v>
      </c>
    </row>
    <row r="83" spans="1:25">
      <c r="A83" s="228" t="s">
        <v>77</v>
      </c>
      <c r="B83" s="228" t="s">
        <v>148</v>
      </c>
      <c r="C83" s="228" t="s">
        <v>55</v>
      </c>
      <c r="D83" s="228" t="s">
        <v>32</v>
      </c>
      <c r="E83">
        <v>15</v>
      </c>
      <c r="F83">
        <v>42.15</v>
      </c>
      <c r="G83">
        <v>632.25</v>
      </c>
      <c r="H83">
        <v>1</v>
      </c>
      <c r="I83">
        <v>42.15</v>
      </c>
      <c r="J83">
        <v>14</v>
      </c>
      <c r="K83">
        <v>590.1</v>
      </c>
      <c r="L83">
        <v>0</v>
      </c>
      <c r="M83">
        <v>0</v>
      </c>
      <c r="N83">
        <v>0</v>
      </c>
      <c r="O83">
        <v>0</v>
      </c>
      <c r="P83">
        <v>0</v>
      </c>
      <c r="Q83">
        <v>14</v>
      </c>
      <c r="R83">
        <v>590.1</v>
      </c>
      <c r="S83">
        <v>0</v>
      </c>
      <c r="T83">
        <v>0</v>
      </c>
      <c r="U83">
        <v>0</v>
      </c>
      <c r="V83">
        <v>0</v>
      </c>
      <c r="W83">
        <v>0</v>
      </c>
      <c r="X83">
        <v>14</v>
      </c>
      <c r="Y83">
        <v>590.1</v>
      </c>
    </row>
    <row r="84" spans="1:25">
      <c r="A84" s="228" t="s">
        <v>77</v>
      </c>
      <c r="B84" s="228" t="s">
        <v>148</v>
      </c>
      <c r="C84" s="228" t="s">
        <v>151</v>
      </c>
      <c r="D84" s="228" t="s">
        <v>27</v>
      </c>
      <c r="E84">
        <v>75</v>
      </c>
      <c r="F84">
        <v>3.4993899330589922</v>
      </c>
      <c r="G84">
        <v>262.4542449794244</v>
      </c>
      <c r="H84">
        <v>0</v>
      </c>
      <c r="I84">
        <v>0</v>
      </c>
      <c r="J84">
        <v>75</v>
      </c>
      <c r="K84">
        <v>262.4542449794244</v>
      </c>
      <c r="L84">
        <v>0</v>
      </c>
      <c r="M84">
        <v>0</v>
      </c>
      <c r="N84">
        <v>0</v>
      </c>
      <c r="O84">
        <v>75</v>
      </c>
      <c r="P84">
        <v>262.4542449794244</v>
      </c>
      <c r="Q84">
        <v>0</v>
      </c>
      <c r="R84">
        <v>0</v>
      </c>
      <c r="S84">
        <v>0</v>
      </c>
      <c r="T84">
        <v>0</v>
      </c>
      <c r="U84">
        <v>0</v>
      </c>
      <c r="V84">
        <v>75</v>
      </c>
      <c r="W84">
        <v>262.4542449794244</v>
      </c>
      <c r="X84">
        <v>0</v>
      </c>
      <c r="Y84">
        <v>0</v>
      </c>
    </row>
    <row r="85" spans="1:25">
      <c r="A85" s="228" t="s">
        <v>77</v>
      </c>
      <c r="B85" s="228" t="s">
        <v>148</v>
      </c>
      <c r="C85" s="228" t="s">
        <v>152</v>
      </c>
      <c r="D85" s="228" t="s">
        <v>32</v>
      </c>
      <c r="E85">
        <v>24</v>
      </c>
      <c r="F85">
        <v>28.72</v>
      </c>
      <c r="G85">
        <v>689.28</v>
      </c>
      <c r="H85">
        <v>0</v>
      </c>
      <c r="I85">
        <v>0</v>
      </c>
      <c r="J85">
        <v>24</v>
      </c>
      <c r="K85">
        <v>689.28</v>
      </c>
      <c r="L85">
        <v>0</v>
      </c>
      <c r="M85">
        <v>0</v>
      </c>
      <c r="N85">
        <v>0</v>
      </c>
      <c r="O85">
        <v>5</v>
      </c>
      <c r="P85">
        <v>143.6</v>
      </c>
      <c r="Q85">
        <v>19</v>
      </c>
      <c r="R85">
        <v>545.67999999999995</v>
      </c>
      <c r="S85">
        <v>0</v>
      </c>
      <c r="T85">
        <v>0</v>
      </c>
      <c r="U85">
        <v>0</v>
      </c>
      <c r="V85">
        <v>5</v>
      </c>
      <c r="W85">
        <v>143.6</v>
      </c>
      <c r="X85">
        <v>19</v>
      </c>
      <c r="Y85">
        <v>545.67999999999995</v>
      </c>
    </row>
    <row r="86" spans="1:25">
      <c r="A86" s="228" t="s">
        <v>77</v>
      </c>
      <c r="B86" s="228" t="s">
        <v>148</v>
      </c>
      <c r="C86" s="228" t="s">
        <v>153</v>
      </c>
      <c r="D86" s="228" t="s">
        <v>32</v>
      </c>
      <c r="E86">
        <v>15</v>
      </c>
      <c r="F86">
        <v>63.56</v>
      </c>
      <c r="G86">
        <v>953.40000000000009</v>
      </c>
      <c r="H86">
        <v>0</v>
      </c>
      <c r="I86">
        <v>0</v>
      </c>
      <c r="J86">
        <v>15</v>
      </c>
      <c r="K86">
        <v>953.40000000000009</v>
      </c>
      <c r="L86">
        <v>0</v>
      </c>
      <c r="M86">
        <v>0</v>
      </c>
      <c r="N86">
        <v>0</v>
      </c>
      <c r="O86">
        <v>0</v>
      </c>
      <c r="P86">
        <v>0</v>
      </c>
      <c r="Q86">
        <v>15</v>
      </c>
      <c r="R86">
        <v>953.40000000000009</v>
      </c>
      <c r="S86">
        <v>0</v>
      </c>
      <c r="T86">
        <v>0</v>
      </c>
      <c r="U86">
        <v>0</v>
      </c>
      <c r="V86">
        <v>0</v>
      </c>
      <c r="W86">
        <v>0</v>
      </c>
      <c r="X86">
        <v>15</v>
      </c>
      <c r="Y86">
        <v>953.40000000000009</v>
      </c>
    </row>
    <row r="87" spans="1:25">
      <c r="A87" s="228" t="s">
        <v>77</v>
      </c>
      <c r="B87" s="228" t="s">
        <v>148</v>
      </c>
      <c r="C87" s="228" t="s">
        <v>154</v>
      </c>
      <c r="D87" s="228" t="s">
        <v>27</v>
      </c>
      <c r="E87">
        <v>0</v>
      </c>
      <c r="F87">
        <v>130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s="228" t="s">
        <v>77</v>
      </c>
      <c r="B88" s="228" t="s">
        <v>148</v>
      </c>
      <c r="C88" s="228" t="s">
        <v>155</v>
      </c>
      <c r="D88" s="228" t="s">
        <v>34</v>
      </c>
      <c r="E88">
        <v>11</v>
      </c>
      <c r="F88">
        <v>65</v>
      </c>
      <c r="G88">
        <v>715</v>
      </c>
      <c r="H88">
        <v>0</v>
      </c>
      <c r="I88">
        <v>0</v>
      </c>
      <c r="J88">
        <v>11</v>
      </c>
      <c r="K88">
        <v>715</v>
      </c>
      <c r="L88">
        <v>0</v>
      </c>
      <c r="M88">
        <v>0</v>
      </c>
      <c r="N88">
        <v>0</v>
      </c>
      <c r="O88">
        <v>1</v>
      </c>
      <c r="P88">
        <v>65</v>
      </c>
      <c r="Q88">
        <v>10</v>
      </c>
      <c r="R88">
        <v>650</v>
      </c>
      <c r="S88">
        <v>0</v>
      </c>
      <c r="T88">
        <v>0</v>
      </c>
      <c r="U88">
        <v>0</v>
      </c>
      <c r="V88">
        <v>1</v>
      </c>
      <c r="W88">
        <v>65</v>
      </c>
      <c r="X88">
        <v>10</v>
      </c>
      <c r="Y88">
        <v>650</v>
      </c>
    </row>
    <row r="89" spans="1:25">
      <c r="A89" s="228" t="s">
        <v>77</v>
      </c>
      <c r="B89" s="228" t="s">
        <v>156</v>
      </c>
      <c r="C89" s="228" t="s">
        <v>157</v>
      </c>
      <c r="D89" s="228" t="s">
        <v>27</v>
      </c>
      <c r="E89">
        <v>67</v>
      </c>
      <c r="F89">
        <v>8.4</v>
      </c>
      <c r="G89">
        <v>562.80000000000007</v>
      </c>
      <c r="H89">
        <v>0</v>
      </c>
      <c r="I89">
        <v>0</v>
      </c>
      <c r="J89">
        <v>67</v>
      </c>
      <c r="K89">
        <v>562.80000000000007</v>
      </c>
      <c r="L89">
        <v>0</v>
      </c>
      <c r="M89">
        <v>0</v>
      </c>
      <c r="N89">
        <v>0</v>
      </c>
      <c r="O89">
        <v>5</v>
      </c>
      <c r="P89">
        <v>42</v>
      </c>
      <c r="Q89">
        <v>62</v>
      </c>
      <c r="R89">
        <v>520.80000000000007</v>
      </c>
      <c r="S89">
        <v>0</v>
      </c>
      <c r="T89">
        <v>0</v>
      </c>
      <c r="U89">
        <v>0</v>
      </c>
      <c r="V89">
        <v>5</v>
      </c>
      <c r="W89">
        <v>42</v>
      </c>
      <c r="X89">
        <v>62</v>
      </c>
      <c r="Y89">
        <v>520.80000000000007</v>
      </c>
    </row>
    <row r="90" spans="1:25">
      <c r="A90" s="228" t="s">
        <v>77</v>
      </c>
      <c r="B90" s="228" t="s">
        <v>156</v>
      </c>
      <c r="C90" s="228" t="s">
        <v>158</v>
      </c>
      <c r="D90" s="228" t="s">
        <v>27</v>
      </c>
      <c r="E90">
        <v>1</v>
      </c>
      <c r="F90">
        <v>3.4791666666666599</v>
      </c>
      <c r="G90">
        <v>3.4791666666666599</v>
      </c>
      <c r="H90">
        <v>0</v>
      </c>
      <c r="I90">
        <v>0</v>
      </c>
      <c r="J90">
        <v>1</v>
      </c>
      <c r="K90">
        <v>3.4791666666666599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3.4791666666666599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3.4791666666666599</v>
      </c>
    </row>
    <row r="91" spans="1:25">
      <c r="A91" s="228" t="s">
        <v>77</v>
      </c>
      <c r="B91" s="228" t="s">
        <v>156</v>
      </c>
      <c r="C91" s="228" t="s">
        <v>159</v>
      </c>
      <c r="D91" s="228" t="s">
        <v>100</v>
      </c>
      <c r="E91">
        <v>15</v>
      </c>
      <c r="F91">
        <v>44</v>
      </c>
      <c r="G91">
        <v>660</v>
      </c>
      <c r="H91">
        <v>0</v>
      </c>
      <c r="I91">
        <v>0</v>
      </c>
      <c r="J91">
        <v>15</v>
      </c>
      <c r="K91">
        <v>660</v>
      </c>
      <c r="L91">
        <v>0</v>
      </c>
      <c r="M91">
        <v>0</v>
      </c>
      <c r="N91">
        <v>0</v>
      </c>
      <c r="O91">
        <v>3</v>
      </c>
      <c r="P91">
        <v>132</v>
      </c>
      <c r="Q91">
        <v>12</v>
      </c>
      <c r="R91">
        <v>528</v>
      </c>
      <c r="S91">
        <v>0</v>
      </c>
      <c r="T91">
        <v>0</v>
      </c>
      <c r="U91">
        <v>0</v>
      </c>
      <c r="V91">
        <v>3</v>
      </c>
      <c r="W91">
        <v>132</v>
      </c>
      <c r="X91">
        <v>12</v>
      </c>
      <c r="Y91">
        <v>528</v>
      </c>
    </row>
    <row r="92" spans="1:25">
      <c r="A92" s="228" t="s">
        <v>77</v>
      </c>
      <c r="B92" s="228" t="s">
        <v>156</v>
      </c>
      <c r="C92" s="228" t="s">
        <v>160</v>
      </c>
      <c r="D92" s="228" t="s">
        <v>27</v>
      </c>
      <c r="E92">
        <v>3</v>
      </c>
      <c r="F92">
        <v>83</v>
      </c>
      <c r="G92">
        <v>249</v>
      </c>
      <c r="H92">
        <v>0</v>
      </c>
      <c r="I92">
        <v>0</v>
      </c>
      <c r="J92">
        <v>3</v>
      </c>
      <c r="K92">
        <v>249</v>
      </c>
      <c r="L92">
        <v>0</v>
      </c>
      <c r="M92">
        <v>0</v>
      </c>
      <c r="N92">
        <v>0</v>
      </c>
      <c r="O92">
        <v>0</v>
      </c>
      <c r="P92">
        <v>0</v>
      </c>
      <c r="Q92">
        <v>3</v>
      </c>
      <c r="R92">
        <v>249</v>
      </c>
      <c r="S92">
        <v>0</v>
      </c>
      <c r="T92">
        <v>0</v>
      </c>
      <c r="U92">
        <v>0</v>
      </c>
      <c r="V92">
        <v>0</v>
      </c>
      <c r="W92">
        <v>0</v>
      </c>
      <c r="X92">
        <v>3</v>
      </c>
      <c r="Y92">
        <v>249</v>
      </c>
    </row>
    <row r="93" spans="1:25">
      <c r="A93" s="228" t="s">
        <v>77</v>
      </c>
      <c r="B93" s="228" t="s">
        <v>156</v>
      </c>
      <c r="C93" s="228" t="s">
        <v>161</v>
      </c>
      <c r="D93" s="228" t="s">
        <v>27</v>
      </c>
      <c r="E93">
        <v>80</v>
      </c>
      <c r="F93">
        <v>80.540000000000006</v>
      </c>
      <c r="G93">
        <v>6443.2000000000007</v>
      </c>
      <c r="H93">
        <v>0</v>
      </c>
      <c r="I93">
        <v>0</v>
      </c>
      <c r="J93">
        <v>80</v>
      </c>
      <c r="K93">
        <v>6443.2000000000007</v>
      </c>
      <c r="L93">
        <v>0</v>
      </c>
      <c r="M93">
        <v>0</v>
      </c>
      <c r="N93">
        <v>0</v>
      </c>
      <c r="O93">
        <v>16</v>
      </c>
      <c r="P93">
        <v>1288.6400000000001</v>
      </c>
      <c r="Q93">
        <v>64</v>
      </c>
      <c r="R93">
        <v>5154.5600000000004</v>
      </c>
      <c r="S93">
        <v>0</v>
      </c>
      <c r="T93">
        <v>0</v>
      </c>
      <c r="U93">
        <v>0</v>
      </c>
      <c r="V93">
        <v>16</v>
      </c>
      <c r="W93">
        <v>1288.6400000000001</v>
      </c>
      <c r="X93">
        <v>64</v>
      </c>
      <c r="Y93">
        <v>5154.5600000000004</v>
      </c>
    </row>
    <row r="94" spans="1:25">
      <c r="A94" s="228" t="s">
        <v>77</v>
      </c>
      <c r="B94" s="228" t="s">
        <v>156</v>
      </c>
      <c r="C94" s="228" t="s">
        <v>66</v>
      </c>
      <c r="D94" s="228" t="s">
        <v>27</v>
      </c>
      <c r="E94">
        <v>6</v>
      </c>
      <c r="F94">
        <v>84</v>
      </c>
      <c r="G94">
        <v>504</v>
      </c>
      <c r="H94">
        <v>3</v>
      </c>
      <c r="I94">
        <v>252</v>
      </c>
      <c r="J94">
        <v>3</v>
      </c>
      <c r="K94">
        <v>252</v>
      </c>
      <c r="L94">
        <v>0</v>
      </c>
      <c r="M94">
        <v>0</v>
      </c>
      <c r="N94">
        <v>0</v>
      </c>
      <c r="O94">
        <v>0</v>
      </c>
      <c r="P94">
        <v>0</v>
      </c>
      <c r="Q94">
        <v>3</v>
      </c>
      <c r="R94">
        <v>252</v>
      </c>
      <c r="S94">
        <v>0</v>
      </c>
      <c r="T94">
        <v>0</v>
      </c>
      <c r="U94">
        <v>0</v>
      </c>
      <c r="V94">
        <v>0</v>
      </c>
      <c r="W94">
        <v>0</v>
      </c>
      <c r="X94">
        <v>3</v>
      </c>
      <c r="Y94">
        <v>252</v>
      </c>
    </row>
    <row r="95" spans="1:25">
      <c r="A95" s="228" t="s">
        <v>77</v>
      </c>
      <c r="B95" s="228" t="s">
        <v>156</v>
      </c>
      <c r="C95" s="228" t="s">
        <v>162</v>
      </c>
      <c r="D95" s="228" t="s">
        <v>27</v>
      </c>
      <c r="E95">
        <v>10</v>
      </c>
      <c r="F95">
        <v>80</v>
      </c>
      <c r="G95">
        <v>800</v>
      </c>
      <c r="H95">
        <v>0</v>
      </c>
      <c r="I95">
        <v>0</v>
      </c>
      <c r="J95">
        <v>10</v>
      </c>
      <c r="K95">
        <v>800</v>
      </c>
      <c r="L95">
        <v>0</v>
      </c>
      <c r="M95">
        <v>0</v>
      </c>
      <c r="N95">
        <v>0</v>
      </c>
      <c r="O95">
        <v>0</v>
      </c>
      <c r="P95">
        <v>0</v>
      </c>
      <c r="Q95">
        <v>10</v>
      </c>
      <c r="R95">
        <v>800</v>
      </c>
      <c r="S95">
        <v>0</v>
      </c>
      <c r="T95">
        <v>0</v>
      </c>
      <c r="U95">
        <v>0</v>
      </c>
      <c r="V95">
        <v>0</v>
      </c>
      <c r="W95">
        <v>0</v>
      </c>
      <c r="X95">
        <v>10</v>
      </c>
      <c r="Y95">
        <v>800</v>
      </c>
    </row>
    <row r="96" spans="1:25">
      <c r="A96" s="228" t="s">
        <v>78</v>
      </c>
      <c r="B96" s="228" t="s">
        <v>163</v>
      </c>
      <c r="C96" s="228" t="s">
        <v>164</v>
      </c>
      <c r="D96" s="228" t="s">
        <v>165</v>
      </c>
      <c r="E96">
        <v>12</v>
      </c>
      <c r="F96">
        <v>289.68</v>
      </c>
      <c r="G96">
        <v>3476.16</v>
      </c>
      <c r="H96">
        <v>0</v>
      </c>
      <c r="I96">
        <v>0</v>
      </c>
      <c r="J96">
        <v>12</v>
      </c>
      <c r="K96">
        <v>3476.16</v>
      </c>
      <c r="L96">
        <v>0</v>
      </c>
      <c r="M96">
        <v>0</v>
      </c>
      <c r="N96">
        <v>0</v>
      </c>
      <c r="O96">
        <v>7</v>
      </c>
      <c r="P96">
        <v>2027.76</v>
      </c>
      <c r="Q96">
        <v>5</v>
      </c>
      <c r="R96">
        <v>1448.4</v>
      </c>
      <c r="S96">
        <v>0</v>
      </c>
      <c r="T96">
        <v>0</v>
      </c>
      <c r="U96">
        <v>0</v>
      </c>
      <c r="V96">
        <v>7</v>
      </c>
      <c r="W96">
        <v>2027.76</v>
      </c>
      <c r="X96">
        <v>5</v>
      </c>
      <c r="Y96">
        <v>1448.4</v>
      </c>
    </row>
    <row r="97" spans="1:25">
      <c r="A97" s="228" t="s">
        <v>78</v>
      </c>
      <c r="B97" s="228" t="s">
        <v>163</v>
      </c>
      <c r="C97" s="228" t="s">
        <v>75</v>
      </c>
      <c r="D97" s="228" t="s">
        <v>27</v>
      </c>
      <c r="E97">
        <v>41</v>
      </c>
      <c r="F97">
        <v>90.07</v>
      </c>
      <c r="G97">
        <v>3692.87</v>
      </c>
      <c r="H97">
        <v>15</v>
      </c>
      <c r="I97">
        <v>1351.05</v>
      </c>
      <c r="J97">
        <v>26</v>
      </c>
      <c r="K97">
        <v>2341.8199999999997</v>
      </c>
      <c r="L97">
        <v>0</v>
      </c>
      <c r="M97">
        <v>0</v>
      </c>
      <c r="N97">
        <v>0</v>
      </c>
      <c r="O97">
        <v>12</v>
      </c>
      <c r="P97">
        <v>1080.8399999999999</v>
      </c>
      <c r="Q97">
        <v>14</v>
      </c>
      <c r="R97">
        <v>1260.98</v>
      </c>
      <c r="S97">
        <v>0</v>
      </c>
      <c r="T97">
        <v>0</v>
      </c>
      <c r="U97">
        <v>0</v>
      </c>
      <c r="V97">
        <v>12</v>
      </c>
      <c r="W97">
        <v>1080.8399999999999</v>
      </c>
      <c r="X97">
        <v>14</v>
      </c>
      <c r="Y97">
        <v>1260.98</v>
      </c>
    </row>
    <row r="98" spans="1:25">
      <c r="A98" s="228" t="s">
        <v>78</v>
      </c>
      <c r="B98" s="228" t="s">
        <v>163</v>
      </c>
      <c r="C98" s="228" t="s">
        <v>71</v>
      </c>
      <c r="D98" s="228" t="s">
        <v>32</v>
      </c>
      <c r="E98">
        <v>144</v>
      </c>
      <c r="F98">
        <v>28.75</v>
      </c>
      <c r="G98">
        <v>4140</v>
      </c>
      <c r="H98">
        <v>10</v>
      </c>
      <c r="I98">
        <v>287.5</v>
      </c>
      <c r="J98">
        <v>134</v>
      </c>
      <c r="K98">
        <v>3852.5</v>
      </c>
      <c r="L98">
        <v>0</v>
      </c>
      <c r="M98">
        <v>0</v>
      </c>
      <c r="N98">
        <v>0</v>
      </c>
      <c r="O98">
        <v>39</v>
      </c>
      <c r="P98">
        <v>1121.25</v>
      </c>
      <c r="Q98">
        <v>95</v>
      </c>
      <c r="R98">
        <v>2731.25</v>
      </c>
      <c r="S98">
        <v>0</v>
      </c>
      <c r="T98">
        <v>0</v>
      </c>
      <c r="U98">
        <v>0</v>
      </c>
      <c r="V98">
        <v>39</v>
      </c>
      <c r="W98">
        <v>1121.25</v>
      </c>
      <c r="X98">
        <v>95</v>
      </c>
      <c r="Y98">
        <v>2731.25</v>
      </c>
    </row>
    <row r="99" spans="1:25">
      <c r="A99" s="228" t="s">
        <v>78</v>
      </c>
      <c r="B99" s="228" t="s">
        <v>163</v>
      </c>
      <c r="C99" s="228" t="s">
        <v>166</v>
      </c>
      <c r="D99" s="228" t="s">
        <v>165</v>
      </c>
      <c r="E99">
        <v>16</v>
      </c>
      <c r="F99">
        <v>572.76</v>
      </c>
      <c r="G99">
        <v>9164.16</v>
      </c>
      <c r="H99">
        <v>0</v>
      </c>
      <c r="I99">
        <v>0</v>
      </c>
      <c r="J99">
        <v>16</v>
      </c>
      <c r="K99">
        <v>9164.16</v>
      </c>
      <c r="L99">
        <v>0</v>
      </c>
      <c r="M99">
        <v>0</v>
      </c>
      <c r="N99">
        <v>0</v>
      </c>
      <c r="O99">
        <v>8</v>
      </c>
      <c r="P99">
        <v>4582.08</v>
      </c>
      <c r="Q99">
        <v>8</v>
      </c>
      <c r="R99">
        <v>4582.08</v>
      </c>
      <c r="S99">
        <v>0</v>
      </c>
      <c r="T99">
        <v>0</v>
      </c>
      <c r="U99">
        <v>0</v>
      </c>
      <c r="V99">
        <v>8</v>
      </c>
      <c r="W99">
        <v>4582.08</v>
      </c>
      <c r="X99">
        <v>8</v>
      </c>
      <c r="Y99">
        <v>4582.08</v>
      </c>
    </row>
    <row r="100" spans="1:25">
      <c r="A100" s="228" t="s">
        <v>78</v>
      </c>
      <c r="B100" s="228" t="s">
        <v>163</v>
      </c>
      <c r="C100" s="228" t="s">
        <v>167</v>
      </c>
      <c r="D100" s="228" t="s">
        <v>27</v>
      </c>
      <c r="E100">
        <v>1</v>
      </c>
      <c r="F100">
        <v>230</v>
      </c>
      <c r="G100">
        <v>230</v>
      </c>
      <c r="H100">
        <v>1</v>
      </c>
      <c r="I100">
        <v>230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s="228" t="s">
        <v>78</v>
      </c>
      <c r="B101" s="228" t="s">
        <v>163</v>
      </c>
      <c r="C101" s="228" t="s">
        <v>168</v>
      </c>
      <c r="D101" s="228" t="s">
        <v>27</v>
      </c>
      <c r="E101">
        <v>4</v>
      </c>
      <c r="F101">
        <v>32</v>
      </c>
      <c r="G101">
        <v>128</v>
      </c>
      <c r="H101">
        <v>0</v>
      </c>
      <c r="I101">
        <v>0</v>
      </c>
      <c r="J101">
        <v>4</v>
      </c>
      <c r="K101">
        <v>128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4</v>
      </c>
      <c r="R101">
        <v>128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4</v>
      </c>
      <c r="Y101">
        <v>128</v>
      </c>
    </row>
    <row r="102" spans="1:25">
      <c r="A102" s="228" t="s">
        <v>78</v>
      </c>
      <c r="B102" s="228" t="s">
        <v>163</v>
      </c>
      <c r="C102" s="228" t="s">
        <v>169</v>
      </c>
      <c r="D102" s="228" t="s">
        <v>27</v>
      </c>
      <c r="E102">
        <v>5</v>
      </c>
      <c r="F102">
        <v>75</v>
      </c>
      <c r="G102">
        <v>375</v>
      </c>
      <c r="H102">
        <v>0</v>
      </c>
      <c r="I102">
        <v>0</v>
      </c>
      <c r="J102">
        <v>5</v>
      </c>
      <c r="K102">
        <v>375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5</v>
      </c>
      <c r="R102">
        <v>375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5</v>
      </c>
      <c r="Y102">
        <v>375</v>
      </c>
    </row>
    <row r="103" spans="1:25">
      <c r="A103" s="228" t="s">
        <v>78</v>
      </c>
      <c r="B103" s="228" t="s">
        <v>163</v>
      </c>
      <c r="C103" s="228" t="s">
        <v>76</v>
      </c>
      <c r="D103" s="228" t="s">
        <v>34</v>
      </c>
      <c r="E103">
        <v>23</v>
      </c>
      <c r="F103">
        <v>432.5</v>
      </c>
      <c r="G103">
        <v>9947.5</v>
      </c>
      <c r="H103">
        <v>1</v>
      </c>
      <c r="I103">
        <v>432.5</v>
      </c>
      <c r="J103">
        <v>22</v>
      </c>
      <c r="K103">
        <v>9515</v>
      </c>
      <c r="L103">
        <v>0</v>
      </c>
      <c r="M103">
        <v>0</v>
      </c>
      <c r="N103">
        <v>0</v>
      </c>
      <c r="O103">
        <v>4</v>
      </c>
      <c r="P103">
        <v>1730</v>
      </c>
      <c r="Q103">
        <v>18</v>
      </c>
      <c r="R103">
        <v>7785</v>
      </c>
      <c r="S103">
        <v>0</v>
      </c>
      <c r="T103">
        <v>0</v>
      </c>
      <c r="U103">
        <v>0</v>
      </c>
      <c r="V103">
        <v>4</v>
      </c>
      <c r="W103">
        <v>1730</v>
      </c>
      <c r="X103">
        <v>18</v>
      </c>
      <c r="Y103">
        <v>7785</v>
      </c>
    </row>
    <row r="104" spans="1:25">
      <c r="A104" s="228" t="s">
        <v>78</v>
      </c>
      <c r="B104" s="228" t="s">
        <v>163</v>
      </c>
      <c r="C104" s="228" t="s">
        <v>170</v>
      </c>
      <c r="D104" s="228" t="s">
        <v>165</v>
      </c>
      <c r="E104">
        <v>13</v>
      </c>
      <c r="F104">
        <v>798.58</v>
      </c>
      <c r="G104">
        <v>10381.540000000001</v>
      </c>
      <c r="H104">
        <v>0</v>
      </c>
      <c r="I104">
        <v>0</v>
      </c>
      <c r="J104">
        <v>13</v>
      </c>
      <c r="K104">
        <v>10381.540000000001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13</v>
      </c>
      <c r="R104">
        <v>10381.540000000001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13</v>
      </c>
      <c r="Y104">
        <v>10381.540000000001</v>
      </c>
    </row>
    <row r="105" spans="1:25">
      <c r="A105" s="228" t="s">
        <v>78</v>
      </c>
      <c r="B105" s="228" t="s">
        <v>163</v>
      </c>
      <c r="C105" s="228" t="s">
        <v>171</v>
      </c>
      <c r="D105" s="228" t="s">
        <v>34</v>
      </c>
      <c r="E105">
        <v>9</v>
      </c>
      <c r="F105">
        <v>395</v>
      </c>
      <c r="G105">
        <v>3555</v>
      </c>
      <c r="H105">
        <v>0</v>
      </c>
      <c r="I105">
        <v>0</v>
      </c>
      <c r="J105">
        <v>9</v>
      </c>
      <c r="K105">
        <v>3555</v>
      </c>
      <c r="L105">
        <v>0</v>
      </c>
      <c r="M105">
        <v>0</v>
      </c>
      <c r="N105">
        <v>0</v>
      </c>
      <c r="O105">
        <v>4</v>
      </c>
      <c r="P105">
        <v>1580</v>
      </c>
      <c r="Q105">
        <v>5</v>
      </c>
      <c r="R105">
        <v>1975</v>
      </c>
      <c r="S105">
        <v>0</v>
      </c>
      <c r="T105">
        <v>0</v>
      </c>
      <c r="U105">
        <v>0</v>
      </c>
      <c r="V105">
        <v>4</v>
      </c>
      <c r="W105">
        <v>1580</v>
      </c>
      <c r="X105">
        <v>5</v>
      </c>
      <c r="Y105">
        <v>1975</v>
      </c>
    </row>
    <row r="106" spans="1:25">
      <c r="A106" s="228" t="s">
        <v>78</v>
      </c>
      <c r="B106" s="228" t="s">
        <v>163</v>
      </c>
      <c r="C106" s="228" t="s">
        <v>172</v>
      </c>
      <c r="D106" s="228" t="s">
        <v>27</v>
      </c>
      <c r="E106">
        <v>6</v>
      </c>
      <c r="F106">
        <v>78.75</v>
      </c>
      <c r="G106">
        <v>472.5</v>
      </c>
      <c r="H106">
        <v>0</v>
      </c>
      <c r="I106">
        <v>0</v>
      </c>
      <c r="J106">
        <v>6</v>
      </c>
      <c r="K106">
        <v>472.5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</v>
      </c>
      <c r="R106">
        <v>472.5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6</v>
      </c>
      <c r="Y106">
        <v>472.5</v>
      </c>
    </row>
    <row r="107" spans="1:25">
      <c r="A107" s="228" t="s">
        <v>78</v>
      </c>
      <c r="B107" s="228" t="s">
        <v>163</v>
      </c>
      <c r="C107" s="228" t="s">
        <v>74</v>
      </c>
      <c r="D107" s="228" t="s">
        <v>38</v>
      </c>
      <c r="E107">
        <v>38</v>
      </c>
      <c r="F107">
        <v>30</v>
      </c>
      <c r="G107">
        <v>1140</v>
      </c>
      <c r="H107">
        <v>6</v>
      </c>
      <c r="I107">
        <v>180</v>
      </c>
      <c r="J107">
        <v>32</v>
      </c>
      <c r="K107">
        <v>960</v>
      </c>
      <c r="L107">
        <v>0</v>
      </c>
      <c r="M107">
        <v>0</v>
      </c>
      <c r="N107">
        <v>0</v>
      </c>
      <c r="O107">
        <v>12</v>
      </c>
      <c r="P107">
        <v>360</v>
      </c>
      <c r="Q107">
        <v>20</v>
      </c>
      <c r="R107">
        <v>600</v>
      </c>
      <c r="S107">
        <v>0</v>
      </c>
      <c r="T107">
        <v>0</v>
      </c>
      <c r="U107">
        <v>0</v>
      </c>
      <c r="V107">
        <v>12</v>
      </c>
      <c r="W107">
        <v>360</v>
      </c>
      <c r="X107">
        <v>20</v>
      </c>
      <c r="Y107">
        <v>600</v>
      </c>
    </row>
    <row r="108" spans="1:25">
      <c r="A108" s="228" t="s">
        <v>2</v>
      </c>
      <c r="B108" s="228" t="s">
        <v>163</v>
      </c>
      <c r="C108" s="228" t="s">
        <v>173</v>
      </c>
      <c r="D108" s="228" t="s">
        <v>29</v>
      </c>
      <c r="E108">
        <v>8</v>
      </c>
      <c r="F108">
        <v>238</v>
      </c>
      <c r="G108">
        <v>1904</v>
      </c>
      <c r="H108">
        <v>0</v>
      </c>
      <c r="I108">
        <v>0</v>
      </c>
      <c r="J108">
        <v>8</v>
      </c>
      <c r="K108">
        <v>1904</v>
      </c>
      <c r="L108">
        <v>0</v>
      </c>
      <c r="M108">
        <v>0</v>
      </c>
      <c r="N108">
        <v>0</v>
      </c>
      <c r="O108">
        <v>2</v>
      </c>
      <c r="P108">
        <v>476</v>
      </c>
      <c r="Q108">
        <v>6</v>
      </c>
      <c r="R108">
        <v>1428</v>
      </c>
      <c r="S108">
        <v>0</v>
      </c>
      <c r="T108">
        <v>0</v>
      </c>
      <c r="U108">
        <v>0</v>
      </c>
      <c r="V108">
        <v>2</v>
      </c>
      <c r="W108">
        <v>476</v>
      </c>
      <c r="X108">
        <v>6</v>
      </c>
      <c r="Y108">
        <v>1428</v>
      </c>
    </row>
    <row r="109" spans="1:25">
      <c r="A109" s="228" t="s">
        <v>78</v>
      </c>
      <c r="B109" s="228" t="s">
        <v>163</v>
      </c>
      <c r="C109" s="228" t="s">
        <v>174</v>
      </c>
      <c r="D109" s="228" t="s">
        <v>27</v>
      </c>
      <c r="E109">
        <v>2</v>
      </c>
      <c r="F109">
        <v>285</v>
      </c>
      <c r="G109">
        <v>570</v>
      </c>
      <c r="H109">
        <v>2</v>
      </c>
      <c r="I109">
        <v>570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s="228" t="s">
        <v>78</v>
      </c>
      <c r="B110" s="228" t="s">
        <v>163</v>
      </c>
      <c r="C110" s="228" t="s">
        <v>175</v>
      </c>
      <c r="D110" s="228" t="s">
        <v>165</v>
      </c>
      <c r="E110">
        <v>10</v>
      </c>
      <c r="F110">
        <v>165</v>
      </c>
      <c r="G110">
        <v>1650</v>
      </c>
      <c r="H110">
        <v>0</v>
      </c>
      <c r="I110">
        <v>0</v>
      </c>
      <c r="J110">
        <v>10</v>
      </c>
      <c r="K110">
        <v>1650</v>
      </c>
      <c r="L110">
        <v>0</v>
      </c>
      <c r="M110">
        <v>0</v>
      </c>
      <c r="N110">
        <v>0</v>
      </c>
      <c r="O110">
        <v>5</v>
      </c>
      <c r="P110">
        <v>825</v>
      </c>
      <c r="Q110">
        <v>5</v>
      </c>
      <c r="R110">
        <v>825</v>
      </c>
      <c r="S110">
        <v>0</v>
      </c>
      <c r="T110">
        <v>0</v>
      </c>
      <c r="U110">
        <v>0</v>
      </c>
      <c r="V110">
        <v>5</v>
      </c>
      <c r="W110">
        <v>825</v>
      </c>
      <c r="X110">
        <v>5</v>
      </c>
      <c r="Y110">
        <v>825</v>
      </c>
    </row>
    <row r="111" spans="1:25">
      <c r="A111" s="228" t="s">
        <v>78</v>
      </c>
      <c r="B111" s="228" t="s">
        <v>163</v>
      </c>
      <c r="C111" s="228" t="s">
        <v>176</v>
      </c>
      <c r="D111" s="228" t="s">
        <v>165</v>
      </c>
      <c r="E111">
        <v>1</v>
      </c>
      <c r="F111">
        <v>200</v>
      </c>
      <c r="G111">
        <v>200</v>
      </c>
      <c r="H111">
        <v>0</v>
      </c>
      <c r="I111">
        <v>0</v>
      </c>
      <c r="J111">
        <v>1</v>
      </c>
      <c r="K111">
        <v>200</v>
      </c>
      <c r="L111">
        <v>0</v>
      </c>
      <c r="M111">
        <v>0</v>
      </c>
      <c r="N111">
        <v>0</v>
      </c>
      <c r="O111">
        <v>1</v>
      </c>
      <c r="P111">
        <v>200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200</v>
      </c>
      <c r="X111">
        <v>0</v>
      </c>
      <c r="Y111">
        <v>0</v>
      </c>
    </row>
    <row r="112" spans="1:25">
      <c r="A112" s="228" t="s">
        <v>78</v>
      </c>
      <c r="B112" s="228" t="s">
        <v>163</v>
      </c>
      <c r="C112" s="228" t="s">
        <v>72</v>
      </c>
      <c r="D112" s="228" t="s">
        <v>38</v>
      </c>
      <c r="E112">
        <v>27</v>
      </c>
      <c r="F112">
        <v>383.93</v>
      </c>
      <c r="G112">
        <v>10366.11</v>
      </c>
      <c r="H112">
        <v>2</v>
      </c>
      <c r="I112">
        <v>767.86</v>
      </c>
      <c r="J112">
        <v>25</v>
      </c>
      <c r="K112">
        <v>9598.25</v>
      </c>
      <c r="L112">
        <v>0</v>
      </c>
      <c r="M112">
        <v>0</v>
      </c>
      <c r="N112">
        <v>0</v>
      </c>
      <c r="O112">
        <v>14</v>
      </c>
      <c r="P112">
        <v>5375.02</v>
      </c>
      <c r="Q112">
        <v>11</v>
      </c>
      <c r="R112">
        <v>4223.2300000000005</v>
      </c>
      <c r="S112">
        <v>0</v>
      </c>
      <c r="T112">
        <v>0</v>
      </c>
      <c r="U112">
        <v>0</v>
      </c>
      <c r="V112">
        <v>14</v>
      </c>
      <c r="W112">
        <v>5375.02</v>
      </c>
      <c r="X112">
        <v>11</v>
      </c>
      <c r="Y112">
        <v>4223.2300000000005</v>
      </c>
    </row>
    <row r="113" spans="1:25">
      <c r="A113" s="228" t="s">
        <v>78</v>
      </c>
      <c r="B113" s="228" t="s">
        <v>163</v>
      </c>
      <c r="C113" s="228" t="s">
        <v>177</v>
      </c>
      <c r="D113" s="228" t="s">
        <v>27</v>
      </c>
      <c r="E113">
        <v>4</v>
      </c>
      <c r="F113">
        <v>110</v>
      </c>
      <c r="G113">
        <v>440</v>
      </c>
      <c r="H113">
        <v>2</v>
      </c>
      <c r="I113">
        <v>220</v>
      </c>
      <c r="J113">
        <v>2</v>
      </c>
      <c r="K113">
        <v>220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</v>
      </c>
      <c r="R113">
        <v>220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2</v>
      </c>
      <c r="Y113">
        <v>220</v>
      </c>
    </row>
    <row r="114" spans="1:25">
      <c r="A114" s="228" t="s">
        <v>78</v>
      </c>
      <c r="B114" s="228" t="s">
        <v>163</v>
      </c>
      <c r="C114" s="228" t="s">
        <v>178</v>
      </c>
      <c r="D114" s="228" t="s">
        <v>27</v>
      </c>
      <c r="E114">
        <v>2</v>
      </c>
      <c r="F114">
        <v>210</v>
      </c>
      <c r="G114">
        <v>420</v>
      </c>
      <c r="H114">
        <v>2</v>
      </c>
      <c r="I114">
        <v>420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s="228" t="s">
        <v>78</v>
      </c>
      <c r="B115" s="228" t="s">
        <v>163</v>
      </c>
      <c r="C115" s="228" t="s">
        <v>179</v>
      </c>
      <c r="D115" s="228" t="s">
        <v>27</v>
      </c>
      <c r="E115">
        <v>3</v>
      </c>
      <c r="F115">
        <v>3800</v>
      </c>
      <c r="G115">
        <v>11400</v>
      </c>
      <c r="H115">
        <v>2</v>
      </c>
      <c r="I115">
        <v>7600</v>
      </c>
      <c r="J115">
        <v>1</v>
      </c>
      <c r="K115">
        <v>3800</v>
      </c>
      <c r="L115">
        <v>0</v>
      </c>
      <c r="M115">
        <v>0</v>
      </c>
      <c r="N115">
        <v>0</v>
      </c>
      <c r="O115">
        <v>1</v>
      </c>
      <c r="P115">
        <v>3800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3800</v>
      </c>
      <c r="X115">
        <v>0</v>
      </c>
      <c r="Y115">
        <v>0</v>
      </c>
    </row>
    <row r="116" spans="1:25">
      <c r="A116" s="228" t="s">
        <v>78</v>
      </c>
      <c r="B116" s="228" t="s">
        <v>163</v>
      </c>
      <c r="C116" s="228" t="s">
        <v>180</v>
      </c>
      <c r="D116" s="228" t="s">
        <v>27</v>
      </c>
      <c r="E116">
        <v>32</v>
      </c>
      <c r="F116">
        <v>18.53</v>
      </c>
      <c r="G116">
        <v>592.96</v>
      </c>
      <c r="H116">
        <v>0</v>
      </c>
      <c r="I116">
        <v>0</v>
      </c>
      <c r="J116">
        <v>32</v>
      </c>
      <c r="K116">
        <v>592.96</v>
      </c>
      <c r="L116">
        <v>0</v>
      </c>
      <c r="M116">
        <v>0</v>
      </c>
      <c r="N116">
        <v>0</v>
      </c>
      <c r="O116">
        <v>5</v>
      </c>
      <c r="P116">
        <v>92.65</v>
      </c>
      <c r="Q116">
        <v>27</v>
      </c>
      <c r="R116">
        <v>500.31000000000006</v>
      </c>
      <c r="S116">
        <v>0</v>
      </c>
      <c r="T116">
        <v>0</v>
      </c>
      <c r="U116">
        <v>0</v>
      </c>
      <c r="V116">
        <v>5</v>
      </c>
      <c r="W116">
        <v>92.65</v>
      </c>
      <c r="X116">
        <v>27</v>
      </c>
      <c r="Y116">
        <v>500.31000000000006</v>
      </c>
    </row>
    <row r="117" spans="1:25">
      <c r="A117" s="228" t="s">
        <v>78</v>
      </c>
      <c r="B117" s="228" t="s">
        <v>163</v>
      </c>
      <c r="C117" s="228" t="s">
        <v>181</v>
      </c>
      <c r="D117" s="228" t="s">
        <v>34</v>
      </c>
      <c r="E117">
        <v>9</v>
      </c>
      <c r="F117">
        <v>310</v>
      </c>
      <c r="G117">
        <v>2790</v>
      </c>
      <c r="H117">
        <v>0</v>
      </c>
      <c r="I117">
        <v>0</v>
      </c>
      <c r="J117">
        <v>9</v>
      </c>
      <c r="K117">
        <v>2790</v>
      </c>
      <c r="L117">
        <v>0</v>
      </c>
      <c r="M117">
        <v>0</v>
      </c>
      <c r="N117">
        <v>0</v>
      </c>
      <c r="O117">
        <v>4</v>
      </c>
      <c r="P117">
        <v>1240</v>
      </c>
      <c r="Q117">
        <v>5</v>
      </c>
      <c r="R117">
        <v>1550</v>
      </c>
      <c r="S117">
        <v>0</v>
      </c>
      <c r="T117">
        <v>0</v>
      </c>
      <c r="U117">
        <v>0</v>
      </c>
      <c r="V117">
        <v>4</v>
      </c>
      <c r="W117">
        <v>1240</v>
      </c>
      <c r="X117">
        <v>5</v>
      </c>
      <c r="Y117">
        <v>1550</v>
      </c>
    </row>
    <row r="118" spans="1:25">
      <c r="A118" s="228" t="s">
        <v>78</v>
      </c>
      <c r="B118" s="228" t="s">
        <v>163</v>
      </c>
      <c r="C118" s="228" t="s">
        <v>182</v>
      </c>
      <c r="D118" s="228" t="s">
        <v>27</v>
      </c>
      <c r="E118">
        <v>1</v>
      </c>
      <c r="F118">
        <v>165</v>
      </c>
      <c r="G118">
        <v>165</v>
      </c>
      <c r="H118">
        <v>1</v>
      </c>
      <c r="I118">
        <v>165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s="228" t="s">
        <v>78</v>
      </c>
      <c r="B119" s="228" t="s">
        <v>163</v>
      </c>
      <c r="C119" s="228" t="s">
        <v>183</v>
      </c>
      <c r="D119" s="228" t="s">
        <v>38</v>
      </c>
      <c r="E119">
        <v>24</v>
      </c>
      <c r="F119">
        <v>24.93</v>
      </c>
      <c r="G119">
        <v>598.31999999999994</v>
      </c>
      <c r="H119">
        <v>0</v>
      </c>
      <c r="I119">
        <v>0</v>
      </c>
      <c r="J119">
        <v>24</v>
      </c>
      <c r="K119">
        <v>598.31999999999994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24</v>
      </c>
      <c r="R119">
        <v>598.31999999999994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24</v>
      </c>
      <c r="Y119">
        <v>598.31999999999994</v>
      </c>
    </row>
    <row r="120" spans="1:25">
      <c r="A120" s="228" t="s">
        <v>78</v>
      </c>
      <c r="B120" s="228" t="s">
        <v>163</v>
      </c>
      <c r="C120" s="228" t="s">
        <v>73</v>
      </c>
      <c r="D120" s="228" t="s">
        <v>38</v>
      </c>
      <c r="E120">
        <v>50</v>
      </c>
      <c r="F120">
        <v>25</v>
      </c>
      <c r="G120">
        <v>1250</v>
      </c>
      <c r="H120">
        <v>2</v>
      </c>
      <c r="I120">
        <v>50</v>
      </c>
      <c r="J120">
        <v>48</v>
      </c>
      <c r="K120">
        <v>1200</v>
      </c>
      <c r="L120">
        <v>0</v>
      </c>
      <c r="M120">
        <v>0</v>
      </c>
      <c r="N120">
        <v>0</v>
      </c>
      <c r="O120">
        <v>31</v>
      </c>
      <c r="P120">
        <v>775</v>
      </c>
      <c r="Q120">
        <v>17</v>
      </c>
      <c r="R120">
        <v>425</v>
      </c>
      <c r="S120">
        <v>0</v>
      </c>
      <c r="T120">
        <v>0</v>
      </c>
      <c r="U120">
        <v>0</v>
      </c>
      <c r="V120">
        <v>31</v>
      </c>
      <c r="W120">
        <v>775</v>
      </c>
      <c r="X120">
        <v>17</v>
      </c>
      <c r="Y120">
        <v>425</v>
      </c>
    </row>
    <row r="121" spans="1:25">
      <c r="A121" s="228" t="s">
        <v>78</v>
      </c>
      <c r="B121" s="228" t="s">
        <v>163</v>
      </c>
      <c r="C121" s="228" t="s">
        <v>184</v>
      </c>
      <c r="D121" s="228" t="s">
        <v>27</v>
      </c>
      <c r="E121">
        <v>335</v>
      </c>
      <c r="F121">
        <v>2.8250149200000001</v>
      </c>
      <c r="G121">
        <v>946.37999820000005</v>
      </c>
      <c r="H121">
        <v>50</v>
      </c>
      <c r="I121">
        <v>141.25074599999999</v>
      </c>
      <c r="J121">
        <v>285</v>
      </c>
      <c r="K121">
        <v>805.1292522</v>
      </c>
      <c r="L121">
        <v>0</v>
      </c>
      <c r="M121">
        <v>0</v>
      </c>
      <c r="N121">
        <v>0</v>
      </c>
      <c r="O121">
        <v>50</v>
      </c>
      <c r="P121">
        <v>141.25074599999999</v>
      </c>
      <c r="Q121">
        <v>235</v>
      </c>
      <c r="R121">
        <v>663.87850620000006</v>
      </c>
      <c r="S121">
        <v>0</v>
      </c>
      <c r="T121">
        <v>0</v>
      </c>
      <c r="U121">
        <v>0</v>
      </c>
      <c r="V121">
        <v>50</v>
      </c>
      <c r="W121">
        <v>141.25074599999999</v>
      </c>
      <c r="X121">
        <v>235</v>
      </c>
      <c r="Y121">
        <v>663.87850620000006</v>
      </c>
    </row>
    <row r="122" spans="1:25">
      <c r="A122" s="228" t="s">
        <v>78</v>
      </c>
      <c r="B122" s="228" t="s">
        <v>163</v>
      </c>
      <c r="C122" s="228" t="s">
        <v>185</v>
      </c>
      <c r="D122" s="228" t="s">
        <v>34</v>
      </c>
      <c r="E122">
        <v>1</v>
      </c>
      <c r="F122">
        <v>600</v>
      </c>
      <c r="G122">
        <v>600</v>
      </c>
      <c r="H122">
        <v>0</v>
      </c>
      <c r="I122">
        <v>0</v>
      </c>
      <c r="J122">
        <v>1</v>
      </c>
      <c r="K122">
        <v>600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600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600</v>
      </c>
    </row>
    <row r="123" spans="1:25">
      <c r="A123" s="228" t="s">
        <v>78</v>
      </c>
      <c r="B123" s="228" t="s">
        <v>163</v>
      </c>
      <c r="C123" s="228" t="s">
        <v>70</v>
      </c>
      <c r="D123" s="228" t="s">
        <v>27</v>
      </c>
      <c r="E123">
        <v>21</v>
      </c>
      <c r="F123">
        <v>64.67</v>
      </c>
      <c r="G123">
        <v>1358.07</v>
      </c>
      <c r="H123">
        <v>4</v>
      </c>
      <c r="I123">
        <v>258.68</v>
      </c>
      <c r="J123">
        <v>17</v>
      </c>
      <c r="K123">
        <v>1099.3900000000001</v>
      </c>
      <c r="L123">
        <v>0</v>
      </c>
      <c r="M123">
        <v>0</v>
      </c>
      <c r="N123">
        <v>0</v>
      </c>
      <c r="O123">
        <v>9</v>
      </c>
      <c r="P123">
        <v>582.03</v>
      </c>
      <c r="Q123">
        <v>8</v>
      </c>
      <c r="R123">
        <v>517.36</v>
      </c>
      <c r="S123">
        <v>0</v>
      </c>
      <c r="T123">
        <v>0</v>
      </c>
      <c r="U123">
        <v>0</v>
      </c>
      <c r="V123">
        <v>9</v>
      </c>
      <c r="W123">
        <v>582.03</v>
      </c>
      <c r="X123">
        <v>8</v>
      </c>
      <c r="Y123">
        <v>517.36</v>
      </c>
    </row>
    <row r="124" spans="1:25">
      <c r="A124" s="228" t="s">
        <v>78</v>
      </c>
      <c r="B124" s="228" t="s">
        <v>163</v>
      </c>
      <c r="C124" s="228" t="s">
        <v>186</v>
      </c>
      <c r="D124" s="228" t="s">
        <v>27</v>
      </c>
      <c r="E124">
        <v>2</v>
      </c>
      <c r="F124">
        <v>2113.33</v>
      </c>
      <c r="G124">
        <v>4226.66</v>
      </c>
      <c r="H124">
        <v>2</v>
      </c>
      <c r="I124">
        <v>4226.66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s="228" t="s">
        <v>78</v>
      </c>
      <c r="B125" s="228" t="s">
        <v>163</v>
      </c>
      <c r="C125" s="228" t="s">
        <v>187</v>
      </c>
      <c r="D125" s="228" t="s">
        <v>27</v>
      </c>
      <c r="E125">
        <v>6</v>
      </c>
      <c r="F125">
        <v>32</v>
      </c>
      <c r="G125">
        <v>192</v>
      </c>
      <c r="H125">
        <v>0</v>
      </c>
      <c r="I125">
        <v>0</v>
      </c>
      <c r="J125">
        <v>6</v>
      </c>
      <c r="K125">
        <v>192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</v>
      </c>
      <c r="R125">
        <v>192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6</v>
      </c>
      <c r="Y125">
        <v>192</v>
      </c>
    </row>
    <row r="126" spans="1:25">
      <c r="A126" s="228" t="s">
        <v>78</v>
      </c>
      <c r="B126" s="228" t="s">
        <v>163</v>
      </c>
      <c r="C126" s="228" t="s">
        <v>188</v>
      </c>
      <c r="D126" s="228" t="s">
        <v>32</v>
      </c>
      <c r="E126">
        <v>217</v>
      </c>
      <c r="F126">
        <v>22.27</v>
      </c>
      <c r="G126">
        <v>4832.59</v>
      </c>
      <c r="H126">
        <v>25</v>
      </c>
      <c r="I126">
        <v>556.75</v>
      </c>
      <c r="J126">
        <v>192</v>
      </c>
      <c r="K126">
        <v>4275.84</v>
      </c>
      <c r="L126">
        <v>0</v>
      </c>
      <c r="M126">
        <v>0</v>
      </c>
      <c r="N126">
        <v>0</v>
      </c>
      <c r="O126">
        <v>45</v>
      </c>
      <c r="P126">
        <v>1002.15</v>
      </c>
      <c r="Q126">
        <v>147</v>
      </c>
      <c r="R126">
        <v>3273.69</v>
      </c>
      <c r="S126">
        <v>0</v>
      </c>
      <c r="T126">
        <v>0</v>
      </c>
      <c r="U126">
        <v>0</v>
      </c>
      <c r="V126">
        <v>45</v>
      </c>
      <c r="W126">
        <v>1002.15</v>
      </c>
      <c r="X126">
        <v>147</v>
      </c>
      <c r="Y126">
        <v>3273.69</v>
      </c>
    </row>
    <row r="127" spans="1:25">
      <c r="A127" s="228" t="s">
        <v>78</v>
      </c>
      <c r="B127" s="228" t="s">
        <v>163</v>
      </c>
      <c r="C127" s="228" t="s">
        <v>189</v>
      </c>
      <c r="D127" s="228" t="s">
        <v>32</v>
      </c>
      <c r="E127">
        <v>14</v>
      </c>
      <c r="F127">
        <v>40</v>
      </c>
      <c r="G127">
        <v>560</v>
      </c>
      <c r="H127">
        <v>0</v>
      </c>
      <c r="I127">
        <v>0</v>
      </c>
      <c r="J127">
        <v>14</v>
      </c>
      <c r="K127">
        <v>560</v>
      </c>
      <c r="L127">
        <v>0</v>
      </c>
      <c r="M127">
        <v>0</v>
      </c>
      <c r="N127">
        <v>0</v>
      </c>
      <c r="O127">
        <v>5</v>
      </c>
      <c r="P127">
        <v>200</v>
      </c>
      <c r="Q127">
        <v>9</v>
      </c>
      <c r="R127">
        <v>360</v>
      </c>
      <c r="S127">
        <v>0</v>
      </c>
      <c r="T127">
        <v>0</v>
      </c>
      <c r="U127">
        <v>0</v>
      </c>
      <c r="V127">
        <v>5</v>
      </c>
      <c r="W127">
        <v>200</v>
      </c>
      <c r="X127">
        <v>9</v>
      </c>
      <c r="Y127">
        <v>360</v>
      </c>
    </row>
    <row r="128" spans="1:25">
      <c r="A128" s="228" t="s">
        <v>78</v>
      </c>
      <c r="B128" s="228" t="s">
        <v>163</v>
      </c>
      <c r="C128" s="228" t="s">
        <v>190</v>
      </c>
      <c r="D128" s="228" t="s">
        <v>32</v>
      </c>
      <c r="E128">
        <v>215</v>
      </c>
      <c r="F128">
        <v>23.84</v>
      </c>
      <c r="G128">
        <v>5125.6000000000004</v>
      </c>
      <c r="H128">
        <v>30</v>
      </c>
      <c r="I128">
        <v>715.2</v>
      </c>
      <c r="J128">
        <v>185</v>
      </c>
      <c r="K128">
        <v>4410.3999999999996</v>
      </c>
      <c r="L128">
        <v>0</v>
      </c>
      <c r="M128">
        <v>0</v>
      </c>
      <c r="N128">
        <v>0</v>
      </c>
      <c r="O128">
        <v>50</v>
      </c>
      <c r="P128">
        <v>1192</v>
      </c>
      <c r="Q128">
        <v>135</v>
      </c>
      <c r="R128">
        <v>3218.4</v>
      </c>
      <c r="S128">
        <v>0</v>
      </c>
      <c r="T128">
        <v>0</v>
      </c>
      <c r="U128">
        <v>0</v>
      </c>
      <c r="V128">
        <v>50</v>
      </c>
      <c r="W128">
        <v>1192</v>
      </c>
      <c r="X128">
        <v>135</v>
      </c>
      <c r="Y128">
        <v>3218.4</v>
      </c>
    </row>
    <row r="129" spans="1:25">
      <c r="A129" s="228" t="s">
        <v>78</v>
      </c>
      <c r="B129" s="228" t="s">
        <v>163</v>
      </c>
      <c r="C129" s="228" t="s">
        <v>191</v>
      </c>
      <c r="D129" s="228" t="s">
        <v>27</v>
      </c>
      <c r="E129">
        <v>3</v>
      </c>
      <c r="F129">
        <v>311</v>
      </c>
      <c r="G129">
        <v>933</v>
      </c>
      <c r="H129">
        <v>0</v>
      </c>
      <c r="I129">
        <v>0</v>
      </c>
      <c r="J129">
        <v>3</v>
      </c>
      <c r="K129">
        <v>933</v>
      </c>
      <c r="L129">
        <v>0</v>
      </c>
      <c r="M129">
        <v>0</v>
      </c>
      <c r="N129">
        <v>0</v>
      </c>
      <c r="O129">
        <v>1</v>
      </c>
      <c r="P129">
        <v>311</v>
      </c>
      <c r="Q129">
        <v>2</v>
      </c>
      <c r="R129">
        <v>622</v>
      </c>
      <c r="S129">
        <v>0</v>
      </c>
      <c r="T129">
        <v>0</v>
      </c>
      <c r="U129">
        <v>0</v>
      </c>
      <c r="V129">
        <v>1</v>
      </c>
      <c r="W129">
        <v>311</v>
      </c>
      <c r="X129">
        <v>2</v>
      </c>
      <c r="Y129">
        <v>622</v>
      </c>
    </row>
    <row r="130" spans="1:25">
      <c r="A130" s="228" t="s">
        <v>78</v>
      </c>
      <c r="B130" s="228" t="s">
        <v>163</v>
      </c>
      <c r="C130" s="228" t="s">
        <v>192</v>
      </c>
      <c r="D130" s="228" t="s">
        <v>27</v>
      </c>
      <c r="E130">
        <v>6</v>
      </c>
      <c r="F130">
        <v>442.90907970000364</v>
      </c>
      <c r="G130">
        <v>2657.4544782000221</v>
      </c>
      <c r="H130">
        <v>3</v>
      </c>
      <c r="I130">
        <v>1328.727239100011</v>
      </c>
      <c r="J130">
        <v>3</v>
      </c>
      <c r="K130">
        <v>1328.727239100011</v>
      </c>
      <c r="L130">
        <v>0</v>
      </c>
      <c r="M130">
        <v>0</v>
      </c>
      <c r="N130">
        <v>0</v>
      </c>
      <c r="O130">
        <v>3</v>
      </c>
      <c r="P130">
        <v>1328.727239100011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3</v>
      </c>
      <c r="W130">
        <v>1328.727239100011</v>
      </c>
      <c r="X130">
        <v>0</v>
      </c>
      <c r="Y130">
        <v>0</v>
      </c>
    </row>
    <row r="131" spans="1:25">
      <c r="A131" s="228" t="s">
        <v>78</v>
      </c>
      <c r="B131" s="228" t="s">
        <v>163</v>
      </c>
      <c r="C131" s="228" t="s">
        <v>193</v>
      </c>
      <c r="D131" s="228" t="s">
        <v>27</v>
      </c>
      <c r="E131">
        <v>3</v>
      </c>
      <c r="F131">
        <v>365</v>
      </c>
      <c r="G131">
        <v>1095</v>
      </c>
      <c r="H131">
        <v>3</v>
      </c>
      <c r="I131">
        <v>1095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s="228" t="s">
        <v>78</v>
      </c>
      <c r="B132" s="228" t="s">
        <v>163</v>
      </c>
      <c r="C132" s="228" t="s">
        <v>194</v>
      </c>
      <c r="D132" s="228" t="s">
        <v>27</v>
      </c>
      <c r="E132">
        <v>13</v>
      </c>
      <c r="F132">
        <v>69</v>
      </c>
      <c r="G132">
        <v>897</v>
      </c>
      <c r="H132">
        <v>13</v>
      </c>
      <c r="I132">
        <v>897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s="228" t="s">
        <v>78</v>
      </c>
      <c r="B133" s="228" t="s">
        <v>163</v>
      </c>
      <c r="C133" s="228" t="s">
        <v>195</v>
      </c>
      <c r="D133" s="228" t="s">
        <v>34</v>
      </c>
      <c r="E133">
        <v>6</v>
      </c>
      <c r="F133">
        <v>168</v>
      </c>
      <c r="G133">
        <v>1008</v>
      </c>
      <c r="H133">
        <v>0</v>
      </c>
      <c r="I133">
        <v>0</v>
      </c>
      <c r="J133">
        <v>6</v>
      </c>
      <c r="K133">
        <v>1008</v>
      </c>
      <c r="L133">
        <v>0</v>
      </c>
      <c r="M133">
        <v>0</v>
      </c>
      <c r="N133">
        <v>0</v>
      </c>
      <c r="O133">
        <v>2</v>
      </c>
      <c r="P133">
        <v>336</v>
      </c>
      <c r="Q133">
        <v>4</v>
      </c>
      <c r="R133">
        <v>672</v>
      </c>
      <c r="S133">
        <v>0</v>
      </c>
      <c r="T133">
        <v>0</v>
      </c>
      <c r="U133">
        <v>0</v>
      </c>
      <c r="V133">
        <v>2</v>
      </c>
      <c r="W133">
        <v>336</v>
      </c>
      <c r="X133">
        <v>4</v>
      </c>
      <c r="Y133">
        <v>672</v>
      </c>
    </row>
    <row r="134" spans="1:25">
      <c r="A134" s="228"/>
      <c r="B134" s="228"/>
      <c r="C134" s="228"/>
      <c r="D134" s="228"/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s="228"/>
      <c r="B135" s="228"/>
      <c r="C135" s="228"/>
      <c r="D135" s="228"/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s="228"/>
      <c r="B136" s="228"/>
      <c r="C136" s="228"/>
      <c r="D136" s="228"/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s="228"/>
      <c r="B137" s="228"/>
      <c r="C137" s="228"/>
      <c r="D137" s="228"/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s="228"/>
      <c r="B138" s="228"/>
      <c r="C138" s="228"/>
      <c r="D138" s="228"/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s="228"/>
      <c r="B139" s="228"/>
      <c r="C139" s="228"/>
      <c r="D139" s="228"/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s="228"/>
      <c r="B140" s="228"/>
      <c r="C140" s="228"/>
      <c r="D140" s="228"/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s="228"/>
      <c r="B141" s="228"/>
      <c r="C141" s="228"/>
      <c r="D141" s="228"/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s="228"/>
      <c r="B142" s="228"/>
      <c r="C142" s="228"/>
      <c r="D142" s="228"/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s="228"/>
      <c r="B143" s="228"/>
      <c r="C143" s="228"/>
      <c r="D143" s="228"/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s="228"/>
      <c r="B144" s="228"/>
      <c r="C144" s="228"/>
      <c r="D144" s="228"/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s="228"/>
      <c r="B145" s="228"/>
      <c r="C145" s="228"/>
      <c r="D145" s="228"/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s="228"/>
      <c r="B146" s="228"/>
      <c r="C146" s="228"/>
      <c r="D146" s="228"/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s="228"/>
      <c r="B147" s="228"/>
      <c r="C147" s="228"/>
      <c r="D147" s="228"/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s="228"/>
      <c r="B148" s="228"/>
      <c r="C148" s="228"/>
      <c r="D148" s="228"/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s="228"/>
      <c r="B149" s="228"/>
      <c r="C149" s="228"/>
      <c r="D149" s="228"/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s="228"/>
      <c r="B150" s="228"/>
      <c r="C150" s="228"/>
      <c r="D150" s="228"/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s="228"/>
      <c r="B151" s="228"/>
      <c r="C151" s="228"/>
      <c r="D151" s="228"/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s="228"/>
      <c r="B152" s="228"/>
      <c r="C152" s="228"/>
      <c r="D152" s="228"/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s="228"/>
      <c r="B153" s="228"/>
      <c r="C153" s="228"/>
      <c r="D153" s="228"/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s="228"/>
      <c r="B154" s="228"/>
      <c r="C154" s="228"/>
      <c r="D154" s="228"/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s="228"/>
      <c r="B155" s="228"/>
      <c r="C155" s="228"/>
      <c r="D155" s="228"/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s="228"/>
      <c r="B156" s="228"/>
      <c r="C156" s="228"/>
      <c r="D156" s="228"/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s="228"/>
      <c r="B157" s="228"/>
      <c r="C157" s="228"/>
      <c r="D157" s="228"/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V157">
        <v>0</v>
      </c>
      <c r="W157">
        <v>0</v>
      </c>
      <c r="X157">
        <v>0</v>
      </c>
      <c r="Y15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3906-06FE-406C-9F46-0EC306EFFB68}">
  <sheetPr codeName="Sheet1"/>
  <dimension ref="A1:AG162"/>
  <sheetViews>
    <sheetView zoomScale="77" zoomScaleNormal="145" workbookViewId="0">
      <pane xSplit="4" ySplit="10" topLeftCell="AE11" activePane="bottomRight" state="frozen"/>
      <selection activeCell="C19" sqref="C19"/>
      <selection pane="topRight" activeCell="C19" sqref="C19"/>
      <selection pane="bottomLeft" activeCell="C19" sqref="C19"/>
      <selection pane="bottomRight" activeCell="AE1" sqref="AE1:AE1048576"/>
    </sheetView>
  </sheetViews>
  <sheetFormatPr defaultRowHeight="14.5"/>
  <cols>
    <col min="1" max="2" width="20.81640625" customWidth="1"/>
    <col min="3" max="3" width="50.90625" bestFit="1" customWidth="1"/>
    <col min="4" max="4" width="10.90625" bestFit="1" customWidth="1"/>
    <col min="5" max="5" width="3.81640625" customWidth="1"/>
    <col min="6" max="6" width="10.08984375" customWidth="1"/>
    <col min="7" max="7" width="3.26953125" customWidth="1"/>
    <col min="8" max="8" width="29.81640625" hidden="1" customWidth="1"/>
    <col min="9" max="9" width="31.6328125" hidden="1" customWidth="1"/>
    <col min="10" max="10" width="31.08984375" hidden="1" customWidth="1"/>
    <col min="11" max="11" width="30.54296875" hidden="1" customWidth="1"/>
    <col min="12" max="12" width="0.7265625" customWidth="1"/>
    <col min="13" max="13" width="0.81640625" customWidth="1"/>
    <col min="14" max="15" width="1.26953125" customWidth="1"/>
    <col min="16" max="16" width="1.08984375" customWidth="1"/>
    <col min="17" max="17" width="1.453125" customWidth="1"/>
    <col min="18" max="18" width="1.26953125" customWidth="1"/>
    <col min="19" max="19" width="0.90625" customWidth="1"/>
    <col min="20" max="20" width="1" customWidth="1"/>
    <col min="21" max="21" width="1.1796875" style="63" customWidth="1"/>
    <col min="22" max="22" width="1.36328125" style="63" customWidth="1"/>
    <col min="23" max="23" width="1.1796875" customWidth="1"/>
    <col min="24" max="24" width="1.453125" customWidth="1"/>
    <col min="25" max="25" width="2.08984375" customWidth="1"/>
    <col min="26" max="26" width="16.54296875" customWidth="1"/>
    <col min="27" max="27" width="20.7265625" customWidth="1"/>
    <col min="28" max="28" width="23.7265625" style="63" customWidth="1"/>
    <col min="29" max="29" width="25.08984375" style="63" customWidth="1"/>
    <col min="30" max="30" width="22.08984375" customWidth="1"/>
    <col min="31" max="31" width="22.26953125" customWidth="1"/>
    <col min="32" max="32" width="22.90625" customWidth="1"/>
    <col min="33" max="33" width="28.54296875" customWidth="1"/>
  </cols>
  <sheetData>
    <row r="1" spans="1:33">
      <c r="A1" s="64"/>
      <c r="B1" s="71" t="s">
        <v>196</v>
      </c>
      <c r="I1" s="135" t="s">
        <v>225</v>
      </c>
      <c r="K1" s="135" t="s">
        <v>226</v>
      </c>
      <c r="L1" s="135"/>
      <c r="M1" s="135"/>
      <c r="N1" s="135"/>
      <c r="P1" s="135" t="s">
        <v>236</v>
      </c>
      <c r="R1" s="135" t="s">
        <v>237</v>
      </c>
      <c r="T1" s="209" t="s">
        <v>273</v>
      </c>
      <c r="U1" s="63" t="s">
        <v>274</v>
      </c>
      <c r="V1" s="63" t="s">
        <v>275</v>
      </c>
      <c r="AA1" s="209" t="s">
        <v>273</v>
      </c>
      <c r="AB1" s="63" t="s">
        <v>274</v>
      </c>
      <c r="AC1" s="63" t="s">
        <v>275</v>
      </c>
    </row>
    <row r="2" spans="1:33">
      <c r="A2" s="65" t="s">
        <v>77</v>
      </c>
      <c r="B2" s="66">
        <f>SUMIF(Table13[Article],A2,Table13[Total Value])</f>
        <v>171245.48340197606</v>
      </c>
      <c r="H2" s="65" t="s">
        <v>77</v>
      </c>
      <c r="I2" s="63">
        <f>SUMIF(Table13[Article],A2,Table13[January 2025 - Issued Value])</f>
        <v>20808.351489480003</v>
      </c>
      <c r="K2" s="63">
        <f>SUMIF(Table13[Article],A2,Table13[January 2025 - Total Value])</f>
        <v>150437.13191249612</v>
      </c>
      <c r="L2" s="63"/>
      <c r="M2" s="63"/>
      <c r="N2" s="63"/>
      <c r="O2" s="65" t="s">
        <v>77</v>
      </c>
      <c r="P2" s="63">
        <f>SUMIF(Table13[Article],O2,Table13[February 2025 - Issued Value])</f>
        <v>18901.537425479422</v>
      </c>
      <c r="Q2" s="95"/>
      <c r="R2" s="63">
        <f>SUMIF(Table13[Article],O2,Table13[February 2025 - Total Value])</f>
        <v>131535.59448701667</v>
      </c>
      <c r="T2" s="95">
        <v>191062.13191249606</v>
      </c>
      <c r="U2" s="63">
        <f>P2</f>
        <v>18901.537425479422</v>
      </c>
      <c r="V2" s="63">
        <f>T2-U2</f>
        <v>172160.59448701664</v>
      </c>
      <c r="W2" s="95">
        <f>R2-V2</f>
        <v>-40624.999999999971</v>
      </c>
      <c r="X2" s="95"/>
      <c r="AA2" s="95">
        <v>191062.13191249606</v>
      </c>
      <c r="AB2" s="63">
        <f>W2</f>
        <v>-40624.999999999971</v>
      </c>
      <c r="AC2" s="63">
        <f>AA2-AB2</f>
        <v>231687.13191249603</v>
      </c>
      <c r="AD2" s="95">
        <f>Y2-AC2</f>
        <v>-231687.13191249603</v>
      </c>
      <c r="AE2" s="95"/>
    </row>
    <row r="3" spans="1:33">
      <c r="A3" s="65" t="s">
        <v>78</v>
      </c>
      <c r="B3" s="66">
        <f>SUMIF(Table13[Article],A3,Table13[Total Value])</f>
        <v>103352.87447640004</v>
      </c>
      <c r="H3" s="65" t="s">
        <v>78</v>
      </c>
      <c r="I3" s="63">
        <f>SUMIF(Table13[Article],A3,Table13[January 2025 - Issued Value])</f>
        <v>21493.17798510001</v>
      </c>
      <c r="K3" s="63">
        <f>SUMIF(Table13[Article],A3,Table13[January 2025 - Total Value])</f>
        <v>81859.696491299997</v>
      </c>
      <c r="L3" s="63"/>
      <c r="M3" s="63"/>
      <c r="N3" s="63"/>
      <c r="O3" s="65" t="s">
        <v>78</v>
      </c>
      <c r="P3" s="63">
        <f>SUMIF(Table13[Article],O3,Table13[February 2025 - Issued Value])</f>
        <v>30358.757985100016</v>
      </c>
      <c r="Q3" s="95"/>
      <c r="R3" s="63">
        <f>SUMIF(Table13[Article],O3,Table13[February 2025 - Total Value])</f>
        <v>51500.938506200007</v>
      </c>
      <c r="T3" s="95">
        <v>81987.696491300012</v>
      </c>
      <c r="U3" s="63">
        <f t="shared" ref="U3" si="0">P3</f>
        <v>30358.757985100016</v>
      </c>
      <c r="V3" s="63">
        <f>T3-U3</f>
        <v>51628.938506199993</v>
      </c>
      <c r="W3" s="95">
        <f>R3-V3</f>
        <v>-127.99999999998545</v>
      </c>
      <c r="AA3" s="95">
        <v>81987.696491300012</v>
      </c>
      <c r="AB3" s="63">
        <f t="shared" ref="AB3" si="1">W3</f>
        <v>-127.99999999998545</v>
      </c>
      <c r="AC3" s="63">
        <f>AA3-AB3</f>
        <v>82115.696491299997</v>
      </c>
      <c r="AD3" s="95">
        <f>Y3-AC3</f>
        <v>-82115.696491299997</v>
      </c>
    </row>
    <row r="4" spans="1:33">
      <c r="W4" s="95"/>
      <c r="AD4" s="95"/>
    </row>
    <row r="5" spans="1:33">
      <c r="A5" s="67" t="s">
        <v>79</v>
      </c>
      <c r="B5" s="67" t="s">
        <v>80</v>
      </c>
      <c r="C5" s="67" t="s">
        <v>81</v>
      </c>
      <c r="D5" s="67" t="s">
        <v>15</v>
      </c>
      <c r="E5" s="67" t="s">
        <v>82</v>
      </c>
      <c r="F5" s="67" t="s">
        <v>17</v>
      </c>
      <c r="G5" s="67" t="s">
        <v>83</v>
      </c>
      <c r="H5" s="68" t="s">
        <v>224</v>
      </c>
      <c r="I5" s="68" t="s">
        <v>223</v>
      </c>
      <c r="J5" s="67" t="s">
        <v>227</v>
      </c>
      <c r="K5" s="67" t="s">
        <v>222</v>
      </c>
      <c r="L5" s="67" t="s">
        <v>270</v>
      </c>
      <c r="M5" s="67" t="s">
        <v>272</v>
      </c>
      <c r="N5" s="202" t="s">
        <v>271</v>
      </c>
      <c r="O5" s="68" t="s">
        <v>232</v>
      </c>
      <c r="P5" s="68" t="s">
        <v>233</v>
      </c>
      <c r="Q5" s="67" t="s">
        <v>234</v>
      </c>
      <c r="R5" s="67" t="s">
        <v>235</v>
      </c>
      <c r="S5" s="67" t="s">
        <v>343</v>
      </c>
      <c r="T5" s="67" t="s">
        <v>344</v>
      </c>
      <c r="U5" s="202" t="s">
        <v>345</v>
      </c>
      <c r="V5" s="68" t="s">
        <v>325</v>
      </c>
      <c r="W5" s="68" t="s">
        <v>342</v>
      </c>
      <c r="X5" s="67" t="s">
        <v>341</v>
      </c>
      <c r="Y5" s="67" t="s">
        <v>346</v>
      </c>
      <c r="Z5" s="67" t="s">
        <v>382</v>
      </c>
      <c r="AA5" s="67" t="s">
        <v>383</v>
      </c>
      <c r="AB5" s="202" t="s">
        <v>384</v>
      </c>
      <c r="AC5" s="68" t="s">
        <v>355</v>
      </c>
      <c r="AD5" s="68" t="s">
        <v>356</v>
      </c>
      <c r="AE5" s="67" t="s">
        <v>357</v>
      </c>
      <c r="AF5" s="67" t="s">
        <v>358</v>
      </c>
      <c r="AG5" s="67"/>
    </row>
    <row r="6" spans="1:33">
      <c r="A6" t="s">
        <v>77</v>
      </c>
      <c r="B6" t="s">
        <v>84</v>
      </c>
      <c r="C6" t="s">
        <v>340</v>
      </c>
      <c r="D6" t="s">
        <v>27</v>
      </c>
      <c r="E6" s="204">
        <v>1</v>
      </c>
      <c r="F6" s="204">
        <v>75</v>
      </c>
      <c r="G6" s="204">
        <f>Table13[[#This Row],[Unit Cost]]*Table13[[#This Row],[Quantity on Hand]]</f>
        <v>75</v>
      </c>
      <c r="H6" s="205">
        <f>SUMIF(Table3[Item],Table13[[#This Row],[Decription]],Table3[Quantity Issued])</f>
        <v>0</v>
      </c>
      <c r="I6" s="206">
        <f>Table13[[#This Row],[January 2025 - Issued Qty]]*Table13[[#This Row],[Unit Cost]]</f>
        <v>0</v>
      </c>
      <c r="J6" s="95">
        <f>Table13[[#This Row],[Quantity on Hand]]-Table13[[#This Row],[January 2025 - Issued Qty]]</f>
        <v>1</v>
      </c>
      <c r="K6" s="207">
        <f>Table13[[#This Row],[January 2025 - Balance Qty]]*Table13[[#This Row],[Unit Cost]]</f>
        <v>75</v>
      </c>
      <c r="L6" s="205">
        <v>0</v>
      </c>
      <c r="M6" s="206">
        <v>0</v>
      </c>
      <c r="N6" s="208">
        <f>Table13[[#This Row],[Incoming Unit Cost]]*Table13[[#This Row],[Incoming Qty]]</f>
        <v>0</v>
      </c>
      <c r="O6" s="206">
        <f>SUMIF(Table32[Item],Table13[[#This Row],[Decription]],Table32[Quantity Issued])</f>
        <v>0</v>
      </c>
      <c r="P6" s="206">
        <f>Table13[[#This Row],[Unit Cost]]*Table13[[#This Row],[February 2025 - Issued Qty]]</f>
        <v>0</v>
      </c>
      <c r="Q6" s="95">
        <f>(Table13[[#This Row],[January 2025 - Balance Qty]]-Table13[[#This Row],[February 2025 - Issued Qty]])+Table13[[#This Row],[Incoming Qty]]</f>
        <v>1</v>
      </c>
      <c r="R6" s="207">
        <f>Table13[[#This Row],[February 2025 - Balance Qty]]*Table13[[#This Row],[Unit Cost]]</f>
        <v>75</v>
      </c>
      <c r="S6" s="205">
        <v>0</v>
      </c>
      <c r="T6" s="206">
        <v>0</v>
      </c>
      <c r="U6" s="208">
        <f>Table13[[#This Row],[Incoming Unit Cost]]*Table13[[#This Row],[Incoming Qty]]</f>
        <v>0</v>
      </c>
      <c r="V6" s="206">
        <f>SUMIF(Table3267[Item],Table13[[#This Row],[Decription]],Table3267[Quantity Issued])</f>
        <v>1</v>
      </c>
      <c r="W6" s="206">
        <f>Table13[[#This Row],[Unit Cost]]*Table13[[#This Row],[March 2025 - Issued Qty]]</f>
        <v>75</v>
      </c>
      <c r="X6" s="219">
        <f>(Table13[[#This Row],[February 2025 - Balance Qty]]-Table13[[#This Row],[March 2025 - Issued Qty]])+Table13[[#This Row],[Incoming Qty]]</f>
        <v>0</v>
      </c>
      <c r="Y6" s="207">
        <f>Table13[[#This Row],[March 2025 - Balance Qty]]*Table13[[#This Row],[Unit Cost]]</f>
        <v>0</v>
      </c>
      <c r="Z6" s="205">
        <v>0</v>
      </c>
      <c r="AA6" s="206">
        <v>0</v>
      </c>
      <c r="AB6" s="208">
        <f>Table13[[#This Row],[Incoming Unit Cost ]]*Table13[[#This Row],[Incoming Qty ]]</f>
        <v>0</v>
      </c>
      <c r="AC6" s="206">
        <f>SUMIF(Table326[Item],Table13[[#This Row],[Decription]],Table326[Quantity Issued])</f>
        <v>0</v>
      </c>
      <c r="AD6" s="206">
        <f>Table13[[#This Row],[Unit Cost]]*Table13[[#This Row],[April 2025 - Issued Qty ]]</f>
        <v>0</v>
      </c>
      <c r="AE6" s="219">
        <f>(Table13[[#This Row],[March 2025 - Balance Qty]]-Table13[[#This Row],[April 2025 - Issued Qty ]])+Table13[[#This Row],[Incoming Qty ]]</f>
        <v>0</v>
      </c>
      <c r="AF6" s="207">
        <f>Table13[[#This Row],[April 2025 - Balance Qty]]*Table13[[#This Row],[Unit Cost]]</f>
        <v>0</v>
      </c>
      <c r="AG6" s="207"/>
    </row>
    <row r="7" spans="1:33">
      <c r="A7" t="s">
        <v>77</v>
      </c>
      <c r="B7" t="s">
        <v>84</v>
      </c>
      <c r="C7" t="s">
        <v>85</v>
      </c>
      <c r="D7" t="s">
        <v>27</v>
      </c>
      <c r="E7" s="204">
        <v>5</v>
      </c>
      <c r="F7" s="204">
        <v>110</v>
      </c>
      <c r="G7" s="204">
        <f>Table13[[#This Row],[Unit Cost]]*Table13[[#This Row],[Quantity on Hand]]</f>
        <v>550</v>
      </c>
      <c r="H7" s="205">
        <f>SUMIF(Table3[Item],Table13[[#This Row],[Decription]],Table3[Quantity Issued])</f>
        <v>0</v>
      </c>
      <c r="I7" s="206">
        <f>Table13[[#This Row],[January 2025 - Issued Qty]]*Table13[[#This Row],[Unit Cost]]</f>
        <v>0</v>
      </c>
      <c r="J7" s="95">
        <f>Table13[[#This Row],[Quantity on Hand]]-Table13[[#This Row],[January 2025 - Issued Qty]]</f>
        <v>5</v>
      </c>
      <c r="K7" s="207">
        <f>Table13[[#This Row],[January 2025 - Balance Qty]]*Table13[[#This Row],[Unit Cost]]</f>
        <v>550</v>
      </c>
      <c r="L7" s="205">
        <v>0</v>
      </c>
      <c r="M7" s="206">
        <v>0</v>
      </c>
      <c r="N7" s="208">
        <f>Table13[[#This Row],[Incoming Unit Cost]]*Table13[[#This Row],[Incoming Qty]]</f>
        <v>0</v>
      </c>
      <c r="O7" s="206">
        <f>SUMIF(Table32[Item],Table13[[#This Row],[Decription]],Table32[Quantity Issued])</f>
        <v>2</v>
      </c>
      <c r="P7" s="206">
        <f>Table13[[#This Row],[Unit Cost]]*Table13[[#This Row],[February 2025 - Issued Qty]]</f>
        <v>220</v>
      </c>
      <c r="Q7" s="95">
        <f>(Table13[[#This Row],[January 2025 - Balance Qty]]-Table13[[#This Row],[February 2025 - Issued Qty]])+Table13[[#This Row],[Incoming Qty]]</f>
        <v>3</v>
      </c>
      <c r="R7" s="207">
        <f>Table13[[#This Row],[February 2025 - Balance Qty]]*Table13[[#This Row],[Unit Cost]]</f>
        <v>330</v>
      </c>
      <c r="S7" s="205">
        <v>0</v>
      </c>
      <c r="T7" s="206">
        <v>0</v>
      </c>
      <c r="U7" s="208">
        <f>Table13[[#This Row],[Incoming Unit Cost]]*Table13[[#This Row],[Incoming Qty]]</f>
        <v>0</v>
      </c>
      <c r="V7" s="206">
        <f>SUMIF(Table3267[Item],Table13[[#This Row],[Decription]],Table3267[Quantity Issued])</f>
        <v>2</v>
      </c>
      <c r="W7" s="206">
        <f>Table13[[#This Row],[Unit Cost]]*Table13[[#This Row],[March 2025 - Issued Qty]]</f>
        <v>220</v>
      </c>
      <c r="X7" s="219">
        <f>(Table13[[#This Row],[February 2025 - Balance Qty]]-Table13[[#This Row],[March 2025 - Issued Qty]])+Table13[[#This Row],[Incoming Qty]]</f>
        <v>1</v>
      </c>
      <c r="Y7" s="207">
        <f>Table13[[#This Row],[March 2025 - Balance Qty]]*Table13[[#This Row],[Unit Cost]]</f>
        <v>110</v>
      </c>
      <c r="Z7" s="205">
        <v>0</v>
      </c>
      <c r="AA7" s="206">
        <v>0</v>
      </c>
      <c r="AB7" s="208">
        <f>Table13[[#This Row],[Incoming Unit Cost]]*Table13[[#This Row],[Incoming Qty]]</f>
        <v>0</v>
      </c>
      <c r="AC7" s="206">
        <f>SUMIF(Table326[Item],Table13[[#This Row],[Decription]],Table326[Quantity Issued])</f>
        <v>0</v>
      </c>
      <c r="AD7" s="206">
        <f>Table13[[#This Row],[Unit Cost]]*Table13[[#This Row],[April 2025 - Issued Qty ]]</f>
        <v>0</v>
      </c>
      <c r="AE7" s="219">
        <f>(Table13[[#This Row],[March 2025 - Balance Qty]]-Table13[[#This Row],[April 2025 - Issued Qty ]])+Table13[[#This Row],[Incoming Qty ]]</f>
        <v>1</v>
      </c>
      <c r="AF7" s="207">
        <f>Table13[[#This Row],[April 2025 - Balance Qty]]*Table13[[#This Row],[Unit Cost]]</f>
        <v>110</v>
      </c>
      <c r="AG7" s="207"/>
    </row>
    <row r="8" spans="1:33">
      <c r="A8" t="s">
        <v>77</v>
      </c>
      <c r="B8" t="s">
        <v>84</v>
      </c>
      <c r="C8" t="s">
        <v>86</v>
      </c>
      <c r="D8" t="s">
        <v>27</v>
      </c>
      <c r="E8" s="204">
        <v>5</v>
      </c>
      <c r="F8" s="204">
        <v>403</v>
      </c>
      <c r="G8" s="204">
        <f>Table13[[#This Row],[Unit Cost]]*Table13[[#This Row],[Quantity on Hand]]</f>
        <v>2015</v>
      </c>
      <c r="H8" s="205">
        <f>SUMIF(Table3[Item],Table13[[#This Row],[Decription]],Table3[Quantity Issued])</f>
        <v>0</v>
      </c>
      <c r="I8" s="206">
        <f>Table13[[#This Row],[January 2025 - Issued Qty]]*Table13[[#This Row],[Unit Cost]]</f>
        <v>0</v>
      </c>
      <c r="J8" s="95">
        <f>Table13[[#This Row],[Quantity on Hand]]-Table13[[#This Row],[January 2025 - Issued Qty]]</f>
        <v>5</v>
      </c>
      <c r="K8" s="207">
        <f>Table13[[#This Row],[January 2025 - Balance Qty]]*Table13[[#This Row],[Unit Cost]]</f>
        <v>2015</v>
      </c>
      <c r="L8" s="205">
        <v>0</v>
      </c>
      <c r="M8" s="206">
        <v>0</v>
      </c>
      <c r="N8" s="208">
        <f>Table13[[#This Row],[Incoming Unit Cost]]*Table13[[#This Row],[Incoming Qty]]</f>
        <v>0</v>
      </c>
      <c r="O8" s="206">
        <f>SUMIF(Table32[Item],Table13[[#This Row],[Decription]],Table32[Quantity Issued])</f>
        <v>0</v>
      </c>
      <c r="P8" s="206">
        <f>Table13[[#This Row],[Unit Cost]]*Table13[[#This Row],[February 2025 - Issued Qty]]</f>
        <v>0</v>
      </c>
      <c r="Q8" s="95">
        <f>(Table13[[#This Row],[January 2025 - Balance Qty]]-Table13[[#This Row],[February 2025 - Issued Qty]])+Table13[[#This Row],[Incoming Qty]]</f>
        <v>5</v>
      </c>
      <c r="R8" s="207">
        <f>Table13[[#This Row],[February 2025 - Balance Qty]]*Table13[[#This Row],[Unit Cost]]</f>
        <v>2015</v>
      </c>
      <c r="S8" s="205">
        <v>0</v>
      </c>
      <c r="T8" s="206">
        <v>0</v>
      </c>
      <c r="U8" s="208">
        <f>Table13[[#This Row],[Incoming Unit Cost]]*Table13[[#This Row],[Incoming Qty]]</f>
        <v>0</v>
      </c>
      <c r="V8" s="206">
        <f>SUMIF(Table3267[Item],Table13[[#This Row],[Decription]],Table3267[Quantity Issued])</f>
        <v>3</v>
      </c>
      <c r="W8" s="206">
        <f>Table13[[#This Row],[Unit Cost]]*Table13[[#This Row],[March 2025 - Issued Qty]]</f>
        <v>1209</v>
      </c>
      <c r="X8" s="219">
        <f>(Table13[[#This Row],[February 2025 - Balance Qty]]-Table13[[#This Row],[March 2025 - Issued Qty]])+Table13[[#This Row],[Incoming Qty]]</f>
        <v>2</v>
      </c>
      <c r="Y8" s="207">
        <f>Table13[[#This Row],[March 2025 - Balance Qty]]*Table13[[#This Row],[Unit Cost]]</f>
        <v>806</v>
      </c>
      <c r="Z8" s="205">
        <v>0</v>
      </c>
      <c r="AA8" s="206">
        <v>0</v>
      </c>
      <c r="AB8" s="208">
        <f>Table13[[#This Row],[Incoming Unit Cost]]*Table13[[#This Row],[Incoming Qty]]</f>
        <v>0</v>
      </c>
      <c r="AC8" s="206">
        <f>SUMIF(Table326[Item],Table13[[#This Row],[Decription]],Table326[Quantity Issued])</f>
        <v>0</v>
      </c>
      <c r="AD8" s="206">
        <f>Table13[[#This Row],[Unit Cost]]*Table13[[#This Row],[April 2025 - Issued Qty ]]</f>
        <v>0</v>
      </c>
      <c r="AE8" s="219">
        <f>(Table13[[#This Row],[March 2025 - Balance Qty]]-Table13[[#This Row],[April 2025 - Issued Qty ]])+Table13[[#This Row],[Incoming Qty ]]</f>
        <v>2</v>
      </c>
      <c r="AF8" s="207">
        <f>Table13[[#This Row],[April 2025 - Balance Qty]]*Table13[[#This Row],[Unit Cost]]</f>
        <v>806</v>
      </c>
      <c r="AG8" s="207"/>
    </row>
    <row r="9" spans="1:33">
      <c r="A9" t="s">
        <v>77</v>
      </c>
      <c r="B9" t="s">
        <v>87</v>
      </c>
      <c r="C9" t="s">
        <v>88</v>
      </c>
      <c r="D9" t="s">
        <v>27</v>
      </c>
      <c r="E9" s="204">
        <v>2</v>
      </c>
      <c r="F9" s="204">
        <v>470</v>
      </c>
      <c r="G9" s="204">
        <f>Table13[[#This Row],[Unit Cost]]*Table13[[#This Row],[Quantity on Hand]]</f>
        <v>940</v>
      </c>
      <c r="H9" s="205">
        <f>SUMIF(Table3[Item],Table13[[#This Row],[Decription]],Table3[Quantity Issued])</f>
        <v>0</v>
      </c>
      <c r="I9" s="206">
        <f>Table13[[#This Row],[January 2025 - Issued Qty]]*Table13[[#This Row],[Unit Cost]]</f>
        <v>0</v>
      </c>
      <c r="J9" s="95">
        <f>Table13[[#This Row],[Quantity on Hand]]-Table13[[#This Row],[January 2025 - Issued Qty]]</f>
        <v>2</v>
      </c>
      <c r="K9" s="207">
        <f>Table13[[#This Row],[January 2025 - Balance Qty]]*Table13[[#This Row],[Unit Cost]]</f>
        <v>940</v>
      </c>
      <c r="L9" s="205">
        <v>0</v>
      </c>
      <c r="M9" s="206">
        <v>0</v>
      </c>
      <c r="N9" s="208">
        <f>Table13[[#This Row],[Incoming Unit Cost]]*Table13[[#This Row],[Incoming Qty]]</f>
        <v>0</v>
      </c>
      <c r="O9" s="206">
        <f>SUMIF(Table32[Item],Table13[[#This Row],[Decription]],Table32[Quantity Issued])</f>
        <v>0</v>
      </c>
      <c r="P9" s="206">
        <f>Table13[[#This Row],[Unit Cost]]*Table13[[#This Row],[February 2025 - Issued Qty]]</f>
        <v>0</v>
      </c>
      <c r="Q9" s="95">
        <f>(Table13[[#This Row],[January 2025 - Balance Qty]]-Table13[[#This Row],[February 2025 - Issued Qty]])+Table13[[#This Row],[Incoming Qty]]</f>
        <v>2</v>
      </c>
      <c r="R9" s="207">
        <f>Table13[[#This Row],[February 2025 - Balance Qty]]*Table13[[#This Row],[Unit Cost]]</f>
        <v>940</v>
      </c>
      <c r="S9" s="205">
        <v>0</v>
      </c>
      <c r="T9" s="206">
        <v>0</v>
      </c>
      <c r="U9" s="208">
        <f>Table13[[#This Row],[Incoming Unit Cost]]*Table13[[#This Row],[Incoming Qty]]</f>
        <v>0</v>
      </c>
      <c r="V9" s="206">
        <f>SUMIF(Table3267[Item],Table13[[#This Row],[Decription]],Table3267[Quantity Issued])</f>
        <v>2</v>
      </c>
      <c r="W9" s="206">
        <f>Table13[[#This Row],[Unit Cost]]*Table13[[#This Row],[March 2025 - Issued Qty]]</f>
        <v>940</v>
      </c>
      <c r="X9" s="219">
        <f>(Table13[[#This Row],[February 2025 - Balance Qty]]-Table13[[#This Row],[March 2025 - Issued Qty]])+Table13[[#This Row],[Incoming Qty]]</f>
        <v>0</v>
      </c>
      <c r="Y9" s="207">
        <f>Table13[[#This Row],[March 2025 - Balance Qty]]*Table13[[#This Row],[Unit Cost]]</f>
        <v>0</v>
      </c>
      <c r="Z9" s="205">
        <v>0</v>
      </c>
      <c r="AA9" s="206">
        <v>0</v>
      </c>
      <c r="AB9" s="208">
        <f>Table13[[#This Row],[Incoming Unit Cost]]*Table13[[#This Row],[Incoming Qty]]</f>
        <v>0</v>
      </c>
      <c r="AC9" s="206">
        <f>SUMIF(Table326[Item],Table13[[#This Row],[Decription]],Table326[Quantity Issued])</f>
        <v>0</v>
      </c>
      <c r="AD9" s="206">
        <f>Table13[[#This Row],[Unit Cost]]*Table13[[#This Row],[April 2025 - Issued Qty ]]</f>
        <v>0</v>
      </c>
      <c r="AE9" s="219">
        <f>(Table13[[#This Row],[March 2025 - Balance Qty]]-Table13[[#This Row],[April 2025 - Issued Qty ]])+Table13[[#This Row],[Incoming Qty ]]</f>
        <v>0</v>
      </c>
      <c r="AF9" s="207">
        <f>Table13[[#This Row],[April 2025 - Balance Qty]]*Table13[[#This Row],[Unit Cost]]</f>
        <v>0</v>
      </c>
      <c r="AG9" s="207"/>
    </row>
    <row r="10" spans="1:33">
      <c r="A10" t="s">
        <v>77</v>
      </c>
      <c r="B10" t="s">
        <v>87</v>
      </c>
      <c r="C10" t="s">
        <v>89</v>
      </c>
      <c r="D10" t="s">
        <v>27</v>
      </c>
      <c r="E10" s="204">
        <v>47</v>
      </c>
      <c r="F10" s="204">
        <v>38.89</v>
      </c>
      <c r="G10" s="204">
        <f>Table13[[#This Row],[Unit Cost]]*Table13[[#This Row],[Quantity on Hand]]</f>
        <v>1827.83</v>
      </c>
      <c r="H10" s="205">
        <f>SUMIF(Table3[Item],Table13[[#This Row],[Decription]],Table3[Quantity Issued])</f>
        <v>0</v>
      </c>
      <c r="I10" s="206">
        <f>Table13[[#This Row],[January 2025 - Issued Qty]]*Table13[[#This Row],[Unit Cost]]</f>
        <v>0</v>
      </c>
      <c r="J10" s="95">
        <f>Table13[[#This Row],[Quantity on Hand]]-Table13[[#This Row],[January 2025 - Issued Qty]]</f>
        <v>47</v>
      </c>
      <c r="K10" s="207">
        <f>Table13[[#This Row],[January 2025 - Balance Qty]]*Table13[[#This Row],[Unit Cost]]</f>
        <v>1827.83</v>
      </c>
      <c r="L10" s="205">
        <v>0</v>
      </c>
      <c r="M10" s="206">
        <v>0</v>
      </c>
      <c r="N10" s="208">
        <f>Table13[[#This Row],[Incoming Unit Cost]]*Table13[[#This Row],[Incoming Qty]]</f>
        <v>0</v>
      </c>
      <c r="O10" s="206">
        <f>SUMIF(Table32[Item],Table13[[#This Row],[Decription]],Table32[Quantity Issued])</f>
        <v>17</v>
      </c>
      <c r="P10" s="206">
        <f>Table13[[#This Row],[Unit Cost]]*Table13[[#This Row],[February 2025 - Issued Qty]]</f>
        <v>661.13</v>
      </c>
      <c r="Q10" s="95">
        <f>(Table13[[#This Row],[January 2025 - Balance Qty]]-Table13[[#This Row],[February 2025 - Issued Qty]])+Table13[[#This Row],[Incoming Qty]]</f>
        <v>30</v>
      </c>
      <c r="R10" s="207">
        <f>Table13[[#This Row],[February 2025 - Balance Qty]]*Table13[[#This Row],[Unit Cost]]</f>
        <v>1166.7</v>
      </c>
      <c r="S10" s="205">
        <v>0</v>
      </c>
      <c r="T10" s="206">
        <v>0</v>
      </c>
      <c r="U10" s="208">
        <f>Table13[[#This Row],[Incoming Unit Cost]]*Table13[[#This Row],[Incoming Qty]]</f>
        <v>0</v>
      </c>
      <c r="V10" s="206">
        <f>SUMIF(Table3267[Item],Table13[[#This Row],[Decription]],Table3267[Quantity Issued])</f>
        <v>6</v>
      </c>
      <c r="W10" s="206">
        <f>Table13[[#This Row],[Unit Cost]]*Table13[[#This Row],[March 2025 - Issued Qty]]</f>
        <v>233.34</v>
      </c>
      <c r="X10" s="219">
        <f>(Table13[[#This Row],[February 2025 - Balance Qty]]-Table13[[#This Row],[March 2025 - Issued Qty]])+Table13[[#This Row],[Incoming Qty]]</f>
        <v>24</v>
      </c>
      <c r="Y10" s="207">
        <f>Table13[[#This Row],[March 2025 - Balance Qty]]*Table13[[#This Row],[Unit Cost]]</f>
        <v>933.36</v>
      </c>
      <c r="Z10" s="205">
        <v>0</v>
      </c>
      <c r="AA10" s="206">
        <v>0</v>
      </c>
      <c r="AB10" s="208">
        <f>Table13[[#This Row],[Incoming Unit Cost]]*Table13[[#This Row],[Incoming Qty]]</f>
        <v>0</v>
      </c>
      <c r="AC10" s="206">
        <f>SUMIF(Table326[Item],Table13[[#This Row],[Decription]],Table326[Quantity Issued])</f>
        <v>3</v>
      </c>
      <c r="AD10" s="206">
        <f>Table13[[#This Row],[Unit Cost]]*Table13[[#This Row],[April 2025 - Issued Qty ]]</f>
        <v>116.67</v>
      </c>
      <c r="AE10" s="219">
        <f>(Table13[[#This Row],[March 2025 - Balance Qty]]-Table13[[#This Row],[April 2025 - Issued Qty ]])+Table13[[#This Row],[Incoming Qty ]]</f>
        <v>21</v>
      </c>
      <c r="AF10" s="207">
        <f>Table13[[#This Row],[April 2025 - Balance Qty]]*Table13[[#This Row],[Unit Cost]]</f>
        <v>816.69</v>
      </c>
      <c r="AG10" s="207"/>
    </row>
    <row r="11" spans="1:33">
      <c r="A11" t="s">
        <v>77</v>
      </c>
      <c r="B11" t="s">
        <v>87</v>
      </c>
      <c r="C11" t="s">
        <v>90</v>
      </c>
      <c r="D11" t="s">
        <v>27</v>
      </c>
      <c r="E11" s="204">
        <v>2</v>
      </c>
      <c r="F11" s="204">
        <v>290</v>
      </c>
      <c r="G11" s="204">
        <f>Table13[[#This Row],[Unit Cost]]*Table13[[#This Row],[Quantity on Hand]]</f>
        <v>580</v>
      </c>
      <c r="H11" s="205">
        <f>SUMIF(Table3[Item],Table13[[#This Row],[Decription]],Table3[Quantity Issued])</f>
        <v>0</v>
      </c>
      <c r="I11" s="206">
        <f>Table13[[#This Row],[January 2025 - Issued Qty]]*Table13[[#This Row],[Unit Cost]]</f>
        <v>0</v>
      </c>
      <c r="J11" s="95">
        <f>Table13[[#This Row],[Quantity on Hand]]-Table13[[#This Row],[January 2025 - Issued Qty]]</f>
        <v>2</v>
      </c>
      <c r="K11" s="207">
        <f>Table13[[#This Row],[January 2025 - Balance Qty]]*Table13[[#This Row],[Unit Cost]]</f>
        <v>580</v>
      </c>
      <c r="L11" s="205">
        <v>0</v>
      </c>
      <c r="M11" s="206">
        <v>0</v>
      </c>
      <c r="N11" s="208">
        <f>Table13[[#This Row],[Incoming Unit Cost]]*Table13[[#This Row],[Incoming Qty]]</f>
        <v>0</v>
      </c>
      <c r="O11" s="206">
        <f>SUMIF(Table32[Item],Table13[[#This Row],[Decription]],Table32[Quantity Issued])</f>
        <v>0</v>
      </c>
      <c r="P11" s="206">
        <f>Table13[[#This Row],[Unit Cost]]*Table13[[#This Row],[February 2025 - Issued Qty]]</f>
        <v>0</v>
      </c>
      <c r="Q11" s="95">
        <f>(Table13[[#This Row],[January 2025 - Balance Qty]]-Table13[[#This Row],[February 2025 - Issued Qty]])+Table13[[#This Row],[Incoming Qty]]</f>
        <v>2</v>
      </c>
      <c r="R11" s="207">
        <f>Table13[[#This Row],[February 2025 - Balance Qty]]*Table13[[#This Row],[Unit Cost]]</f>
        <v>580</v>
      </c>
      <c r="S11" s="205">
        <v>0</v>
      </c>
      <c r="T11" s="206">
        <v>0</v>
      </c>
      <c r="U11" s="208">
        <f>Table13[[#This Row],[Incoming Unit Cost]]*Table13[[#This Row],[Incoming Qty]]</f>
        <v>0</v>
      </c>
      <c r="V11" s="206">
        <f>SUMIF(Table3267[Item],Table13[[#This Row],[Decription]],Table3267[Quantity Issued])</f>
        <v>1</v>
      </c>
      <c r="W11" s="206">
        <f>Table13[[#This Row],[Unit Cost]]*Table13[[#This Row],[March 2025 - Issued Qty]]</f>
        <v>290</v>
      </c>
      <c r="X11" s="219">
        <f>(Table13[[#This Row],[February 2025 - Balance Qty]]-Table13[[#This Row],[March 2025 - Issued Qty]])+Table13[[#This Row],[Incoming Qty]]</f>
        <v>1</v>
      </c>
      <c r="Y11" s="207">
        <f>Table13[[#This Row],[March 2025 - Balance Qty]]*Table13[[#This Row],[Unit Cost]]</f>
        <v>290</v>
      </c>
      <c r="Z11" s="205">
        <v>0</v>
      </c>
      <c r="AA11" s="206">
        <v>0</v>
      </c>
      <c r="AB11" s="208">
        <f>Table13[[#This Row],[Incoming Unit Cost]]*Table13[[#This Row],[Incoming Qty]]</f>
        <v>0</v>
      </c>
      <c r="AC11" s="206">
        <f>SUMIF(Table326[Item],Table13[[#This Row],[Decription]],Table326[Quantity Issued])</f>
        <v>0</v>
      </c>
      <c r="AD11" s="206">
        <f>Table13[[#This Row],[Unit Cost]]*Table13[[#This Row],[April 2025 - Issued Qty ]]</f>
        <v>0</v>
      </c>
      <c r="AE11" s="219">
        <f>(Table13[[#This Row],[March 2025 - Balance Qty]]-Table13[[#This Row],[April 2025 - Issued Qty ]])+Table13[[#This Row],[Incoming Qty ]]</f>
        <v>1</v>
      </c>
      <c r="AF11" s="207">
        <f>Table13[[#This Row],[April 2025 - Balance Qty]]*Table13[[#This Row],[Unit Cost]]</f>
        <v>290</v>
      </c>
      <c r="AG11" s="207"/>
    </row>
    <row r="12" spans="1:33">
      <c r="A12" t="s">
        <v>77</v>
      </c>
      <c r="B12" t="s">
        <v>87</v>
      </c>
      <c r="C12" t="s">
        <v>91</v>
      </c>
      <c r="D12" t="s">
        <v>27</v>
      </c>
      <c r="E12" s="204">
        <v>5</v>
      </c>
      <c r="F12" s="204">
        <v>6</v>
      </c>
      <c r="G12" s="204">
        <f>Table13[[#This Row],[Unit Cost]]*Table13[[#This Row],[Quantity on Hand]]</f>
        <v>30</v>
      </c>
      <c r="H12" s="205">
        <f>SUMIF(Table3[Item],Table13[[#This Row],[Decription]],Table3[Quantity Issued])</f>
        <v>0</v>
      </c>
      <c r="I12" s="206">
        <f>Table13[[#This Row],[January 2025 - Issued Qty]]*Table13[[#This Row],[Unit Cost]]</f>
        <v>0</v>
      </c>
      <c r="J12" s="95">
        <f>Table13[[#This Row],[Quantity on Hand]]-Table13[[#This Row],[January 2025 - Issued Qty]]</f>
        <v>5</v>
      </c>
      <c r="K12" s="207">
        <f>Table13[[#This Row],[January 2025 - Balance Qty]]*Table13[[#This Row],[Unit Cost]]</f>
        <v>30</v>
      </c>
      <c r="L12" s="205">
        <v>0</v>
      </c>
      <c r="M12" s="206">
        <v>0</v>
      </c>
      <c r="N12" s="208">
        <f>Table13[[#This Row],[Incoming Unit Cost]]*Table13[[#This Row],[Incoming Qty]]</f>
        <v>0</v>
      </c>
      <c r="O12" s="206">
        <f>SUMIF(Table32[Item],Table13[[#This Row],[Decription]],Table32[Quantity Issued])</f>
        <v>0</v>
      </c>
      <c r="P12" s="206">
        <f>Table13[[#This Row],[Unit Cost]]*Table13[[#This Row],[February 2025 - Issued Qty]]</f>
        <v>0</v>
      </c>
      <c r="Q12" s="95">
        <f>(Table13[[#This Row],[January 2025 - Balance Qty]]-Table13[[#This Row],[February 2025 - Issued Qty]])+Table13[[#This Row],[Incoming Qty]]</f>
        <v>5</v>
      </c>
      <c r="R12" s="207">
        <f>Table13[[#This Row],[February 2025 - Balance Qty]]*Table13[[#This Row],[Unit Cost]]</f>
        <v>30</v>
      </c>
      <c r="S12" s="205">
        <v>0</v>
      </c>
      <c r="T12" s="206">
        <v>0</v>
      </c>
      <c r="U12" s="208">
        <f>Table13[[#This Row],[Incoming Unit Cost]]*Table13[[#This Row],[Incoming Qty]]</f>
        <v>0</v>
      </c>
      <c r="V12" s="206">
        <f>SUMIF(Table3267[Item],Table13[[#This Row],[Decription]],Table3267[Quantity Issued])</f>
        <v>2</v>
      </c>
      <c r="W12" s="206">
        <f>Table13[[#This Row],[Unit Cost]]*Table13[[#This Row],[March 2025 - Issued Qty]]</f>
        <v>12</v>
      </c>
      <c r="X12" s="219">
        <f>(Table13[[#This Row],[February 2025 - Balance Qty]]-Table13[[#This Row],[March 2025 - Issued Qty]])+Table13[[#This Row],[Incoming Qty]]</f>
        <v>3</v>
      </c>
      <c r="Y12" s="207">
        <f>Table13[[#This Row],[March 2025 - Balance Qty]]*Table13[[#This Row],[Unit Cost]]</f>
        <v>18</v>
      </c>
      <c r="Z12" s="205">
        <v>0</v>
      </c>
      <c r="AA12" s="206">
        <v>0</v>
      </c>
      <c r="AB12" s="208">
        <f>Table13[[#This Row],[Incoming Unit Cost]]*Table13[[#This Row],[Incoming Qty]]</f>
        <v>0</v>
      </c>
      <c r="AC12" s="206">
        <f>SUMIF(Table326[Item],Table13[[#This Row],[Decription]],Table326[Quantity Issued])</f>
        <v>0</v>
      </c>
      <c r="AD12" s="206">
        <f>Table13[[#This Row],[Unit Cost]]*Table13[[#This Row],[April 2025 - Issued Qty ]]</f>
        <v>0</v>
      </c>
      <c r="AE12" s="219">
        <f>(Table13[[#This Row],[March 2025 - Balance Qty]]-Table13[[#This Row],[April 2025 - Issued Qty ]])+Table13[[#This Row],[Incoming Qty ]]</f>
        <v>3</v>
      </c>
      <c r="AF12" s="207">
        <f>Table13[[#This Row],[April 2025 - Balance Qty]]*Table13[[#This Row],[Unit Cost]]</f>
        <v>18</v>
      </c>
      <c r="AG12" s="207"/>
    </row>
    <row r="13" spans="1:33">
      <c r="A13" t="s">
        <v>77</v>
      </c>
      <c r="B13" t="s">
        <v>87</v>
      </c>
      <c r="C13" t="s">
        <v>92</v>
      </c>
      <c r="D13" t="s">
        <v>27</v>
      </c>
      <c r="E13" s="204">
        <v>4</v>
      </c>
      <c r="F13" s="204">
        <v>132</v>
      </c>
      <c r="G13" s="204">
        <f>Table13[[#This Row],[Unit Cost]]*Table13[[#This Row],[Quantity on Hand]]</f>
        <v>528</v>
      </c>
      <c r="H13" s="205">
        <f>SUMIF(Table3[Item],Table13[[#This Row],[Decription]],Table3[Quantity Issued])</f>
        <v>0</v>
      </c>
      <c r="I13" s="206">
        <f>Table13[[#This Row],[January 2025 - Issued Qty]]*Table13[[#This Row],[Unit Cost]]</f>
        <v>0</v>
      </c>
      <c r="J13" s="95">
        <f>Table13[[#This Row],[Quantity on Hand]]-Table13[[#This Row],[January 2025 - Issued Qty]]</f>
        <v>4</v>
      </c>
      <c r="K13" s="207">
        <f>Table13[[#This Row],[January 2025 - Balance Qty]]*Table13[[#This Row],[Unit Cost]]</f>
        <v>528</v>
      </c>
      <c r="L13" s="205">
        <v>0</v>
      </c>
      <c r="M13" s="206">
        <v>0</v>
      </c>
      <c r="N13" s="208">
        <f>Table13[[#This Row],[Incoming Unit Cost]]*Table13[[#This Row],[Incoming Qty]]</f>
        <v>0</v>
      </c>
      <c r="O13" s="206">
        <f>SUMIF(Table32[Item],Table13[[#This Row],[Decription]],Table32[Quantity Issued])</f>
        <v>0</v>
      </c>
      <c r="P13" s="206">
        <f>Table13[[#This Row],[Unit Cost]]*Table13[[#This Row],[February 2025 - Issued Qty]]</f>
        <v>0</v>
      </c>
      <c r="Q13" s="95">
        <f>(Table13[[#This Row],[January 2025 - Balance Qty]]-Table13[[#This Row],[February 2025 - Issued Qty]])+Table13[[#This Row],[Incoming Qty]]</f>
        <v>4</v>
      </c>
      <c r="R13" s="207">
        <f>Table13[[#This Row],[February 2025 - Balance Qty]]*Table13[[#This Row],[Unit Cost]]</f>
        <v>528</v>
      </c>
      <c r="S13" s="205">
        <v>0</v>
      </c>
      <c r="T13" s="206">
        <v>0</v>
      </c>
      <c r="U13" s="208">
        <f>Table13[[#This Row],[Incoming Unit Cost]]*Table13[[#This Row],[Incoming Qty]]</f>
        <v>0</v>
      </c>
      <c r="V13" s="206">
        <f>SUMIF(Table3267[Item],Table13[[#This Row],[Decription]],Table3267[Quantity Issued])</f>
        <v>2</v>
      </c>
      <c r="W13" s="206">
        <f>Table13[[#This Row],[Unit Cost]]*Table13[[#This Row],[March 2025 - Issued Qty]]</f>
        <v>264</v>
      </c>
      <c r="X13" s="219">
        <f>(Table13[[#This Row],[February 2025 - Balance Qty]]-Table13[[#This Row],[March 2025 - Issued Qty]])+Table13[[#This Row],[Incoming Qty]]</f>
        <v>2</v>
      </c>
      <c r="Y13" s="207">
        <f>Table13[[#This Row],[March 2025 - Balance Qty]]*Table13[[#This Row],[Unit Cost]]</f>
        <v>264</v>
      </c>
      <c r="Z13" s="205">
        <v>0</v>
      </c>
      <c r="AA13" s="206">
        <v>0</v>
      </c>
      <c r="AB13" s="208">
        <f>Table13[[#This Row],[Incoming Unit Cost]]*Table13[[#This Row],[Incoming Qty]]</f>
        <v>0</v>
      </c>
      <c r="AC13" s="206">
        <f>SUMIF(Table326[Item],Table13[[#This Row],[Decription]],Table326[Quantity Issued])</f>
        <v>2</v>
      </c>
      <c r="AD13" s="206">
        <f>Table13[[#This Row],[Unit Cost]]*Table13[[#This Row],[April 2025 - Issued Qty ]]</f>
        <v>264</v>
      </c>
      <c r="AE13" s="219">
        <f>(Table13[[#This Row],[March 2025 - Balance Qty]]-Table13[[#This Row],[April 2025 - Issued Qty ]])+Table13[[#This Row],[Incoming Qty ]]</f>
        <v>0</v>
      </c>
      <c r="AF13" s="207">
        <f>Table13[[#This Row],[April 2025 - Balance Qty]]*Table13[[#This Row],[Unit Cost]]</f>
        <v>0</v>
      </c>
      <c r="AG13" s="207"/>
    </row>
    <row r="14" spans="1:33">
      <c r="A14" t="s">
        <v>77</v>
      </c>
      <c r="B14" t="s">
        <v>87</v>
      </c>
      <c r="C14" t="s">
        <v>93</v>
      </c>
      <c r="D14" t="s">
        <v>29</v>
      </c>
      <c r="E14" s="204">
        <v>4</v>
      </c>
      <c r="F14" s="204">
        <v>200</v>
      </c>
      <c r="G14" s="204">
        <f>Table13[[#This Row],[Unit Cost]]*Table13[[#This Row],[Quantity on Hand]]</f>
        <v>800</v>
      </c>
      <c r="H14" s="205">
        <f>SUMIF(Table3[Item],Table13[[#This Row],[Decription]],Table3[Quantity Issued])</f>
        <v>0</v>
      </c>
      <c r="I14" s="206">
        <f>Table13[[#This Row],[January 2025 - Issued Qty]]*Table13[[#This Row],[Unit Cost]]</f>
        <v>0</v>
      </c>
      <c r="J14" s="95">
        <f>Table13[[#This Row],[Quantity on Hand]]-Table13[[#This Row],[January 2025 - Issued Qty]]</f>
        <v>4</v>
      </c>
      <c r="K14" s="207">
        <f>Table13[[#This Row],[January 2025 - Balance Qty]]*Table13[[#This Row],[Unit Cost]]</f>
        <v>800</v>
      </c>
      <c r="L14" s="205">
        <v>0</v>
      </c>
      <c r="M14" s="206">
        <v>0</v>
      </c>
      <c r="N14" s="208">
        <f>Table13[[#This Row],[Incoming Unit Cost]]*Table13[[#This Row],[Incoming Qty]]</f>
        <v>0</v>
      </c>
      <c r="O14" s="206">
        <f>SUMIF(Table32[Item],Table13[[#This Row],[Decription]],Table32[Quantity Issued])</f>
        <v>0</v>
      </c>
      <c r="P14" s="206">
        <f>Table13[[#This Row],[Unit Cost]]*Table13[[#This Row],[February 2025 - Issued Qty]]</f>
        <v>0</v>
      </c>
      <c r="Q14" s="95">
        <f>(Table13[[#This Row],[January 2025 - Balance Qty]]-Table13[[#This Row],[February 2025 - Issued Qty]])+Table13[[#This Row],[Incoming Qty]]</f>
        <v>4</v>
      </c>
      <c r="R14" s="207">
        <f>Table13[[#This Row],[February 2025 - Balance Qty]]*Table13[[#This Row],[Unit Cost]]</f>
        <v>800</v>
      </c>
      <c r="S14" s="205">
        <v>0</v>
      </c>
      <c r="T14" s="206">
        <v>0</v>
      </c>
      <c r="U14" s="208">
        <f>Table13[[#This Row],[Incoming Unit Cost]]*Table13[[#This Row],[Incoming Qty]]</f>
        <v>0</v>
      </c>
      <c r="V14" s="206">
        <f>SUMIF(Table3267[Item],Table13[[#This Row],[Decription]],Table3267[Quantity Issued])</f>
        <v>0</v>
      </c>
      <c r="W14" s="206">
        <f>Table13[[#This Row],[Unit Cost]]*Table13[[#This Row],[March 2025 - Issued Qty]]</f>
        <v>0</v>
      </c>
      <c r="X14" s="219">
        <f>(Table13[[#This Row],[February 2025 - Balance Qty]]-Table13[[#This Row],[March 2025 - Issued Qty]])+Table13[[#This Row],[Incoming Qty]]</f>
        <v>4</v>
      </c>
      <c r="Y14" s="207">
        <f>Table13[[#This Row],[March 2025 - Balance Qty]]*Table13[[#This Row],[Unit Cost]]</f>
        <v>800</v>
      </c>
      <c r="Z14" s="205">
        <v>0</v>
      </c>
      <c r="AA14" s="206">
        <v>0</v>
      </c>
      <c r="AB14" s="208">
        <f>Table13[[#This Row],[Incoming Unit Cost]]*Table13[[#This Row],[Incoming Qty]]</f>
        <v>0</v>
      </c>
      <c r="AC14" s="206">
        <f>SUMIF(Table326[Item],Table13[[#This Row],[Decription]],Table326[Quantity Issued])</f>
        <v>0</v>
      </c>
      <c r="AD14" s="206">
        <f>Table13[[#This Row],[Unit Cost]]*Table13[[#This Row],[April 2025 - Issued Qty ]]</f>
        <v>0</v>
      </c>
      <c r="AE14" s="219">
        <f>(Table13[[#This Row],[March 2025 - Balance Qty]]-Table13[[#This Row],[April 2025 - Issued Qty ]])+Table13[[#This Row],[Incoming Qty ]]</f>
        <v>4</v>
      </c>
      <c r="AF14" s="207">
        <f>Table13[[#This Row],[April 2025 - Balance Qty]]*Table13[[#This Row],[Unit Cost]]</f>
        <v>800</v>
      </c>
      <c r="AG14" s="207"/>
    </row>
    <row r="15" spans="1:33">
      <c r="A15" t="s">
        <v>77</v>
      </c>
      <c r="B15" t="s">
        <v>87</v>
      </c>
      <c r="C15" t="s">
        <v>94</v>
      </c>
      <c r="D15" t="s">
        <v>27</v>
      </c>
      <c r="E15" s="204">
        <v>5</v>
      </c>
      <c r="F15" s="204">
        <v>45</v>
      </c>
      <c r="G15" s="204">
        <f>Table13[[#This Row],[Unit Cost]]*Table13[[#This Row],[Quantity on Hand]]</f>
        <v>225</v>
      </c>
      <c r="H15" s="205">
        <f>SUMIF(Table3[Item],Table13[[#This Row],[Decription]],Table3[Quantity Issued])</f>
        <v>0</v>
      </c>
      <c r="I15" s="206">
        <f>Table13[[#This Row],[January 2025 - Issued Qty]]*Table13[[#This Row],[Unit Cost]]</f>
        <v>0</v>
      </c>
      <c r="J15" s="95">
        <f>Table13[[#This Row],[Quantity on Hand]]-Table13[[#This Row],[January 2025 - Issued Qty]]</f>
        <v>5</v>
      </c>
      <c r="K15" s="207">
        <f>Table13[[#This Row],[January 2025 - Balance Qty]]*Table13[[#This Row],[Unit Cost]]</f>
        <v>225</v>
      </c>
      <c r="L15" s="205">
        <v>0</v>
      </c>
      <c r="M15" s="206">
        <v>0</v>
      </c>
      <c r="N15" s="208">
        <f>Table13[[#This Row],[Incoming Unit Cost]]*Table13[[#This Row],[Incoming Qty]]</f>
        <v>0</v>
      </c>
      <c r="O15" s="206">
        <f>SUMIF(Table32[Item],Table13[[#This Row],[Decription]],Table32[Quantity Issued])</f>
        <v>0</v>
      </c>
      <c r="P15" s="206">
        <f>Table13[[#This Row],[Unit Cost]]*Table13[[#This Row],[February 2025 - Issued Qty]]</f>
        <v>0</v>
      </c>
      <c r="Q15" s="95">
        <f>(Table13[[#This Row],[January 2025 - Balance Qty]]-Table13[[#This Row],[February 2025 - Issued Qty]])+Table13[[#This Row],[Incoming Qty]]</f>
        <v>5</v>
      </c>
      <c r="R15" s="207">
        <f>Table13[[#This Row],[February 2025 - Balance Qty]]*Table13[[#This Row],[Unit Cost]]</f>
        <v>225</v>
      </c>
      <c r="S15" s="205">
        <v>0</v>
      </c>
      <c r="T15" s="206">
        <v>0</v>
      </c>
      <c r="U15" s="208">
        <f>Table13[[#This Row],[Incoming Unit Cost]]*Table13[[#This Row],[Incoming Qty]]</f>
        <v>0</v>
      </c>
      <c r="V15" s="206">
        <f>SUMIF(Table3267[Item],Table13[[#This Row],[Decription]],Table3267[Quantity Issued])</f>
        <v>2</v>
      </c>
      <c r="W15" s="206">
        <f>Table13[[#This Row],[Unit Cost]]*Table13[[#This Row],[March 2025 - Issued Qty]]</f>
        <v>90</v>
      </c>
      <c r="X15" s="219">
        <f>(Table13[[#This Row],[February 2025 - Balance Qty]]-Table13[[#This Row],[March 2025 - Issued Qty]])+Table13[[#This Row],[Incoming Qty]]</f>
        <v>3</v>
      </c>
      <c r="Y15" s="207">
        <f>Table13[[#This Row],[March 2025 - Balance Qty]]*Table13[[#This Row],[Unit Cost]]</f>
        <v>135</v>
      </c>
      <c r="Z15" s="205">
        <v>0</v>
      </c>
      <c r="AA15" s="206">
        <v>0</v>
      </c>
      <c r="AB15" s="208">
        <f>Table13[[#This Row],[Incoming Unit Cost]]*Table13[[#This Row],[Incoming Qty]]</f>
        <v>0</v>
      </c>
      <c r="AC15" s="206">
        <f>SUMIF(Table326[Item],Table13[[#This Row],[Decription]],Table326[Quantity Issued])</f>
        <v>3</v>
      </c>
      <c r="AD15" s="206">
        <f>Table13[[#This Row],[Unit Cost]]*Table13[[#This Row],[April 2025 - Issued Qty ]]</f>
        <v>135</v>
      </c>
      <c r="AE15" s="219">
        <f>(Table13[[#This Row],[March 2025 - Balance Qty]]-Table13[[#This Row],[April 2025 - Issued Qty ]])+Table13[[#This Row],[Incoming Qty ]]</f>
        <v>0</v>
      </c>
      <c r="AF15" s="207">
        <f>Table13[[#This Row],[April 2025 - Balance Qty]]*Table13[[#This Row],[Unit Cost]]</f>
        <v>0</v>
      </c>
      <c r="AG15" s="207"/>
    </row>
    <row r="16" spans="1:33">
      <c r="A16" t="s">
        <v>77</v>
      </c>
      <c r="B16" t="s">
        <v>87</v>
      </c>
      <c r="C16" t="s">
        <v>95</v>
      </c>
      <c r="D16" t="s">
        <v>27</v>
      </c>
      <c r="E16" s="204">
        <v>1</v>
      </c>
      <c r="F16" s="204">
        <v>38</v>
      </c>
      <c r="G16" s="204">
        <f>Table13[[#This Row],[Unit Cost]]*Table13[[#This Row],[Quantity on Hand]]</f>
        <v>38</v>
      </c>
      <c r="H16" s="205">
        <f>SUMIF(Table3[Item],Table13[[#This Row],[Decription]],Table3[Quantity Issued])</f>
        <v>0</v>
      </c>
      <c r="I16" s="206">
        <f>Table13[[#This Row],[January 2025 - Issued Qty]]*Table13[[#This Row],[Unit Cost]]</f>
        <v>0</v>
      </c>
      <c r="J16" s="95">
        <f>Table13[[#This Row],[Quantity on Hand]]-Table13[[#This Row],[January 2025 - Issued Qty]]</f>
        <v>1</v>
      </c>
      <c r="K16" s="207">
        <f>Table13[[#This Row],[January 2025 - Balance Qty]]*Table13[[#This Row],[Unit Cost]]</f>
        <v>38</v>
      </c>
      <c r="L16" s="205">
        <v>0</v>
      </c>
      <c r="M16" s="206">
        <v>0</v>
      </c>
      <c r="N16" s="208">
        <f>Table13[[#This Row],[Incoming Unit Cost]]*Table13[[#This Row],[Incoming Qty]]</f>
        <v>0</v>
      </c>
      <c r="O16" s="206">
        <f>SUMIF(Table32[Item],Table13[[#This Row],[Decription]],Table32[Quantity Issued])</f>
        <v>0</v>
      </c>
      <c r="P16" s="206">
        <f>Table13[[#This Row],[Unit Cost]]*Table13[[#This Row],[February 2025 - Issued Qty]]</f>
        <v>0</v>
      </c>
      <c r="Q16" s="95">
        <f>(Table13[[#This Row],[January 2025 - Balance Qty]]-Table13[[#This Row],[February 2025 - Issued Qty]])+Table13[[#This Row],[Incoming Qty]]</f>
        <v>1</v>
      </c>
      <c r="R16" s="207">
        <f>Table13[[#This Row],[February 2025 - Balance Qty]]*Table13[[#This Row],[Unit Cost]]</f>
        <v>38</v>
      </c>
      <c r="S16" s="205">
        <v>0</v>
      </c>
      <c r="T16" s="206">
        <v>0</v>
      </c>
      <c r="U16" s="208">
        <f>Table13[[#This Row],[Incoming Unit Cost]]*Table13[[#This Row],[Incoming Qty]]</f>
        <v>0</v>
      </c>
      <c r="V16" s="206">
        <f>SUMIF(Table3267[Item],Table13[[#This Row],[Decription]],Table3267[Quantity Issued])</f>
        <v>0</v>
      </c>
      <c r="W16" s="206">
        <f>Table13[[#This Row],[Unit Cost]]*Table13[[#This Row],[March 2025 - Issued Qty]]</f>
        <v>0</v>
      </c>
      <c r="X16" s="219">
        <f>(Table13[[#This Row],[February 2025 - Balance Qty]]-Table13[[#This Row],[March 2025 - Issued Qty]])+Table13[[#This Row],[Incoming Qty]]</f>
        <v>1</v>
      </c>
      <c r="Y16" s="207">
        <f>Table13[[#This Row],[March 2025 - Balance Qty]]*Table13[[#This Row],[Unit Cost]]</f>
        <v>38</v>
      </c>
      <c r="Z16" s="205">
        <v>0</v>
      </c>
      <c r="AA16" s="206">
        <v>0</v>
      </c>
      <c r="AB16" s="208">
        <f>Table13[[#This Row],[Incoming Unit Cost]]*Table13[[#This Row],[Incoming Qty]]</f>
        <v>0</v>
      </c>
      <c r="AC16" s="206">
        <f>SUMIF(Table326[Item],Table13[[#This Row],[Decription]],Table326[Quantity Issued])</f>
        <v>0</v>
      </c>
      <c r="AD16" s="206">
        <f>Table13[[#This Row],[Unit Cost]]*Table13[[#This Row],[April 2025 - Issued Qty ]]</f>
        <v>0</v>
      </c>
      <c r="AE16" s="219">
        <f>(Table13[[#This Row],[March 2025 - Balance Qty]]-Table13[[#This Row],[April 2025 - Issued Qty ]])+Table13[[#This Row],[Incoming Qty ]]</f>
        <v>1</v>
      </c>
      <c r="AF16" s="207">
        <f>Table13[[#This Row],[April 2025 - Balance Qty]]*Table13[[#This Row],[Unit Cost]]</f>
        <v>38</v>
      </c>
      <c r="AG16" s="207"/>
    </row>
    <row r="17" spans="1:33">
      <c r="A17" t="s">
        <v>77</v>
      </c>
      <c r="B17" t="s">
        <v>87</v>
      </c>
      <c r="C17" t="s">
        <v>96</v>
      </c>
      <c r="D17" t="s">
        <v>97</v>
      </c>
      <c r="E17" s="204">
        <v>18</v>
      </c>
      <c r="F17" s="204">
        <v>27.22</v>
      </c>
      <c r="G17" s="204">
        <f>Table13[[#This Row],[Unit Cost]]*Table13[[#This Row],[Quantity on Hand]]</f>
        <v>489.96</v>
      </c>
      <c r="H17" s="205">
        <f>SUMIF(Table3[Item],Table13[[#This Row],[Decription]],Table3[Quantity Issued])</f>
        <v>0</v>
      </c>
      <c r="I17" s="206">
        <f>Table13[[#This Row],[January 2025 - Issued Qty]]*Table13[[#This Row],[Unit Cost]]</f>
        <v>0</v>
      </c>
      <c r="J17" s="95">
        <f>Table13[[#This Row],[Quantity on Hand]]-Table13[[#This Row],[January 2025 - Issued Qty]]</f>
        <v>18</v>
      </c>
      <c r="K17" s="207">
        <f>Table13[[#This Row],[January 2025 - Balance Qty]]*Table13[[#This Row],[Unit Cost]]</f>
        <v>489.96</v>
      </c>
      <c r="L17" s="205">
        <v>0</v>
      </c>
      <c r="M17" s="206">
        <v>0</v>
      </c>
      <c r="N17" s="208">
        <f>Table13[[#This Row],[Incoming Unit Cost]]*Table13[[#This Row],[Incoming Qty]]</f>
        <v>0</v>
      </c>
      <c r="O17" s="206">
        <f>SUMIF(Table32[Item],Table13[[#This Row],[Decription]],Table32[Quantity Issued])</f>
        <v>0</v>
      </c>
      <c r="P17" s="206">
        <f>Table13[[#This Row],[Unit Cost]]*Table13[[#This Row],[February 2025 - Issued Qty]]</f>
        <v>0</v>
      </c>
      <c r="Q17" s="95">
        <f>(Table13[[#This Row],[January 2025 - Balance Qty]]-Table13[[#This Row],[February 2025 - Issued Qty]])+Table13[[#This Row],[Incoming Qty]]</f>
        <v>18</v>
      </c>
      <c r="R17" s="207">
        <f>Table13[[#This Row],[February 2025 - Balance Qty]]*Table13[[#This Row],[Unit Cost]]</f>
        <v>489.96</v>
      </c>
      <c r="S17" s="205">
        <v>0</v>
      </c>
      <c r="T17" s="206">
        <v>0</v>
      </c>
      <c r="U17" s="208">
        <f>Table13[[#This Row],[Incoming Unit Cost]]*Table13[[#This Row],[Incoming Qty]]</f>
        <v>0</v>
      </c>
      <c r="V17" s="206">
        <f>SUMIF(Table3267[Item],Table13[[#This Row],[Decription]],Table3267[Quantity Issued])</f>
        <v>5</v>
      </c>
      <c r="W17" s="206">
        <f>Table13[[#This Row],[Unit Cost]]*Table13[[#This Row],[March 2025 - Issued Qty]]</f>
        <v>136.1</v>
      </c>
      <c r="X17" s="219">
        <f>(Table13[[#This Row],[February 2025 - Balance Qty]]-Table13[[#This Row],[March 2025 - Issued Qty]])+Table13[[#This Row],[Incoming Qty]]</f>
        <v>13</v>
      </c>
      <c r="Y17" s="207">
        <f>Table13[[#This Row],[March 2025 - Balance Qty]]*Table13[[#This Row],[Unit Cost]]</f>
        <v>353.86</v>
      </c>
      <c r="Z17" s="205">
        <v>0</v>
      </c>
      <c r="AA17" s="206">
        <v>0</v>
      </c>
      <c r="AB17" s="208">
        <f>Table13[[#This Row],[Incoming Unit Cost]]*Table13[[#This Row],[Incoming Qty]]</f>
        <v>0</v>
      </c>
      <c r="AC17" s="206">
        <f>SUMIF(Table326[Item],Table13[[#This Row],[Decription]],Table326[Quantity Issued])</f>
        <v>5</v>
      </c>
      <c r="AD17" s="206">
        <f>Table13[[#This Row],[Unit Cost]]*Table13[[#This Row],[April 2025 - Issued Qty ]]</f>
        <v>136.1</v>
      </c>
      <c r="AE17" s="219">
        <f>(Table13[[#This Row],[March 2025 - Balance Qty]]-Table13[[#This Row],[April 2025 - Issued Qty ]])+Table13[[#This Row],[Incoming Qty ]]</f>
        <v>8</v>
      </c>
      <c r="AF17" s="207">
        <f>Table13[[#This Row],[April 2025 - Balance Qty]]*Table13[[#This Row],[Unit Cost]]</f>
        <v>217.76</v>
      </c>
      <c r="AG17" s="207"/>
    </row>
    <row r="18" spans="1:33">
      <c r="A18" t="s">
        <v>77</v>
      </c>
      <c r="B18" t="s">
        <v>98</v>
      </c>
      <c r="C18" t="s">
        <v>99</v>
      </c>
      <c r="D18" t="s">
        <v>100</v>
      </c>
      <c r="E18" s="204">
        <v>3</v>
      </c>
      <c r="F18" s="204">
        <v>42</v>
      </c>
      <c r="G18" s="204">
        <f>Table13[[#This Row],[Unit Cost]]*Table13[[#This Row],[Quantity on Hand]]</f>
        <v>126</v>
      </c>
      <c r="H18" s="205">
        <f>SUMIF(Table3[Item],Table13[[#This Row],[Decription]],Table3[Quantity Issued])</f>
        <v>0</v>
      </c>
      <c r="I18" s="206">
        <f>Table13[[#This Row],[January 2025 - Issued Qty]]*Table13[[#This Row],[Unit Cost]]</f>
        <v>0</v>
      </c>
      <c r="J18" s="95">
        <f>Table13[[#This Row],[Quantity on Hand]]-Table13[[#This Row],[January 2025 - Issued Qty]]</f>
        <v>3</v>
      </c>
      <c r="K18" s="207">
        <f>Table13[[#This Row],[January 2025 - Balance Qty]]*Table13[[#This Row],[Unit Cost]]</f>
        <v>126</v>
      </c>
      <c r="L18" s="205">
        <v>0</v>
      </c>
      <c r="M18" s="206">
        <v>0</v>
      </c>
      <c r="N18" s="208">
        <f>Table13[[#This Row],[Incoming Unit Cost]]*Table13[[#This Row],[Incoming Qty]]</f>
        <v>0</v>
      </c>
      <c r="O18" s="206">
        <f>SUMIF(Table32[Item],Table13[[#This Row],[Decription]],Table32[Quantity Issued])</f>
        <v>0</v>
      </c>
      <c r="P18" s="206">
        <f>Table13[[#This Row],[Unit Cost]]*Table13[[#This Row],[February 2025 - Issued Qty]]</f>
        <v>0</v>
      </c>
      <c r="Q18" s="95">
        <f>(Table13[[#This Row],[January 2025 - Balance Qty]]-Table13[[#This Row],[February 2025 - Issued Qty]])+Table13[[#This Row],[Incoming Qty]]</f>
        <v>3</v>
      </c>
      <c r="R18" s="207">
        <f>Table13[[#This Row],[February 2025 - Balance Qty]]*Table13[[#This Row],[Unit Cost]]</f>
        <v>126</v>
      </c>
      <c r="S18" s="205">
        <v>0</v>
      </c>
      <c r="T18" s="206">
        <v>0</v>
      </c>
      <c r="U18" s="208">
        <f>Table13[[#This Row],[Incoming Unit Cost]]*Table13[[#This Row],[Incoming Qty]]</f>
        <v>0</v>
      </c>
      <c r="V18" s="206">
        <f>SUMIF(Table3267[Item],Table13[[#This Row],[Decription]],Table3267[Quantity Issued])</f>
        <v>3</v>
      </c>
      <c r="W18" s="206">
        <f>Table13[[#This Row],[Unit Cost]]*Table13[[#This Row],[March 2025 - Issued Qty]]</f>
        <v>126</v>
      </c>
      <c r="X18" s="219">
        <f>(Table13[[#This Row],[February 2025 - Balance Qty]]-Table13[[#This Row],[March 2025 - Issued Qty]])+Table13[[#This Row],[Incoming Qty]]</f>
        <v>0</v>
      </c>
      <c r="Y18" s="207">
        <f>Table13[[#This Row],[March 2025 - Balance Qty]]*Table13[[#This Row],[Unit Cost]]</f>
        <v>0</v>
      </c>
      <c r="Z18" s="205">
        <v>0</v>
      </c>
      <c r="AA18" s="206">
        <v>0</v>
      </c>
      <c r="AB18" s="208">
        <f>Table13[[#This Row],[Incoming Unit Cost]]*Table13[[#This Row],[Incoming Qty]]</f>
        <v>0</v>
      </c>
      <c r="AC18" s="206">
        <f>SUMIF(Table326[Item],Table13[[#This Row],[Decription]],Table326[Quantity Issued])</f>
        <v>0</v>
      </c>
      <c r="AD18" s="206">
        <f>Table13[[#This Row],[Unit Cost]]*Table13[[#This Row],[April 2025 - Issued Qty ]]</f>
        <v>0</v>
      </c>
      <c r="AE18" s="219">
        <f>(Table13[[#This Row],[March 2025 - Balance Qty]]-Table13[[#This Row],[April 2025 - Issued Qty ]])+Table13[[#This Row],[Incoming Qty ]]</f>
        <v>0</v>
      </c>
      <c r="AF18" s="207">
        <f>Table13[[#This Row],[April 2025 - Balance Qty]]*Table13[[#This Row],[Unit Cost]]</f>
        <v>0</v>
      </c>
      <c r="AG18" s="207"/>
    </row>
    <row r="19" spans="1:33">
      <c r="A19" t="s">
        <v>77</v>
      </c>
      <c r="B19" t="s">
        <v>98</v>
      </c>
      <c r="C19" t="s">
        <v>101</v>
      </c>
      <c r="D19" t="s">
        <v>27</v>
      </c>
      <c r="E19" s="204">
        <v>1</v>
      </c>
      <c r="F19" s="204">
        <v>120</v>
      </c>
      <c r="G19" s="204">
        <f>Table13[[#This Row],[Unit Cost]]*Table13[[#This Row],[Quantity on Hand]]</f>
        <v>120</v>
      </c>
      <c r="H19" s="205">
        <f>SUMIF(Table3[Item],Table13[[#This Row],[Decription]],Table3[Quantity Issued])</f>
        <v>0</v>
      </c>
      <c r="I19" s="206">
        <f>Table13[[#This Row],[January 2025 - Issued Qty]]*Table13[[#This Row],[Unit Cost]]</f>
        <v>0</v>
      </c>
      <c r="J19" s="95">
        <f>Table13[[#This Row],[Quantity on Hand]]-Table13[[#This Row],[January 2025 - Issued Qty]]</f>
        <v>1</v>
      </c>
      <c r="K19" s="207">
        <f>Table13[[#This Row],[January 2025 - Balance Qty]]*Table13[[#This Row],[Unit Cost]]</f>
        <v>120</v>
      </c>
      <c r="L19" s="205">
        <v>0</v>
      </c>
      <c r="M19" s="206">
        <v>0</v>
      </c>
      <c r="N19" s="208">
        <f>Table13[[#This Row],[Incoming Unit Cost]]*Table13[[#This Row],[Incoming Qty]]</f>
        <v>0</v>
      </c>
      <c r="O19" s="206">
        <f>SUMIF(Table32[Item],Table13[[#This Row],[Decription]],Table32[Quantity Issued])</f>
        <v>1</v>
      </c>
      <c r="P19" s="206">
        <f>Table13[[#This Row],[Unit Cost]]*Table13[[#This Row],[February 2025 - Issued Qty]]</f>
        <v>120</v>
      </c>
      <c r="Q19" s="95">
        <f>(Table13[[#This Row],[January 2025 - Balance Qty]]-Table13[[#This Row],[February 2025 - Issued Qty]])+Table13[[#This Row],[Incoming Qty]]</f>
        <v>0</v>
      </c>
      <c r="R19" s="207">
        <f>Table13[[#This Row],[February 2025 - Balance Qty]]*Table13[[#This Row],[Unit Cost]]</f>
        <v>0</v>
      </c>
      <c r="S19" s="205">
        <v>0</v>
      </c>
      <c r="T19" s="206">
        <v>0</v>
      </c>
      <c r="U19" s="208">
        <f>Table13[[#This Row],[Incoming Unit Cost]]*Table13[[#This Row],[Incoming Qty]]</f>
        <v>0</v>
      </c>
      <c r="V19" s="206">
        <f>SUMIF(Table3267[Item],Table13[[#This Row],[Decription]],Table3267[Quantity Issued])</f>
        <v>0</v>
      </c>
      <c r="W19" s="206">
        <f>Table13[[#This Row],[Unit Cost]]*Table13[[#This Row],[March 2025 - Issued Qty]]</f>
        <v>0</v>
      </c>
      <c r="X19" s="219">
        <f>(Table13[[#This Row],[February 2025 - Balance Qty]]-Table13[[#This Row],[March 2025 - Issued Qty]])+Table13[[#This Row],[Incoming Qty]]</f>
        <v>0</v>
      </c>
      <c r="Y19" s="207">
        <f>Table13[[#This Row],[March 2025 - Balance Qty]]*Table13[[#This Row],[Unit Cost]]</f>
        <v>0</v>
      </c>
      <c r="Z19" s="205">
        <v>0</v>
      </c>
      <c r="AA19" s="206">
        <v>0</v>
      </c>
      <c r="AB19" s="208">
        <f>Table13[[#This Row],[Incoming Unit Cost]]*Table13[[#This Row],[Incoming Qty]]</f>
        <v>0</v>
      </c>
      <c r="AC19" s="206">
        <f>SUMIF(Table326[Item],Table13[[#This Row],[Decription]],Table326[Quantity Issued])</f>
        <v>0</v>
      </c>
      <c r="AD19" s="206">
        <f>Table13[[#This Row],[Unit Cost]]*Table13[[#This Row],[April 2025 - Issued Qty ]]</f>
        <v>0</v>
      </c>
      <c r="AE19" s="219">
        <f>(Table13[[#This Row],[March 2025 - Balance Qty]]-Table13[[#This Row],[April 2025 - Issued Qty ]])+Table13[[#This Row],[Incoming Qty ]]</f>
        <v>0</v>
      </c>
      <c r="AF19" s="207">
        <f>Table13[[#This Row],[April 2025 - Balance Qty]]*Table13[[#This Row],[Unit Cost]]</f>
        <v>0</v>
      </c>
      <c r="AG19" s="207"/>
    </row>
    <row r="20" spans="1:33">
      <c r="A20" t="s">
        <v>77</v>
      </c>
      <c r="B20" t="s">
        <v>98</v>
      </c>
      <c r="C20" t="s">
        <v>46</v>
      </c>
      <c r="D20" t="s">
        <v>27</v>
      </c>
      <c r="E20" s="204">
        <v>3</v>
      </c>
      <c r="F20" s="204">
        <v>276</v>
      </c>
      <c r="G20" s="204">
        <f>Table13[[#This Row],[Unit Cost]]*Table13[[#This Row],[Quantity on Hand]]</f>
        <v>828</v>
      </c>
      <c r="H20" s="205">
        <f>SUMIF(Table3[Item],Table13[[#This Row],[Decription]],Table3[Quantity Issued])</f>
        <v>3</v>
      </c>
      <c r="I20" s="206">
        <f>Table13[[#This Row],[January 2025 - Issued Qty]]*Table13[[#This Row],[Unit Cost]]</f>
        <v>828</v>
      </c>
      <c r="J20" s="95">
        <f>Table13[[#This Row],[Quantity on Hand]]-Table13[[#This Row],[January 2025 - Issued Qty]]</f>
        <v>0</v>
      </c>
      <c r="K20" s="207">
        <f>Table13[[#This Row],[January 2025 - Balance Qty]]*Table13[[#This Row],[Unit Cost]]</f>
        <v>0</v>
      </c>
      <c r="L20" s="205">
        <v>0</v>
      </c>
      <c r="M20" s="206">
        <v>0</v>
      </c>
      <c r="N20" s="208">
        <f>Table13[[#This Row],[Incoming Unit Cost]]*Table13[[#This Row],[Incoming Qty]]</f>
        <v>0</v>
      </c>
      <c r="O20" s="206">
        <f>SUMIF(Table32[Item],Table13[[#This Row],[Decription]],Table32[Quantity Issued])</f>
        <v>0</v>
      </c>
      <c r="P20" s="206">
        <f>Table13[[#This Row],[Unit Cost]]*Table13[[#This Row],[February 2025 - Issued Qty]]</f>
        <v>0</v>
      </c>
      <c r="Q20" s="95">
        <f>(Table13[[#This Row],[January 2025 - Balance Qty]]-Table13[[#This Row],[February 2025 - Issued Qty]])+Table13[[#This Row],[Incoming Qty]]</f>
        <v>0</v>
      </c>
      <c r="R20" s="207">
        <f>Table13[[#This Row],[February 2025 - Balance Qty]]*Table13[[#This Row],[Unit Cost]]</f>
        <v>0</v>
      </c>
      <c r="S20" s="205">
        <v>0</v>
      </c>
      <c r="T20" s="206">
        <v>0</v>
      </c>
      <c r="U20" s="208">
        <f>Table13[[#This Row],[Incoming Unit Cost]]*Table13[[#This Row],[Incoming Qty]]</f>
        <v>0</v>
      </c>
      <c r="V20" s="206">
        <f>SUMIF(Table3267[Item],Table13[[#This Row],[Decription]],Table3267[Quantity Issued])</f>
        <v>0</v>
      </c>
      <c r="W20" s="206">
        <f>Table13[[#This Row],[Unit Cost]]*Table13[[#This Row],[March 2025 - Issued Qty]]</f>
        <v>0</v>
      </c>
      <c r="X20" s="219">
        <f>(Table13[[#This Row],[February 2025 - Balance Qty]]-Table13[[#This Row],[March 2025 - Issued Qty]])+Table13[[#This Row],[Incoming Qty]]</f>
        <v>0</v>
      </c>
      <c r="Y20" s="207">
        <f>Table13[[#This Row],[March 2025 - Balance Qty]]*Table13[[#This Row],[Unit Cost]]</f>
        <v>0</v>
      </c>
      <c r="Z20" s="205">
        <v>0</v>
      </c>
      <c r="AA20" s="206">
        <v>0</v>
      </c>
      <c r="AB20" s="208">
        <f>Table13[[#This Row],[Incoming Unit Cost]]*Table13[[#This Row],[Incoming Qty]]</f>
        <v>0</v>
      </c>
      <c r="AC20" s="206">
        <f>SUMIF(Table326[Item],Table13[[#This Row],[Decription]],Table326[Quantity Issued])</f>
        <v>0</v>
      </c>
      <c r="AD20" s="206">
        <f>Table13[[#This Row],[Unit Cost]]*Table13[[#This Row],[April 2025 - Issued Qty ]]</f>
        <v>0</v>
      </c>
      <c r="AE20" s="219">
        <f>(Table13[[#This Row],[March 2025 - Balance Qty]]-Table13[[#This Row],[April 2025 - Issued Qty ]])+Table13[[#This Row],[Incoming Qty ]]</f>
        <v>0</v>
      </c>
      <c r="AF20" s="207">
        <f>Table13[[#This Row],[April 2025 - Balance Qty]]*Table13[[#This Row],[Unit Cost]]</f>
        <v>0</v>
      </c>
      <c r="AG20" s="207"/>
    </row>
    <row r="21" spans="1:33">
      <c r="A21" t="s">
        <v>77</v>
      </c>
      <c r="B21" t="s">
        <v>98</v>
      </c>
      <c r="C21" t="s">
        <v>49</v>
      </c>
      <c r="D21" t="s">
        <v>29</v>
      </c>
      <c r="E21" s="204">
        <v>13</v>
      </c>
      <c r="F21" s="204">
        <v>47.93</v>
      </c>
      <c r="G21" s="204">
        <f>Table13[[#This Row],[Unit Cost]]*Table13[[#This Row],[Quantity on Hand]]</f>
        <v>623.09</v>
      </c>
      <c r="H21" s="205">
        <f>SUMIF(Table3[Item],Table13[[#This Row],[Decription]],Table3[Quantity Issued])</f>
        <v>1</v>
      </c>
      <c r="I21" s="206">
        <f>Table13[[#This Row],[January 2025 - Issued Qty]]*Table13[[#This Row],[Unit Cost]]</f>
        <v>47.93</v>
      </c>
      <c r="J21" s="95">
        <f>Table13[[#This Row],[Quantity on Hand]]-Table13[[#This Row],[January 2025 - Issued Qty]]</f>
        <v>12</v>
      </c>
      <c r="K21" s="207">
        <f>Table13[[#This Row],[January 2025 - Balance Qty]]*Table13[[#This Row],[Unit Cost]]</f>
        <v>575.16</v>
      </c>
      <c r="L21" s="205">
        <v>0</v>
      </c>
      <c r="M21" s="206">
        <v>0</v>
      </c>
      <c r="N21" s="208">
        <f>Table13[[#This Row],[Incoming Unit Cost]]*Table13[[#This Row],[Incoming Qty]]</f>
        <v>0</v>
      </c>
      <c r="O21" s="206">
        <f>SUMIF(Table32[Item],Table13[[#This Row],[Decription]],Table32[Quantity Issued])</f>
        <v>4</v>
      </c>
      <c r="P21" s="206">
        <f>Table13[[#This Row],[Unit Cost]]*Table13[[#This Row],[February 2025 - Issued Qty]]</f>
        <v>191.72</v>
      </c>
      <c r="Q21" s="95">
        <f>(Table13[[#This Row],[January 2025 - Balance Qty]]-Table13[[#This Row],[February 2025 - Issued Qty]])+Table13[[#This Row],[Incoming Qty]]</f>
        <v>8</v>
      </c>
      <c r="R21" s="207">
        <f>Table13[[#This Row],[February 2025 - Balance Qty]]*Table13[[#This Row],[Unit Cost]]</f>
        <v>383.44</v>
      </c>
      <c r="S21" s="205">
        <v>0</v>
      </c>
      <c r="T21" s="206">
        <v>0</v>
      </c>
      <c r="U21" s="208">
        <f>Table13[[#This Row],[Incoming Unit Cost]]*Table13[[#This Row],[Incoming Qty]]</f>
        <v>0</v>
      </c>
      <c r="V21" s="206">
        <f>SUMIF(Table3267[Item],Table13[[#This Row],[Decription]],Table3267[Quantity Issued])</f>
        <v>6</v>
      </c>
      <c r="W21" s="206">
        <f>Table13[[#This Row],[Unit Cost]]*Table13[[#This Row],[March 2025 - Issued Qty]]</f>
        <v>287.58</v>
      </c>
      <c r="X21" s="219">
        <f>(Table13[[#This Row],[February 2025 - Balance Qty]]-Table13[[#This Row],[March 2025 - Issued Qty]])+Table13[[#This Row],[Incoming Qty]]</f>
        <v>2</v>
      </c>
      <c r="Y21" s="207">
        <f>Table13[[#This Row],[March 2025 - Balance Qty]]*Table13[[#This Row],[Unit Cost]]</f>
        <v>95.86</v>
      </c>
      <c r="Z21" s="205">
        <v>0</v>
      </c>
      <c r="AA21" s="206">
        <v>0</v>
      </c>
      <c r="AB21" s="208">
        <f>Table13[[#This Row],[Incoming Unit Cost]]*Table13[[#This Row],[Incoming Qty]]</f>
        <v>0</v>
      </c>
      <c r="AC21" s="206">
        <f>SUMIF(Table326[Item],Table13[[#This Row],[Decription]],Table326[Quantity Issued])</f>
        <v>1</v>
      </c>
      <c r="AD21" s="206">
        <f>Table13[[#This Row],[Unit Cost]]*Table13[[#This Row],[April 2025 - Issued Qty ]]</f>
        <v>47.93</v>
      </c>
      <c r="AE21" s="219">
        <f>(Table13[[#This Row],[March 2025 - Balance Qty]]-Table13[[#This Row],[April 2025 - Issued Qty ]])+Table13[[#This Row],[Incoming Qty ]]</f>
        <v>1</v>
      </c>
      <c r="AF21" s="207">
        <f>Table13[[#This Row],[April 2025 - Balance Qty]]*Table13[[#This Row],[Unit Cost]]</f>
        <v>47.93</v>
      </c>
      <c r="AG21" s="207"/>
    </row>
    <row r="22" spans="1:33">
      <c r="A22" t="s">
        <v>77</v>
      </c>
      <c r="B22" t="s">
        <v>98</v>
      </c>
      <c r="C22" t="s">
        <v>102</v>
      </c>
      <c r="D22" t="s">
        <v>29</v>
      </c>
      <c r="E22" s="204">
        <v>7</v>
      </c>
      <c r="F22" s="204">
        <v>100</v>
      </c>
      <c r="G22" s="204">
        <f>Table13[[#This Row],[Unit Cost]]*Table13[[#This Row],[Quantity on Hand]]</f>
        <v>700</v>
      </c>
      <c r="H22" s="205">
        <f>SUMIF(Table3[Item],Table13[[#This Row],[Decription]],Table3[Quantity Issued])</f>
        <v>0</v>
      </c>
      <c r="I22" s="206">
        <f>Table13[[#This Row],[January 2025 - Issued Qty]]*Table13[[#This Row],[Unit Cost]]</f>
        <v>0</v>
      </c>
      <c r="J22" s="95">
        <f>Table13[[#This Row],[Quantity on Hand]]-Table13[[#This Row],[January 2025 - Issued Qty]]</f>
        <v>7</v>
      </c>
      <c r="K22" s="207">
        <f>Table13[[#This Row],[January 2025 - Balance Qty]]*Table13[[#This Row],[Unit Cost]]</f>
        <v>700</v>
      </c>
      <c r="L22" s="205">
        <v>0</v>
      </c>
      <c r="M22" s="206">
        <v>0</v>
      </c>
      <c r="N22" s="208">
        <f>Table13[[#This Row],[Incoming Unit Cost]]*Table13[[#This Row],[Incoming Qty]]</f>
        <v>0</v>
      </c>
      <c r="O22" s="206">
        <f>SUMIF(Table32[Item],Table13[[#This Row],[Decription]],Table32[Quantity Issued])</f>
        <v>4</v>
      </c>
      <c r="P22" s="206">
        <f>Table13[[#This Row],[Unit Cost]]*Table13[[#This Row],[February 2025 - Issued Qty]]</f>
        <v>400</v>
      </c>
      <c r="Q22" s="95">
        <f>(Table13[[#This Row],[January 2025 - Balance Qty]]-Table13[[#This Row],[February 2025 - Issued Qty]])+Table13[[#This Row],[Incoming Qty]]</f>
        <v>3</v>
      </c>
      <c r="R22" s="207">
        <f>Table13[[#This Row],[February 2025 - Balance Qty]]*Table13[[#This Row],[Unit Cost]]</f>
        <v>300</v>
      </c>
      <c r="S22" s="205">
        <v>0</v>
      </c>
      <c r="T22" s="206">
        <v>0</v>
      </c>
      <c r="U22" s="208">
        <f>Table13[[#This Row],[Incoming Unit Cost]]*Table13[[#This Row],[Incoming Qty]]</f>
        <v>0</v>
      </c>
      <c r="V22" s="206">
        <f>SUMIF(Table3267[Item],Table13[[#This Row],[Decription]],Table3267[Quantity Issued])</f>
        <v>2</v>
      </c>
      <c r="W22" s="206">
        <f>Table13[[#This Row],[Unit Cost]]*Table13[[#This Row],[March 2025 - Issued Qty]]</f>
        <v>200</v>
      </c>
      <c r="X22" s="219">
        <f>(Table13[[#This Row],[February 2025 - Balance Qty]]-Table13[[#This Row],[March 2025 - Issued Qty]])+Table13[[#This Row],[Incoming Qty]]</f>
        <v>1</v>
      </c>
      <c r="Y22" s="207">
        <f>Table13[[#This Row],[March 2025 - Balance Qty]]*Table13[[#This Row],[Unit Cost]]</f>
        <v>100</v>
      </c>
      <c r="Z22" s="205">
        <v>0</v>
      </c>
      <c r="AA22" s="206">
        <v>0</v>
      </c>
      <c r="AB22" s="208">
        <f>Table13[[#This Row],[Incoming Unit Cost]]*Table13[[#This Row],[Incoming Qty]]</f>
        <v>0</v>
      </c>
      <c r="AC22" s="206">
        <f>SUMIF(Table326[Item],Table13[[#This Row],[Decription]],Table326[Quantity Issued])</f>
        <v>0</v>
      </c>
      <c r="AD22" s="206">
        <f>Table13[[#This Row],[Unit Cost]]*Table13[[#This Row],[April 2025 - Issued Qty ]]</f>
        <v>0</v>
      </c>
      <c r="AE22" s="219">
        <f>(Table13[[#This Row],[March 2025 - Balance Qty]]-Table13[[#This Row],[April 2025 - Issued Qty ]])+Table13[[#This Row],[Incoming Qty ]]</f>
        <v>1</v>
      </c>
      <c r="AF22" s="207">
        <f>Table13[[#This Row],[April 2025 - Balance Qty]]*Table13[[#This Row],[Unit Cost]]</f>
        <v>100</v>
      </c>
      <c r="AG22" s="207"/>
    </row>
    <row r="23" spans="1:33">
      <c r="A23" t="s">
        <v>77</v>
      </c>
      <c r="B23" t="s">
        <v>98</v>
      </c>
      <c r="C23" t="s">
        <v>47</v>
      </c>
      <c r="D23" t="s">
        <v>29</v>
      </c>
      <c r="E23" s="204">
        <v>17</v>
      </c>
      <c r="F23" s="204">
        <v>34.33</v>
      </c>
      <c r="G23" s="204">
        <f>Table13[[#This Row],[Unit Cost]]*Table13[[#This Row],[Quantity on Hand]]</f>
        <v>583.61</v>
      </c>
      <c r="H23" s="205">
        <f>SUMIF(Table3[Item],Table13[[#This Row],[Decription]],Table3[Quantity Issued])</f>
        <v>1</v>
      </c>
      <c r="I23" s="206">
        <f>Table13[[#This Row],[January 2025 - Issued Qty]]*Table13[[#This Row],[Unit Cost]]</f>
        <v>34.33</v>
      </c>
      <c r="J23" s="95">
        <f>Table13[[#This Row],[Quantity on Hand]]-Table13[[#This Row],[January 2025 - Issued Qty]]</f>
        <v>16</v>
      </c>
      <c r="K23" s="207">
        <f>Table13[[#This Row],[January 2025 - Balance Qty]]*Table13[[#This Row],[Unit Cost]]</f>
        <v>549.28</v>
      </c>
      <c r="L23" s="205">
        <v>0</v>
      </c>
      <c r="M23" s="206">
        <v>0</v>
      </c>
      <c r="N23" s="208">
        <f>Table13[[#This Row],[Incoming Unit Cost]]*Table13[[#This Row],[Incoming Qty]]</f>
        <v>0</v>
      </c>
      <c r="O23" s="206">
        <f>SUMIF(Table32[Item],Table13[[#This Row],[Decription]],Table32[Quantity Issued])</f>
        <v>2</v>
      </c>
      <c r="P23" s="206">
        <f>Table13[[#This Row],[Unit Cost]]*Table13[[#This Row],[February 2025 - Issued Qty]]</f>
        <v>68.66</v>
      </c>
      <c r="Q23" s="95">
        <f>(Table13[[#This Row],[January 2025 - Balance Qty]]-Table13[[#This Row],[February 2025 - Issued Qty]])+Table13[[#This Row],[Incoming Qty]]</f>
        <v>14</v>
      </c>
      <c r="R23" s="207">
        <f>Table13[[#This Row],[February 2025 - Balance Qty]]*Table13[[#This Row],[Unit Cost]]</f>
        <v>480.62</v>
      </c>
      <c r="S23" s="205">
        <v>0</v>
      </c>
      <c r="T23" s="206">
        <v>0</v>
      </c>
      <c r="U23" s="208">
        <f>Table13[[#This Row],[Incoming Unit Cost]]*Table13[[#This Row],[Incoming Qty]]</f>
        <v>0</v>
      </c>
      <c r="V23" s="206">
        <f>SUMIF(Table3267[Item],Table13[[#This Row],[Decription]],Table3267[Quantity Issued])</f>
        <v>1</v>
      </c>
      <c r="W23" s="206">
        <f>Table13[[#This Row],[Unit Cost]]*Table13[[#This Row],[March 2025 - Issued Qty]]</f>
        <v>34.33</v>
      </c>
      <c r="X23" s="219">
        <f>(Table13[[#This Row],[February 2025 - Balance Qty]]-Table13[[#This Row],[March 2025 - Issued Qty]])+Table13[[#This Row],[Incoming Qty]]</f>
        <v>13</v>
      </c>
      <c r="Y23" s="207">
        <f>Table13[[#This Row],[March 2025 - Balance Qty]]*Table13[[#This Row],[Unit Cost]]</f>
        <v>446.28999999999996</v>
      </c>
      <c r="Z23" s="205">
        <v>0</v>
      </c>
      <c r="AA23" s="206">
        <v>0</v>
      </c>
      <c r="AB23" s="208">
        <f>Table13[[#This Row],[Incoming Unit Cost]]*Table13[[#This Row],[Incoming Qty]]</f>
        <v>0</v>
      </c>
      <c r="AC23" s="206">
        <f>SUMIF(Table326[Item],Table13[[#This Row],[Decription]],Table326[Quantity Issued])</f>
        <v>5</v>
      </c>
      <c r="AD23" s="206">
        <f>Table13[[#This Row],[Unit Cost]]*Table13[[#This Row],[April 2025 - Issued Qty ]]</f>
        <v>171.64999999999998</v>
      </c>
      <c r="AE23" s="219">
        <f>(Table13[[#This Row],[March 2025 - Balance Qty]]-Table13[[#This Row],[April 2025 - Issued Qty ]])+Table13[[#This Row],[Incoming Qty ]]</f>
        <v>8</v>
      </c>
      <c r="AF23" s="207">
        <f>Table13[[#This Row],[April 2025 - Balance Qty]]*Table13[[#This Row],[Unit Cost]]</f>
        <v>274.64</v>
      </c>
      <c r="AG23" s="207"/>
    </row>
    <row r="24" spans="1:33">
      <c r="A24" t="s">
        <v>77</v>
      </c>
      <c r="B24" t="s">
        <v>98</v>
      </c>
      <c r="C24" t="s">
        <v>48</v>
      </c>
      <c r="D24" t="s">
        <v>27</v>
      </c>
      <c r="E24" s="204">
        <v>150</v>
      </c>
      <c r="F24" s="204">
        <v>3.875</v>
      </c>
      <c r="G24" s="204">
        <f>Table13[[#This Row],[Unit Cost]]*Table13[[#This Row],[Quantity on Hand]]</f>
        <v>581.25</v>
      </c>
      <c r="H24" s="205">
        <f>SUMIF(Table3[Item],Table13[[#This Row],[Decription]],Table3[Quantity Issued])</f>
        <v>9</v>
      </c>
      <c r="I24" s="206">
        <f>Table13[[#This Row],[January 2025 - Issued Qty]]*Table13[[#This Row],[Unit Cost]]</f>
        <v>34.875</v>
      </c>
      <c r="J24" s="95">
        <f>Table13[[#This Row],[Quantity on Hand]]-Table13[[#This Row],[January 2025 - Issued Qty]]</f>
        <v>141</v>
      </c>
      <c r="K24" s="207">
        <f>Table13[[#This Row],[January 2025 - Balance Qty]]*Table13[[#This Row],[Unit Cost]]</f>
        <v>546.375</v>
      </c>
      <c r="L24" s="205">
        <v>0</v>
      </c>
      <c r="M24" s="206">
        <v>0</v>
      </c>
      <c r="N24" s="208">
        <f>Table13[[#This Row],[Incoming Unit Cost]]*Table13[[#This Row],[Incoming Qty]]</f>
        <v>0</v>
      </c>
      <c r="O24" s="206">
        <f>SUMIF(Table32[Item],Table13[[#This Row],[Decription]],Table32[Quantity Issued])</f>
        <v>36</v>
      </c>
      <c r="P24" s="206">
        <f>Table13[[#This Row],[Unit Cost]]*Table13[[#This Row],[February 2025 - Issued Qty]]</f>
        <v>139.5</v>
      </c>
      <c r="Q24" s="95">
        <f>(Table13[[#This Row],[January 2025 - Balance Qty]]-Table13[[#This Row],[February 2025 - Issued Qty]])+Table13[[#This Row],[Incoming Qty]]</f>
        <v>105</v>
      </c>
      <c r="R24" s="207">
        <f>Table13[[#This Row],[February 2025 - Balance Qty]]*Table13[[#This Row],[Unit Cost]]</f>
        <v>406.875</v>
      </c>
      <c r="S24" s="205">
        <v>0</v>
      </c>
      <c r="T24" s="206">
        <v>0</v>
      </c>
      <c r="U24" s="208">
        <f>Table13[[#This Row],[Incoming Unit Cost]]*Table13[[#This Row],[Incoming Qty]]</f>
        <v>0</v>
      </c>
      <c r="V24" s="206">
        <f>SUMIF(Table3267[Item],Table13[[#This Row],[Decription]],Table3267[Quantity Issued])</f>
        <v>32</v>
      </c>
      <c r="W24" s="206">
        <f>Table13[[#This Row],[Unit Cost]]*Table13[[#This Row],[March 2025 - Issued Qty]]</f>
        <v>124</v>
      </c>
      <c r="X24" s="219">
        <f>(Table13[[#This Row],[February 2025 - Balance Qty]]-Table13[[#This Row],[March 2025 - Issued Qty]])+Table13[[#This Row],[Incoming Qty]]</f>
        <v>73</v>
      </c>
      <c r="Y24" s="207">
        <f>Table13[[#This Row],[March 2025 - Balance Qty]]*Table13[[#This Row],[Unit Cost]]</f>
        <v>282.875</v>
      </c>
      <c r="Z24" s="205">
        <v>0</v>
      </c>
      <c r="AA24" s="206">
        <v>0</v>
      </c>
      <c r="AB24" s="208">
        <f>Table13[[#This Row],[Incoming Unit Cost]]*Table13[[#This Row],[Incoming Qty]]</f>
        <v>0</v>
      </c>
      <c r="AC24" s="206">
        <f>SUMIF(Table326[Item],Table13[[#This Row],[Decription]],Table326[Quantity Issued])</f>
        <v>0</v>
      </c>
      <c r="AD24" s="206">
        <f>Table13[[#This Row],[Unit Cost]]*Table13[[#This Row],[April 2025 - Issued Qty ]]</f>
        <v>0</v>
      </c>
      <c r="AE24" s="219">
        <f>(Table13[[#This Row],[March 2025 - Balance Qty]]-Table13[[#This Row],[April 2025 - Issued Qty ]])+Table13[[#This Row],[Incoming Qty ]]</f>
        <v>73</v>
      </c>
      <c r="AF24" s="207">
        <f>Table13[[#This Row],[April 2025 - Balance Qty]]*Table13[[#This Row],[Unit Cost]]</f>
        <v>282.875</v>
      </c>
      <c r="AG24" s="207"/>
    </row>
    <row r="25" spans="1:33">
      <c r="A25" t="s">
        <v>77</v>
      </c>
      <c r="B25" t="s">
        <v>98</v>
      </c>
      <c r="C25" t="s">
        <v>103</v>
      </c>
      <c r="D25" t="s">
        <v>27</v>
      </c>
      <c r="E25" s="204">
        <v>5</v>
      </c>
      <c r="F25" s="204">
        <v>170</v>
      </c>
      <c r="G25" s="204">
        <f>Table13[[#This Row],[Unit Cost]]*Table13[[#This Row],[Quantity on Hand]]</f>
        <v>850</v>
      </c>
      <c r="H25" s="205">
        <f>SUMIF(Table3[Item],Table13[[#This Row],[Decription]],Table3[Quantity Issued])</f>
        <v>0</v>
      </c>
      <c r="I25" s="206">
        <f>Table13[[#This Row],[January 2025 - Issued Qty]]*Table13[[#This Row],[Unit Cost]]</f>
        <v>0</v>
      </c>
      <c r="J25" s="95">
        <f>Table13[[#This Row],[Quantity on Hand]]-Table13[[#This Row],[January 2025 - Issued Qty]]</f>
        <v>5</v>
      </c>
      <c r="K25" s="207">
        <f>Table13[[#This Row],[January 2025 - Balance Qty]]*Table13[[#This Row],[Unit Cost]]</f>
        <v>850</v>
      </c>
      <c r="L25" s="205">
        <v>0</v>
      </c>
      <c r="M25" s="206">
        <v>0</v>
      </c>
      <c r="N25" s="208">
        <f>Table13[[#This Row],[Incoming Unit Cost]]*Table13[[#This Row],[Incoming Qty]]</f>
        <v>0</v>
      </c>
      <c r="O25" s="206">
        <f>SUMIF(Table32[Item],Table13[[#This Row],[Decription]],Table32[Quantity Issued])</f>
        <v>0</v>
      </c>
      <c r="P25" s="206">
        <f>Table13[[#This Row],[Unit Cost]]*Table13[[#This Row],[February 2025 - Issued Qty]]</f>
        <v>0</v>
      </c>
      <c r="Q25" s="95">
        <f>(Table13[[#This Row],[January 2025 - Balance Qty]]-Table13[[#This Row],[February 2025 - Issued Qty]])+Table13[[#This Row],[Incoming Qty]]</f>
        <v>5</v>
      </c>
      <c r="R25" s="207">
        <f>Table13[[#This Row],[February 2025 - Balance Qty]]*Table13[[#This Row],[Unit Cost]]</f>
        <v>850</v>
      </c>
      <c r="S25" s="205">
        <v>0</v>
      </c>
      <c r="T25" s="206">
        <v>0</v>
      </c>
      <c r="U25" s="208">
        <f>Table13[[#This Row],[Incoming Unit Cost]]*Table13[[#This Row],[Incoming Qty]]</f>
        <v>0</v>
      </c>
      <c r="V25" s="206">
        <f>SUMIF(Table3267[Item],Table13[[#This Row],[Decription]],Table3267[Quantity Issued])</f>
        <v>0</v>
      </c>
      <c r="W25" s="206">
        <f>Table13[[#This Row],[Unit Cost]]*Table13[[#This Row],[March 2025 - Issued Qty]]</f>
        <v>0</v>
      </c>
      <c r="X25" s="219">
        <f>(Table13[[#This Row],[February 2025 - Balance Qty]]-Table13[[#This Row],[March 2025 - Issued Qty]])+Table13[[#This Row],[Incoming Qty]]</f>
        <v>5</v>
      </c>
      <c r="Y25" s="207">
        <f>Table13[[#This Row],[March 2025 - Balance Qty]]*Table13[[#This Row],[Unit Cost]]</f>
        <v>850</v>
      </c>
      <c r="Z25" s="205">
        <v>0</v>
      </c>
      <c r="AA25" s="206">
        <v>0</v>
      </c>
      <c r="AB25" s="208">
        <f>Table13[[#This Row],[Incoming Unit Cost]]*Table13[[#This Row],[Incoming Qty]]</f>
        <v>0</v>
      </c>
      <c r="AC25" s="206">
        <f>SUMIF(Table326[Item],Table13[[#This Row],[Decription]],Table326[Quantity Issued])</f>
        <v>5</v>
      </c>
      <c r="AD25" s="206">
        <f>Table13[[#This Row],[Unit Cost]]*Table13[[#This Row],[April 2025 - Issued Qty ]]</f>
        <v>850</v>
      </c>
      <c r="AE25" s="219">
        <f>(Table13[[#This Row],[March 2025 - Balance Qty]]-Table13[[#This Row],[April 2025 - Issued Qty ]])+Table13[[#This Row],[Incoming Qty ]]</f>
        <v>0</v>
      </c>
      <c r="AF25" s="207">
        <f>Table13[[#This Row],[April 2025 - Balance Qty]]*Table13[[#This Row],[Unit Cost]]</f>
        <v>0</v>
      </c>
      <c r="AG25" s="207"/>
    </row>
    <row r="26" spans="1:33">
      <c r="A26" t="s">
        <v>77</v>
      </c>
      <c r="B26" t="s">
        <v>98</v>
      </c>
      <c r="C26" t="s">
        <v>104</v>
      </c>
      <c r="D26" t="s">
        <v>100</v>
      </c>
      <c r="E26" s="204">
        <v>16</v>
      </c>
      <c r="F26" s="204">
        <v>440</v>
      </c>
      <c r="G26" s="204">
        <f>Table13[[#This Row],[Unit Cost]]*Table13[[#This Row],[Quantity on Hand]]</f>
        <v>7040</v>
      </c>
      <c r="H26" s="205">
        <f>SUMIF(Table3[Item],Table13[[#This Row],[Decription]],Table3[Quantity Issued])</f>
        <v>0</v>
      </c>
      <c r="I26" s="206">
        <f>Table13[[#This Row],[January 2025 - Issued Qty]]*Table13[[#This Row],[Unit Cost]]</f>
        <v>0</v>
      </c>
      <c r="J26" s="95">
        <f>Table13[[#This Row],[Quantity on Hand]]-Table13[[#This Row],[January 2025 - Issued Qty]]</f>
        <v>16</v>
      </c>
      <c r="K26" s="207">
        <f>Table13[[#This Row],[January 2025 - Balance Qty]]*Table13[[#This Row],[Unit Cost]]</f>
        <v>7040</v>
      </c>
      <c r="L26" s="205">
        <v>0</v>
      </c>
      <c r="M26" s="206">
        <v>0</v>
      </c>
      <c r="N26" s="208">
        <f>Table13[[#This Row],[Incoming Unit Cost]]*Table13[[#This Row],[Incoming Qty]]</f>
        <v>0</v>
      </c>
      <c r="O26" s="206">
        <f>SUMIF(Table32[Item],Table13[[#This Row],[Decription]],Table32[Quantity Issued])</f>
        <v>0</v>
      </c>
      <c r="P26" s="206">
        <f>Table13[[#This Row],[Unit Cost]]*Table13[[#This Row],[February 2025 - Issued Qty]]</f>
        <v>0</v>
      </c>
      <c r="Q26" s="95">
        <f>(Table13[[#This Row],[January 2025 - Balance Qty]]-Table13[[#This Row],[February 2025 - Issued Qty]])+Table13[[#This Row],[Incoming Qty]]</f>
        <v>16</v>
      </c>
      <c r="R26" s="207">
        <f>Table13[[#This Row],[February 2025 - Balance Qty]]*Table13[[#This Row],[Unit Cost]]</f>
        <v>7040</v>
      </c>
      <c r="S26" s="205">
        <v>0</v>
      </c>
      <c r="T26" s="206">
        <v>0</v>
      </c>
      <c r="U26" s="208">
        <f>Table13[[#This Row],[Incoming Unit Cost]]*Table13[[#This Row],[Incoming Qty]]</f>
        <v>0</v>
      </c>
      <c r="V26" s="206">
        <f>SUMIF(Table3267[Item],Table13[[#This Row],[Decription]],Table3267[Quantity Issued])</f>
        <v>0</v>
      </c>
      <c r="W26" s="206">
        <f>Table13[[#This Row],[Unit Cost]]*Table13[[#This Row],[March 2025 - Issued Qty]]</f>
        <v>0</v>
      </c>
      <c r="X26" s="219">
        <f>(Table13[[#This Row],[February 2025 - Balance Qty]]-Table13[[#This Row],[March 2025 - Issued Qty]])+Table13[[#This Row],[Incoming Qty]]</f>
        <v>16</v>
      </c>
      <c r="Y26" s="207">
        <f>Table13[[#This Row],[March 2025 - Balance Qty]]*Table13[[#This Row],[Unit Cost]]</f>
        <v>7040</v>
      </c>
      <c r="Z26" s="205">
        <v>0</v>
      </c>
      <c r="AA26" s="206">
        <v>0</v>
      </c>
      <c r="AB26" s="208">
        <f>Table13[[#This Row],[Incoming Unit Cost]]*Table13[[#This Row],[Incoming Qty]]</f>
        <v>0</v>
      </c>
      <c r="AC26" s="206">
        <f>SUMIF(Table326[Item],Table13[[#This Row],[Decription]],Table326[Quantity Issued])</f>
        <v>16</v>
      </c>
      <c r="AD26" s="206">
        <f>Table13[[#This Row],[Unit Cost]]*Table13[[#This Row],[April 2025 - Issued Qty ]]</f>
        <v>7040</v>
      </c>
      <c r="AE26" s="219">
        <f>(Table13[[#This Row],[March 2025 - Balance Qty]]-Table13[[#This Row],[April 2025 - Issued Qty ]])+Table13[[#This Row],[Incoming Qty ]]</f>
        <v>0</v>
      </c>
      <c r="AF26" s="207">
        <f>Table13[[#This Row],[April 2025 - Balance Qty]]*Table13[[#This Row],[Unit Cost]]</f>
        <v>0</v>
      </c>
      <c r="AG26" s="207"/>
    </row>
    <row r="27" spans="1:33">
      <c r="A27" t="s">
        <v>77</v>
      </c>
      <c r="B27" t="s">
        <v>98</v>
      </c>
      <c r="C27" t="s">
        <v>52</v>
      </c>
      <c r="D27" t="s">
        <v>27</v>
      </c>
      <c r="E27" s="204">
        <v>93</v>
      </c>
      <c r="F27" s="204">
        <v>20</v>
      </c>
      <c r="G27" s="204">
        <f>Table13[[#This Row],[Unit Cost]]*Table13[[#This Row],[Quantity on Hand]]</f>
        <v>1860</v>
      </c>
      <c r="H27" s="205">
        <f>SUMIF(Table3[Item],Table13[[#This Row],[Decription]],Table3[Quantity Issued])</f>
        <v>1</v>
      </c>
      <c r="I27" s="206">
        <f>Table13[[#This Row],[January 2025 - Issued Qty]]*Table13[[#This Row],[Unit Cost]]</f>
        <v>20</v>
      </c>
      <c r="J27" s="95">
        <f>Table13[[#This Row],[Quantity on Hand]]-Table13[[#This Row],[January 2025 - Issued Qty]]</f>
        <v>92</v>
      </c>
      <c r="K27" s="207">
        <f>Table13[[#This Row],[January 2025 - Balance Qty]]*Table13[[#This Row],[Unit Cost]]</f>
        <v>1840</v>
      </c>
      <c r="L27" s="205">
        <v>0</v>
      </c>
      <c r="M27" s="206">
        <v>0</v>
      </c>
      <c r="N27" s="208">
        <f>Table13[[#This Row],[Incoming Unit Cost]]*Table13[[#This Row],[Incoming Qty]]</f>
        <v>0</v>
      </c>
      <c r="O27" s="206">
        <f>SUMIF(Table32[Item],Table13[[#This Row],[Decription]],Table32[Quantity Issued])</f>
        <v>0</v>
      </c>
      <c r="P27" s="206">
        <f>Table13[[#This Row],[Unit Cost]]*Table13[[#This Row],[February 2025 - Issued Qty]]</f>
        <v>0</v>
      </c>
      <c r="Q27" s="95">
        <f>(Table13[[#This Row],[January 2025 - Balance Qty]]-Table13[[#This Row],[February 2025 - Issued Qty]])+Table13[[#This Row],[Incoming Qty]]</f>
        <v>92</v>
      </c>
      <c r="R27" s="207">
        <f>Table13[[#This Row],[February 2025 - Balance Qty]]*Table13[[#This Row],[Unit Cost]]</f>
        <v>1840</v>
      </c>
      <c r="S27" s="205">
        <v>0</v>
      </c>
      <c r="T27" s="206">
        <v>0</v>
      </c>
      <c r="U27" s="208">
        <f>Table13[[#This Row],[Incoming Unit Cost]]*Table13[[#This Row],[Incoming Qty]]</f>
        <v>0</v>
      </c>
      <c r="V27" s="206">
        <f>SUMIF(Table3267[Item],Table13[[#This Row],[Decription]],Table3267[Quantity Issued])</f>
        <v>4</v>
      </c>
      <c r="W27" s="206">
        <f>Table13[[#This Row],[Unit Cost]]*Table13[[#This Row],[March 2025 - Issued Qty]]</f>
        <v>80</v>
      </c>
      <c r="X27" s="219">
        <f>(Table13[[#This Row],[February 2025 - Balance Qty]]-Table13[[#This Row],[March 2025 - Issued Qty]])+Table13[[#This Row],[Incoming Qty]]</f>
        <v>88</v>
      </c>
      <c r="Y27" s="207">
        <f>Table13[[#This Row],[March 2025 - Balance Qty]]*Table13[[#This Row],[Unit Cost]]</f>
        <v>1760</v>
      </c>
      <c r="Z27" s="205">
        <v>0</v>
      </c>
      <c r="AA27" s="206">
        <v>0</v>
      </c>
      <c r="AB27" s="208">
        <f>Table13[[#This Row],[Incoming Unit Cost]]*Table13[[#This Row],[Incoming Qty]]</f>
        <v>0</v>
      </c>
      <c r="AC27" s="206">
        <f>SUMIF(Table326[Item],Table13[[#This Row],[Decription]],Table326[Quantity Issued])</f>
        <v>0</v>
      </c>
      <c r="AD27" s="206">
        <f>Table13[[#This Row],[Unit Cost]]*Table13[[#This Row],[April 2025 - Issued Qty ]]</f>
        <v>0</v>
      </c>
      <c r="AE27" s="219">
        <f>(Table13[[#This Row],[March 2025 - Balance Qty]]-Table13[[#This Row],[April 2025 - Issued Qty ]])+Table13[[#This Row],[Incoming Qty ]]</f>
        <v>88</v>
      </c>
      <c r="AF27" s="207">
        <f>Table13[[#This Row],[April 2025 - Balance Qty]]*Table13[[#This Row],[Unit Cost]]</f>
        <v>1760</v>
      </c>
      <c r="AG27" s="207"/>
    </row>
    <row r="28" spans="1:33">
      <c r="A28" t="s">
        <v>77</v>
      </c>
      <c r="B28" t="s">
        <v>98</v>
      </c>
      <c r="C28" t="s">
        <v>53</v>
      </c>
      <c r="D28" t="s">
        <v>27</v>
      </c>
      <c r="E28" s="204">
        <v>37</v>
      </c>
      <c r="F28" s="204">
        <v>20</v>
      </c>
      <c r="G28" s="204">
        <f>Table13[[#This Row],[Unit Cost]]*Table13[[#This Row],[Quantity on Hand]]</f>
        <v>740</v>
      </c>
      <c r="H28" s="205">
        <f>SUMIF(Table3[Item],Table13[[#This Row],[Decription]],Table3[Quantity Issued])</f>
        <v>1</v>
      </c>
      <c r="I28" s="206">
        <f>Table13[[#This Row],[January 2025 - Issued Qty]]*Table13[[#This Row],[Unit Cost]]</f>
        <v>20</v>
      </c>
      <c r="J28" s="95">
        <f>Table13[[#This Row],[Quantity on Hand]]-Table13[[#This Row],[January 2025 - Issued Qty]]</f>
        <v>36</v>
      </c>
      <c r="K28" s="207">
        <f>Table13[[#This Row],[January 2025 - Balance Qty]]*Table13[[#This Row],[Unit Cost]]</f>
        <v>720</v>
      </c>
      <c r="L28" s="205">
        <v>0</v>
      </c>
      <c r="M28" s="206">
        <v>0</v>
      </c>
      <c r="N28" s="208">
        <f>Table13[[#This Row],[Incoming Unit Cost]]*Table13[[#This Row],[Incoming Qty]]</f>
        <v>0</v>
      </c>
      <c r="O28" s="206">
        <f>SUMIF(Table32[Item],Table13[[#This Row],[Decription]],Table32[Quantity Issued])</f>
        <v>0</v>
      </c>
      <c r="P28" s="206">
        <f>Table13[[#This Row],[Unit Cost]]*Table13[[#This Row],[February 2025 - Issued Qty]]</f>
        <v>0</v>
      </c>
      <c r="Q28" s="95">
        <f>(Table13[[#This Row],[January 2025 - Balance Qty]]-Table13[[#This Row],[February 2025 - Issued Qty]])+Table13[[#This Row],[Incoming Qty]]</f>
        <v>36</v>
      </c>
      <c r="R28" s="207">
        <f>Table13[[#This Row],[February 2025 - Balance Qty]]*Table13[[#This Row],[Unit Cost]]</f>
        <v>720</v>
      </c>
      <c r="S28" s="205">
        <v>0</v>
      </c>
      <c r="T28" s="206">
        <v>0</v>
      </c>
      <c r="U28" s="208">
        <f>Table13[[#This Row],[Incoming Unit Cost]]*Table13[[#This Row],[Incoming Qty]]</f>
        <v>0</v>
      </c>
      <c r="V28" s="206">
        <f>SUMIF(Table3267[Item],Table13[[#This Row],[Decription]],Table3267[Quantity Issued])</f>
        <v>3</v>
      </c>
      <c r="W28" s="206">
        <f>Table13[[#This Row],[Unit Cost]]*Table13[[#This Row],[March 2025 - Issued Qty]]</f>
        <v>60</v>
      </c>
      <c r="X28" s="219">
        <f>(Table13[[#This Row],[February 2025 - Balance Qty]]-Table13[[#This Row],[March 2025 - Issued Qty]])+Table13[[#This Row],[Incoming Qty]]</f>
        <v>33</v>
      </c>
      <c r="Y28" s="207">
        <f>Table13[[#This Row],[March 2025 - Balance Qty]]*Table13[[#This Row],[Unit Cost]]</f>
        <v>660</v>
      </c>
      <c r="Z28" s="205">
        <v>0</v>
      </c>
      <c r="AA28" s="206">
        <v>0</v>
      </c>
      <c r="AB28" s="208">
        <f>Table13[[#This Row],[Incoming Unit Cost]]*Table13[[#This Row],[Incoming Qty]]</f>
        <v>0</v>
      </c>
      <c r="AC28" s="206">
        <f>SUMIF(Table326[Item],Table13[[#This Row],[Decription]],Table326[Quantity Issued])</f>
        <v>0</v>
      </c>
      <c r="AD28" s="206">
        <f>Table13[[#This Row],[Unit Cost]]*Table13[[#This Row],[April 2025 - Issued Qty ]]</f>
        <v>0</v>
      </c>
      <c r="AE28" s="219">
        <f>(Table13[[#This Row],[March 2025 - Balance Qty]]-Table13[[#This Row],[April 2025 - Issued Qty ]])+Table13[[#This Row],[Incoming Qty ]]</f>
        <v>33</v>
      </c>
      <c r="AF28" s="207">
        <f>Table13[[#This Row],[April 2025 - Balance Qty]]*Table13[[#This Row],[Unit Cost]]</f>
        <v>660</v>
      </c>
      <c r="AG28" s="207"/>
    </row>
    <row r="29" spans="1:33">
      <c r="A29" t="s">
        <v>77</v>
      </c>
      <c r="B29" t="s">
        <v>98</v>
      </c>
      <c r="C29" t="s">
        <v>105</v>
      </c>
      <c r="D29" t="s">
        <v>27</v>
      </c>
      <c r="E29" s="204">
        <v>65</v>
      </c>
      <c r="F29" s="204">
        <v>27.264615299999999</v>
      </c>
      <c r="G29" s="204">
        <f>Table13[[#This Row],[Unit Cost]]*Table13[[#This Row],[Quantity on Hand]]</f>
        <v>1772.1999945</v>
      </c>
      <c r="H29" s="205">
        <f>SUMIF(Table3[Item],Table13[[#This Row],[Decription]],Table3[Quantity Issued])</f>
        <v>0</v>
      </c>
      <c r="I29" s="206">
        <f>Table13[[#This Row],[January 2025 - Issued Qty]]*Table13[[#This Row],[Unit Cost]]</f>
        <v>0</v>
      </c>
      <c r="J29" s="95">
        <f>Table13[[#This Row],[Quantity on Hand]]-Table13[[#This Row],[January 2025 - Issued Qty]]</f>
        <v>65</v>
      </c>
      <c r="K29" s="207">
        <f>Table13[[#This Row],[January 2025 - Balance Qty]]*Table13[[#This Row],[Unit Cost]]</f>
        <v>1772.1999945</v>
      </c>
      <c r="L29" s="205">
        <v>0</v>
      </c>
      <c r="M29" s="206">
        <v>0</v>
      </c>
      <c r="N29" s="208">
        <f>Table13[[#This Row],[Incoming Unit Cost]]*Table13[[#This Row],[Incoming Qty]]</f>
        <v>0</v>
      </c>
      <c r="O29" s="206">
        <f>SUMIF(Table32[Item],Table13[[#This Row],[Decription]],Table32[Quantity Issued])</f>
        <v>0</v>
      </c>
      <c r="P29" s="206">
        <f>Table13[[#This Row],[Unit Cost]]*Table13[[#This Row],[February 2025 - Issued Qty]]</f>
        <v>0</v>
      </c>
      <c r="Q29" s="95">
        <f>(Table13[[#This Row],[January 2025 - Balance Qty]]-Table13[[#This Row],[February 2025 - Issued Qty]])+Table13[[#This Row],[Incoming Qty]]</f>
        <v>65</v>
      </c>
      <c r="R29" s="207">
        <f>Table13[[#This Row],[February 2025 - Balance Qty]]*Table13[[#This Row],[Unit Cost]]</f>
        <v>1772.1999945</v>
      </c>
      <c r="S29" s="205">
        <v>0</v>
      </c>
      <c r="T29" s="206">
        <v>0</v>
      </c>
      <c r="U29" s="208">
        <f>Table13[[#This Row],[Incoming Unit Cost]]*Table13[[#This Row],[Incoming Qty]]</f>
        <v>0</v>
      </c>
      <c r="V29" s="206">
        <f>SUMIF(Table3267[Item],Table13[[#This Row],[Decription]],Table3267[Quantity Issued])</f>
        <v>12</v>
      </c>
      <c r="W29" s="206">
        <f>Table13[[#This Row],[Unit Cost]]*Table13[[#This Row],[March 2025 - Issued Qty]]</f>
        <v>327.17538359999998</v>
      </c>
      <c r="X29" s="219">
        <f>(Table13[[#This Row],[February 2025 - Balance Qty]]-Table13[[#This Row],[March 2025 - Issued Qty]])+Table13[[#This Row],[Incoming Qty]]</f>
        <v>53</v>
      </c>
      <c r="Y29" s="207">
        <f>Table13[[#This Row],[March 2025 - Balance Qty]]*Table13[[#This Row],[Unit Cost]]</f>
        <v>1445.0246109</v>
      </c>
      <c r="Z29" s="205">
        <v>0</v>
      </c>
      <c r="AA29" s="206">
        <v>0</v>
      </c>
      <c r="AB29" s="208">
        <f>Table13[[#This Row],[Incoming Unit Cost]]*Table13[[#This Row],[Incoming Qty]]</f>
        <v>0</v>
      </c>
      <c r="AC29" s="206">
        <f>SUMIF(Table326[Item],Table13[[#This Row],[Decription]],Table326[Quantity Issued])</f>
        <v>0</v>
      </c>
      <c r="AD29" s="206">
        <f>Table13[[#This Row],[Unit Cost]]*Table13[[#This Row],[April 2025 - Issued Qty ]]</f>
        <v>0</v>
      </c>
      <c r="AE29" s="219">
        <f>(Table13[[#This Row],[March 2025 - Balance Qty]]-Table13[[#This Row],[April 2025 - Issued Qty ]])+Table13[[#This Row],[Incoming Qty ]]</f>
        <v>53</v>
      </c>
      <c r="AF29" s="207">
        <f>Table13[[#This Row],[April 2025 - Balance Qty]]*Table13[[#This Row],[Unit Cost]]</f>
        <v>1445.0246109</v>
      </c>
      <c r="AG29" s="207"/>
    </row>
    <row r="30" spans="1:33">
      <c r="A30" t="s">
        <v>77</v>
      </c>
      <c r="B30" t="s">
        <v>98</v>
      </c>
      <c r="C30" t="s">
        <v>69</v>
      </c>
      <c r="D30" t="s">
        <v>27</v>
      </c>
      <c r="E30" s="204">
        <v>46</v>
      </c>
      <c r="F30" s="204">
        <v>25</v>
      </c>
      <c r="G30" s="204">
        <f>Table13[[#This Row],[Unit Cost]]*Table13[[#This Row],[Quantity on Hand]]</f>
        <v>1150</v>
      </c>
      <c r="H30" s="205">
        <f>SUMIF(Table3[Item],Table13[[#This Row],[Decription]],Table3[Quantity Issued])</f>
        <v>8</v>
      </c>
      <c r="I30" s="206">
        <f>Table13[[#This Row],[January 2025 - Issued Qty]]*Table13[[#This Row],[Unit Cost]]</f>
        <v>200</v>
      </c>
      <c r="J30" s="95">
        <f>Table13[[#This Row],[Quantity on Hand]]-Table13[[#This Row],[January 2025 - Issued Qty]]</f>
        <v>38</v>
      </c>
      <c r="K30" s="207">
        <f>Table13[[#This Row],[January 2025 - Balance Qty]]*Table13[[#This Row],[Unit Cost]]</f>
        <v>950</v>
      </c>
      <c r="L30" s="205">
        <v>0</v>
      </c>
      <c r="M30" s="206">
        <v>0</v>
      </c>
      <c r="N30" s="208">
        <f>Table13[[#This Row],[Incoming Unit Cost]]*Table13[[#This Row],[Incoming Qty]]</f>
        <v>0</v>
      </c>
      <c r="O30" s="206">
        <f>SUMIF(Table32[Item],Table13[[#This Row],[Decription]],Table32[Quantity Issued])</f>
        <v>0</v>
      </c>
      <c r="P30" s="206">
        <f>Table13[[#This Row],[Unit Cost]]*Table13[[#This Row],[February 2025 - Issued Qty]]</f>
        <v>0</v>
      </c>
      <c r="Q30" s="95">
        <f>(Table13[[#This Row],[January 2025 - Balance Qty]]-Table13[[#This Row],[February 2025 - Issued Qty]])+Table13[[#This Row],[Incoming Qty]]</f>
        <v>38</v>
      </c>
      <c r="R30" s="207">
        <f>Table13[[#This Row],[February 2025 - Balance Qty]]*Table13[[#This Row],[Unit Cost]]</f>
        <v>950</v>
      </c>
      <c r="S30" s="205">
        <v>0</v>
      </c>
      <c r="T30" s="206">
        <v>0</v>
      </c>
      <c r="U30" s="208">
        <f>Table13[[#This Row],[Incoming Unit Cost]]*Table13[[#This Row],[Incoming Qty]]</f>
        <v>0</v>
      </c>
      <c r="V30" s="206">
        <f>SUMIF(Table3267[Item],Table13[[#This Row],[Decription]],Table3267[Quantity Issued])</f>
        <v>0</v>
      </c>
      <c r="W30" s="206">
        <f>Table13[[#This Row],[Unit Cost]]*Table13[[#This Row],[March 2025 - Issued Qty]]</f>
        <v>0</v>
      </c>
      <c r="X30" s="219">
        <f>(Table13[[#This Row],[February 2025 - Balance Qty]]-Table13[[#This Row],[March 2025 - Issued Qty]])+Table13[[#This Row],[Incoming Qty]]</f>
        <v>38</v>
      </c>
      <c r="Y30" s="207">
        <f>Table13[[#This Row],[March 2025 - Balance Qty]]*Table13[[#This Row],[Unit Cost]]</f>
        <v>950</v>
      </c>
      <c r="Z30" s="205">
        <v>0</v>
      </c>
      <c r="AA30" s="206">
        <v>0</v>
      </c>
      <c r="AB30" s="208">
        <f>Table13[[#This Row],[Incoming Unit Cost]]*Table13[[#This Row],[Incoming Qty]]</f>
        <v>0</v>
      </c>
      <c r="AC30" s="206">
        <f>SUMIF(Table326[Item],Table13[[#This Row],[Decription]],Table326[Quantity Issued])</f>
        <v>33</v>
      </c>
      <c r="AD30" s="206">
        <f>Table13[[#This Row],[Unit Cost]]*Table13[[#This Row],[April 2025 - Issued Qty ]]</f>
        <v>825</v>
      </c>
      <c r="AE30" s="219">
        <f>(Table13[[#This Row],[March 2025 - Balance Qty]]-Table13[[#This Row],[April 2025 - Issued Qty ]])+Table13[[#This Row],[Incoming Qty ]]</f>
        <v>5</v>
      </c>
      <c r="AF30" s="207">
        <f>Table13[[#This Row],[April 2025 - Balance Qty]]*Table13[[#This Row],[Unit Cost]]</f>
        <v>125</v>
      </c>
      <c r="AG30" s="207"/>
    </row>
    <row r="31" spans="1:33">
      <c r="A31" t="s">
        <v>77</v>
      </c>
      <c r="B31" t="s">
        <v>98</v>
      </c>
      <c r="C31" t="s">
        <v>106</v>
      </c>
      <c r="D31" t="s">
        <v>27</v>
      </c>
      <c r="E31" s="204">
        <v>30</v>
      </c>
      <c r="F31" s="204">
        <v>110</v>
      </c>
      <c r="G31" s="204">
        <f>Table13[[#This Row],[Unit Cost]]*Table13[[#This Row],[Quantity on Hand]]</f>
        <v>3300</v>
      </c>
      <c r="H31" s="205">
        <f>SUMIF(Table3[Item],Table13[[#This Row],[Decription]],Table3[Quantity Issued])</f>
        <v>0</v>
      </c>
      <c r="I31" s="206">
        <f>Table13[[#This Row],[January 2025 - Issued Qty]]*Table13[[#This Row],[Unit Cost]]</f>
        <v>0</v>
      </c>
      <c r="J31" s="95">
        <f>Table13[[#This Row],[Quantity on Hand]]-Table13[[#This Row],[January 2025 - Issued Qty]]</f>
        <v>30</v>
      </c>
      <c r="K31" s="207">
        <f>Table13[[#This Row],[January 2025 - Balance Qty]]*Table13[[#This Row],[Unit Cost]]</f>
        <v>3300</v>
      </c>
      <c r="L31" s="205">
        <v>0</v>
      </c>
      <c r="M31" s="206">
        <v>0</v>
      </c>
      <c r="N31" s="208">
        <f>Table13[[#This Row],[Incoming Unit Cost]]*Table13[[#This Row],[Incoming Qty]]</f>
        <v>0</v>
      </c>
      <c r="O31" s="206">
        <f>SUMIF(Table32[Item],Table13[[#This Row],[Decription]],Table32[Quantity Issued])</f>
        <v>0</v>
      </c>
      <c r="P31" s="206">
        <f>Table13[[#This Row],[Unit Cost]]*Table13[[#This Row],[February 2025 - Issued Qty]]</f>
        <v>0</v>
      </c>
      <c r="Q31" s="95">
        <f>(Table13[[#This Row],[January 2025 - Balance Qty]]-Table13[[#This Row],[February 2025 - Issued Qty]])+Table13[[#This Row],[Incoming Qty]]</f>
        <v>30</v>
      </c>
      <c r="R31" s="207">
        <f>Table13[[#This Row],[February 2025 - Balance Qty]]*Table13[[#This Row],[Unit Cost]]</f>
        <v>3300</v>
      </c>
      <c r="S31" s="205">
        <v>0</v>
      </c>
      <c r="T31" s="206">
        <v>0</v>
      </c>
      <c r="U31" s="208">
        <f>Table13[[#This Row],[Incoming Unit Cost]]*Table13[[#This Row],[Incoming Qty]]</f>
        <v>0</v>
      </c>
      <c r="V31" s="206">
        <f>SUMIF(Table3267[Item],Table13[[#This Row],[Decription]],Table3267[Quantity Issued])</f>
        <v>1</v>
      </c>
      <c r="W31" s="206">
        <f>Table13[[#This Row],[Unit Cost]]*Table13[[#This Row],[March 2025 - Issued Qty]]</f>
        <v>110</v>
      </c>
      <c r="X31" s="219">
        <f>(Table13[[#This Row],[February 2025 - Balance Qty]]-Table13[[#This Row],[March 2025 - Issued Qty]])+Table13[[#This Row],[Incoming Qty]]</f>
        <v>29</v>
      </c>
      <c r="Y31" s="207">
        <f>Table13[[#This Row],[March 2025 - Balance Qty]]*Table13[[#This Row],[Unit Cost]]</f>
        <v>3190</v>
      </c>
      <c r="Z31" s="205">
        <v>0</v>
      </c>
      <c r="AA31" s="206">
        <v>0</v>
      </c>
      <c r="AB31" s="208">
        <f>Table13[[#This Row],[Incoming Unit Cost]]*Table13[[#This Row],[Incoming Qty]]</f>
        <v>0</v>
      </c>
      <c r="AC31" s="206">
        <f>SUMIF(Table326[Item],Table13[[#This Row],[Decription]],Table326[Quantity Issued])</f>
        <v>13</v>
      </c>
      <c r="AD31" s="206">
        <f>Table13[[#This Row],[Unit Cost]]*Table13[[#This Row],[April 2025 - Issued Qty ]]</f>
        <v>1430</v>
      </c>
      <c r="AE31" s="219">
        <f>(Table13[[#This Row],[March 2025 - Balance Qty]]-Table13[[#This Row],[April 2025 - Issued Qty ]])+Table13[[#This Row],[Incoming Qty ]]</f>
        <v>16</v>
      </c>
      <c r="AF31" s="207">
        <f>Table13[[#This Row],[April 2025 - Balance Qty]]*Table13[[#This Row],[Unit Cost]]</f>
        <v>1760</v>
      </c>
      <c r="AG31" s="207"/>
    </row>
    <row r="32" spans="1:33">
      <c r="A32" t="s">
        <v>77</v>
      </c>
      <c r="B32" t="s">
        <v>98</v>
      </c>
      <c r="C32" t="s">
        <v>107</v>
      </c>
      <c r="D32" t="s">
        <v>27</v>
      </c>
      <c r="E32" s="204">
        <v>20</v>
      </c>
      <c r="F32" s="204">
        <v>22</v>
      </c>
      <c r="G32" s="204">
        <f>Table13[[#This Row],[Unit Cost]]*Table13[[#This Row],[Quantity on Hand]]</f>
        <v>440</v>
      </c>
      <c r="H32" s="205">
        <f>SUMIF(Table3[Item],Table13[[#This Row],[Decription]],Table3[Quantity Issued])</f>
        <v>0</v>
      </c>
      <c r="I32" s="206">
        <f>Table13[[#This Row],[January 2025 - Issued Qty]]*Table13[[#This Row],[Unit Cost]]</f>
        <v>0</v>
      </c>
      <c r="J32" s="95">
        <f>Table13[[#This Row],[Quantity on Hand]]-Table13[[#This Row],[January 2025 - Issued Qty]]</f>
        <v>20</v>
      </c>
      <c r="K32" s="207">
        <f>Table13[[#This Row],[January 2025 - Balance Qty]]*Table13[[#This Row],[Unit Cost]]</f>
        <v>440</v>
      </c>
      <c r="L32" s="205">
        <v>0</v>
      </c>
      <c r="M32" s="206">
        <v>0</v>
      </c>
      <c r="N32" s="208">
        <f>Table13[[#This Row],[Incoming Unit Cost]]*Table13[[#This Row],[Incoming Qty]]</f>
        <v>0</v>
      </c>
      <c r="O32" s="206">
        <f>SUMIF(Table32[Item],Table13[[#This Row],[Decription]],Table32[Quantity Issued])</f>
        <v>0</v>
      </c>
      <c r="P32" s="206">
        <f>Table13[[#This Row],[Unit Cost]]*Table13[[#This Row],[February 2025 - Issued Qty]]</f>
        <v>0</v>
      </c>
      <c r="Q32" s="95">
        <f>(Table13[[#This Row],[January 2025 - Balance Qty]]-Table13[[#This Row],[February 2025 - Issued Qty]])+Table13[[#This Row],[Incoming Qty]]</f>
        <v>20</v>
      </c>
      <c r="R32" s="207">
        <f>Table13[[#This Row],[February 2025 - Balance Qty]]*Table13[[#This Row],[Unit Cost]]</f>
        <v>440</v>
      </c>
      <c r="S32" s="205">
        <v>0</v>
      </c>
      <c r="T32" s="206">
        <v>0</v>
      </c>
      <c r="U32" s="208">
        <f>Table13[[#This Row],[Incoming Unit Cost]]*Table13[[#This Row],[Incoming Qty]]</f>
        <v>0</v>
      </c>
      <c r="V32" s="206">
        <f>SUMIF(Table3267[Item],Table13[[#This Row],[Decription]],Table3267[Quantity Issued])</f>
        <v>0</v>
      </c>
      <c r="W32" s="206">
        <f>Table13[[#This Row],[Unit Cost]]*Table13[[#This Row],[March 2025 - Issued Qty]]</f>
        <v>0</v>
      </c>
      <c r="X32" s="219">
        <f>(Table13[[#This Row],[February 2025 - Balance Qty]]-Table13[[#This Row],[March 2025 - Issued Qty]])+Table13[[#This Row],[Incoming Qty]]</f>
        <v>20</v>
      </c>
      <c r="Y32" s="207">
        <f>Table13[[#This Row],[March 2025 - Balance Qty]]*Table13[[#This Row],[Unit Cost]]</f>
        <v>440</v>
      </c>
      <c r="Z32" s="205">
        <v>0</v>
      </c>
      <c r="AA32" s="206">
        <v>0</v>
      </c>
      <c r="AB32" s="208">
        <f>Table13[[#This Row],[Incoming Unit Cost]]*Table13[[#This Row],[Incoming Qty]]</f>
        <v>0</v>
      </c>
      <c r="AC32" s="206">
        <f>SUMIF(Table326[Item],Table13[[#This Row],[Decription]],Table326[Quantity Issued])</f>
        <v>20</v>
      </c>
      <c r="AD32" s="206">
        <f>Table13[[#This Row],[Unit Cost]]*Table13[[#This Row],[April 2025 - Issued Qty ]]</f>
        <v>440</v>
      </c>
      <c r="AE32" s="219">
        <f>(Table13[[#This Row],[March 2025 - Balance Qty]]-Table13[[#This Row],[April 2025 - Issued Qty ]])+Table13[[#This Row],[Incoming Qty ]]</f>
        <v>0</v>
      </c>
      <c r="AF32" s="207">
        <f>Table13[[#This Row],[April 2025 - Balance Qty]]*Table13[[#This Row],[Unit Cost]]</f>
        <v>0</v>
      </c>
      <c r="AG32" s="207"/>
    </row>
    <row r="33" spans="1:33">
      <c r="A33" t="s">
        <v>77</v>
      </c>
      <c r="B33" t="s">
        <v>98</v>
      </c>
      <c r="C33" t="s">
        <v>65</v>
      </c>
      <c r="D33" t="s">
        <v>29</v>
      </c>
      <c r="E33" s="204">
        <v>3</v>
      </c>
      <c r="F33" s="204">
        <v>145</v>
      </c>
      <c r="G33" s="204">
        <f>Table13[[#This Row],[Unit Cost]]*Table13[[#This Row],[Quantity on Hand]]</f>
        <v>435</v>
      </c>
      <c r="H33" s="205">
        <f>SUMIF(Table3[Item],Table13[[#This Row],[Decription]],Table3[Quantity Issued])</f>
        <v>1</v>
      </c>
      <c r="I33" s="206">
        <f>Table13[[#This Row],[January 2025 - Issued Qty]]*Table13[[#This Row],[Unit Cost]]</f>
        <v>145</v>
      </c>
      <c r="J33" s="95">
        <f>Table13[[#This Row],[Quantity on Hand]]-Table13[[#This Row],[January 2025 - Issued Qty]]</f>
        <v>2</v>
      </c>
      <c r="K33" s="207">
        <f>Table13[[#This Row],[January 2025 - Balance Qty]]*Table13[[#This Row],[Unit Cost]]</f>
        <v>290</v>
      </c>
      <c r="L33" s="205">
        <v>0</v>
      </c>
      <c r="M33" s="206">
        <v>0</v>
      </c>
      <c r="N33" s="208">
        <f>Table13[[#This Row],[Incoming Unit Cost]]*Table13[[#This Row],[Incoming Qty]]</f>
        <v>0</v>
      </c>
      <c r="O33" s="206">
        <f>SUMIF(Table32[Item],Table13[[#This Row],[Decription]],Table32[Quantity Issued])</f>
        <v>0</v>
      </c>
      <c r="P33" s="206">
        <f>Table13[[#This Row],[Unit Cost]]*Table13[[#This Row],[February 2025 - Issued Qty]]</f>
        <v>0</v>
      </c>
      <c r="Q33" s="95">
        <f>(Table13[[#This Row],[January 2025 - Balance Qty]]-Table13[[#This Row],[February 2025 - Issued Qty]])+Table13[[#This Row],[Incoming Qty]]</f>
        <v>2</v>
      </c>
      <c r="R33" s="207">
        <f>Table13[[#This Row],[February 2025 - Balance Qty]]*Table13[[#This Row],[Unit Cost]]</f>
        <v>290</v>
      </c>
      <c r="S33" s="205">
        <v>0</v>
      </c>
      <c r="T33" s="206">
        <v>0</v>
      </c>
      <c r="U33" s="208">
        <f>Table13[[#This Row],[Incoming Unit Cost]]*Table13[[#This Row],[Incoming Qty]]</f>
        <v>0</v>
      </c>
      <c r="V33" s="206">
        <f>SUMIF(Table3267[Item],Table13[[#This Row],[Decription]],Table3267[Quantity Issued])</f>
        <v>0</v>
      </c>
      <c r="W33" s="206">
        <f>Table13[[#This Row],[Unit Cost]]*Table13[[#This Row],[March 2025 - Issued Qty]]</f>
        <v>0</v>
      </c>
      <c r="X33" s="219">
        <f>(Table13[[#This Row],[February 2025 - Balance Qty]]-Table13[[#This Row],[March 2025 - Issued Qty]])+Table13[[#This Row],[Incoming Qty]]</f>
        <v>2</v>
      </c>
      <c r="Y33" s="207">
        <f>Table13[[#This Row],[March 2025 - Balance Qty]]*Table13[[#This Row],[Unit Cost]]</f>
        <v>290</v>
      </c>
      <c r="Z33" s="205">
        <v>0</v>
      </c>
      <c r="AA33" s="206">
        <v>0</v>
      </c>
      <c r="AB33" s="208">
        <f>Table13[[#This Row],[Incoming Unit Cost]]*Table13[[#This Row],[Incoming Qty]]</f>
        <v>0</v>
      </c>
      <c r="AC33" s="206">
        <f>SUMIF(Table326[Item],Table13[[#This Row],[Decription]],Table326[Quantity Issued])</f>
        <v>0</v>
      </c>
      <c r="AD33" s="206">
        <f>Table13[[#This Row],[Unit Cost]]*Table13[[#This Row],[April 2025 - Issued Qty ]]</f>
        <v>0</v>
      </c>
      <c r="AE33" s="219">
        <f>(Table13[[#This Row],[March 2025 - Balance Qty]]-Table13[[#This Row],[April 2025 - Issued Qty ]])+Table13[[#This Row],[Incoming Qty ]]</f>
        <v>2</v>
      </c>
      <c r="AF33" s="207">
        <f>Table13[[#This Row],[April 2025 - Balance Qty]]*Table13[[#This Row],[Unit Cost]]</f>
        <v>290</v>
      </c>
      <c r="AG33" s="207"/>
    </row>
    <row r="34" spans="1:33">
      <c r="A34" t="s">
        <v>77</v>
      </c>
      <c r="B34" t="s">
        <v>98</v>
      </c>
      <c r="C34" t="s">
        <v>108</v>
      </c>
      <c r="D34" t="s">
        <v>29</v>
      </c>
      <c r="E34" s="204">
        <v>14</v>
      </c>
      <c r="F34" s="204">
        <v>43.53</v>
      </c>
      <c r="G34" s="204">
        <f>Table13[[#This Row],[Unit Cost]]*Table13[[#This Row],[Quantity on Hand]]</f>
        <v>609.42000000000007</v>
      </c>
      <c r="H34" s="205">
        <f>SUMIF(Table3[Item],Table13[[#This Row],[Decription]],Table3[Quantity Issued])</f>
        <v>0</v>
      </c>
      <c r="I34" s="206">
        <f>Table13[[#This Row],[January 2025 - Issued Qty]]*Table13[[#This Row],[Unit Cost]]</f>
        <v>0</v>
      </c>
      <c r="J34" s="95">
        <f>Table13[[#This Row],[Quantity on Hand]]-Table13[[#This Row],[January 2025 - Issued Qty]]</f>
        <v>14</v>
      </c>
      <c r="K34" s="207">
        <f>Table13[[#This Row],[January 2025 - Balance Qty]]*Table13[[#This Row],[Unit Cost]]</f>
        <v>609.42000000000007</v>
      </c>
      <c r="L34" s="205">
        <v>0</v>
      </c>
      <c r="M34" s="206">
        <v>0</v>
      </c>
      <c r="N34" s="208">
        <f>Table13[[#This Row],[Incoming Unit Cost]]*Table13[[#This Row],[Incoming Qty]]</f>
        <v>0</v>
      </c>
      <c r="O34" s="206">
        <f>SUMIF(Table32[Item],Table13[[#This Row],[Decription]],Table32[Quantity Issued])</f>
        <v>0</v>
      </c>
      <c r="P34" s="206">
        <f>Table13[[#This Row],[Unit Cost]]*Table13[[#This Row],[February 2025 - Issued Qty]]</f>
        <v>0</v>
      </c>
      <c r="Q34" s="95">
        <f>(Table13[[#This Row],[January 2025 - Balance Qty]]-Table13[[#This Row],[February 2025 - Issued Qty]])+Table13[[#This Row],[Incoming Qty]]</f>
        <v>14</v>
      </c>
      <c r="R34" s="207">
        <f>Table13[[#This Row],[February 2025 - Balance Qty]]*Table13[[#This Row],[Unit Cost]]</f>
        <v>609.42000000000007</v>
      </c>
      <c r="S34" s="205">
        <v>0</v>
      </c>
      <c r="T34" s="206" t="s">
        <v>2</v>
      </c>
      <c r="U34" s="208">
        <f>Table13[[#This Row],[Incoming Unit Cost]]*Table13[[#This Row],[Incoming Qty]]</f>
        <v>0</v>
      </c>
      <c r="V34" s="206">
        <f>SUMIF(Table3267[Item],Table13[[#This Row],[Decription]],Table3267[Quantity Issued])</f>
        <v>7</v>
      </c>
      <c r="W34" s="206">
        <f>Table13[[#This Row],[Unit Cost]]*Table13[[#This Row],[March 2025 - Issued Qty]]</f>
        <v>304.71000000000004</v>
      </c>
      <c r="X34" s="219">
        <f>(Table13[[#This Row],[February 2025 - Balance Qty]]-Table13[[#This Row],[March 2025 - Issued Qty]])+Table13[[#This Row],[Incoming Qty]]</f>
        <v>7</v>
      </c>
      <c r="Y34" s="207">
        <f>Table13[[#This Row],[March 2025 - Balance Qty]]*Table13[[#This Row],[Unit Cost]]</f>
        <v>304.71000000000004</v>
      </c>
      <c r="Z34" s="205">
        <v>0</v>
      </c>
      <c r="AA34" s="206" t="s">
        <v>2</v>
      </c>
      <c r="AB34" s="208">
        <f>Table13[[#This Row],[Incoming Unit Cost]]*Table13[[#This Row],[Incoming Qty]]</f>
        <v>0</v>
      </c>
      <c r="AC34" s="206">
        <f>SUMIF(Table326[Item],Table13[[#This Row],[Decription]],Table326[Quantity Issued])</f>
        <v>1</v>
      </c>
      <c r="AD34" s="206">
        <f>Table13[[#This Row],[Unit Cost]]*Table13[[#This Row],[April 2025 - Issued Qty ]]</f>
        <v>43.53</v>
      </c>
      <c r="AE34" s="219">
        <f>(Table13[[#This Row],[March 2025 - Balance Qty]]-Table13[[#This Row],[April 2025 - Issued Qty ]])+Table13[[#This Row],[Incoming Qty ]]</f>
        <v>6</v>
      </c>
      <c r="AF34" s="207">
        <f>Table13[[#This Row],[April 2025 - Balance Qty]]*Table13[[#This Row],[Unit Cost]]</f>
        <v>261.18</v>
      </c>
      <c r="AG34" s="207"/>
    </row>
    <row r="35" spans="1:33">
      <c r="A35" t="s">
        <v>77</v>
      </c>
      <c r="B35" t="s">
        <v>98</v>
      </c>
      <c r="C35" t="s">
        <v>109</v>
      </c>
      <c r="D35" t="s">
        <v>27</v>
      </c>
      <c r="E35" s="204">
        <v>5</v>
      </c>
      <c r="F35" s="204">
        <v>245</v>
      </c>
      <c r="G35" s="204">
        <f>Table13[[#This Row],[Unit Cost]]*Table13[[#This Row],[Quantity on Hand]]</f>
        <v>1225</v>
      </c>
      <c r="H35" s="205">
        <f>SUMIF(Table3[Item],Table13[[#This Row],[Decription]],Table3[Quantity Issued])</f>
        <v>0</v>
      </c>
      <c r="I35" s="206">
        <f>Table13[[#This Row],[January 2025 - Issued Qty]]*Table13[[#This Row],[Unit Cost]]</f>
        <v>0</v>
      </c>
      <c r="J35" s="95">
        <f>Table13[[#This Row],[Quantity on Hand]]-Table13[[#This Row],[January 2025 - Issued Qty]]</f>
        <v>5</v>
      </c>
      <c r="K35" s="207">
        <f>Table13[[#This Row],[January 2025 - Balance Qty]]*Table13[[#This Row],[Unit Cost]]</f>
        <v>1225</v>
      </c>
      <c r="L35" s="205">
        <v>0</v>
      </c>
      <c r="M35" s="206">
        <v>0</v>
      </c>
      <c r="N35" s="208">
        <f>Table13[[#This Row],[Incoming Unit Cost]]*Table13[[#This Row],[Incoming Qty]]</f>
        <v>0</v>
      </c>
      <c r="O35" s="206">
        <f>SUMIF(Table32[Item],Table13[[#This Row],[Decription]],Table32[Quantity Issued])</f>
        <v>1</v>
      </c>
      <c r="P35" s="206">
        <f>Table13[[#This Row],[Unit Cost]]*Table13[[#This Row],[February 2025 - Issued Qty]]</f>
        <v>245</v>
      </c>
      <c r="Q35" s="95">
        <f>(Table13[[#This Row],[January 2025 - Balance Qty]]-Table13[[#This Row],[February 2025 - Issued Qty]])+Table13[[#This Row],[Incoming Qty]]</f>
        <v>4</v>
      </c>
      <c r="R35" s="207">
        <f>Table13[[#This Row],[February 2025 - Balance Qty]]*Table13[[#This Row],[Unit Cost]]</f>
        <v>980</v>
      </c>
      <c r="S35" s="205">
        <v>0</v>
      </c>
      <c r="T35" s="206">
        <v>0</v>
      </c>
      <c r="U35" s="208">
        <f>Table13[[#This Row],[Incoming Unit Cost]]*Table13[[#This Row],[Incoming Qty]]</f>
        <v>0</v>
      </c>
      <c r="V35" s="206">
        <f>SUMIF(Table3267[Item],Table13[[#This Row],[Decription]],Table3267[Quantity Issued])</f>
        <v>2</v>
      </c>
      <c r="W35" s="206">
        <f>Table13[[#This Row],[Unit Cost]]*Table13[[#This Row],[March 2025 - Issued Qty]]</f>
        <v>490</v>
      </c>
      <c r="X35" s="219">
        <f>(Table13[[#This Row],[February 2025 - Balance Qty]]-Table13[[#This Row],[March 2025 - Issued Qty]])+Table13[[#This Row],[Incoming Qty]]</f>
        <v>2</v>
      </c>
      <c r="Y35" s="207">
        <f>Table13[[#This Row],[March 2025 - Balance Qty]]*Table13[[#This Row],[Unit Cost]]</f>
        <v>490</v>
      </c>
      <c r="Z35" s="205">
        <v>0</v>
      </c>
      <c r="AA35" s="206">
        <v>0</v>
      </c>
      <c r="AB35" s="208">
        <f>Table13[[#This Row],[Incoming Unit Cost]]*Table13[[#This Row],[Incoming Qty]]</f>
        <v>0</v>
      </c>
      <c r="AC35" s="206">
        <f>SUMIF(Table326[Item],Table13[[#This Row],[Decription]],Table326[Quantity Issued])</f>
        <v>0</v>
      </c>
      <c r="AD35" s="206">
        <f>Table13[[#This Row],[Unit Cost]]*Table13[[#This Row],[April 2025 - Issued Qty ]]</f>
        <v>0</v>
      </c>
      <c r="AE35" s="219">
        <f>(Table13[[#This Row],[March 2025 - Balance Qty]]-Table13[[#This Row],[April 2025 - Issued Qty ]])+Table13[[#This Row],[Incoming Qty ]]</f>
        <v>2</v>
      </c>
      <c r="AF35" s="207">
        <f>Table13[[#This Row],[April 2025 - Balance Qty]]*Table13[[#This Row],[Unit Cost]]</f>
        <v>490</v>
      </c>
      <c r="AG35" s="207"/>
    </row>
    <row r="36" spans="1:33">
      <c r="A36" t="s">
        <v>77</v>
      </c>
      <c r="B36" t="s">
        <v>98</v>
      </c>
      <c r="C36" t="s">
        <v>110</v>
      </c>
      <c r="D36" t="s">
        <v>27</v>
      </c>
      <c r="E36" s="204">
        <v>2</v>
      </c>
      <c r="F36" s="204">
        <v>206.67</v>
      </c>
      <c r="G36" s="204">
        <f>Table13[[#This Row],[Unit Cost]]*Table13[[#This Row],[Quantity on Hand]]</f>
        <v>413.34</v>
      </c>
      <c r="H36" s="205">
        <f>SUMIF(Table3[Item],Table13[[#This Row],[Decription]],Table3[Quantity Issued])</f>
        <v>2</v>
      </c>
      <c r="I36" s="206">
        <f>Table13[[#This Row],[January 2025 - Issued Qty]]*Table13[[#This Row],[Unit Cost]]</f>
        <v>413.34</v>
      </c>
      <c r="J36" s="95">
        <f>Table13[[#This Row],[Quantity on Hand]]-Table13[[#This Row],[January 2025 - Issued Qty]]</f>
        <v>0</v>
      </c>
      <c r="K36" s="207">
        <f>Table13[[#This Row],[January 2025 - Balance Qty]]*Table13[[#This Row],[Unit Cost]]</f>
        <v>0</v>
      </c>
      <c r="L36" s="205">
        <v>0</v>
      </c>
      <c r="M36" s="206">
        <v>0</v>
      </c>
      <c r="N36" s="208">
        <f>Table13[[#This Row],[Incoming Unit Cost]]*Table13[[#This Row],[Incoming Qty]]</f>
        <v>0</v>
      </c>
      <c r="O36" s="206">
        <f>SUMIF(Table32[Item],Table13[[#This Row],[Decription]],Table32[Quantity Issued])</f>
        <v>0</v>
      </c>
      <c r="P36" s="206">
        <f>Table13[[#This Row],[Unit Cost]]*Table13[[#This Row],[February 2025 - Issued Qty]]</f>
        <v>0</v>
      </c>
      <c r="Q36" s="95">
        <f>(Table13[[#This Row],[January 2025 - Balance Qty]]-Table13[[#This Row],[February 2025 - Issued Qty]])+Table13[[#This Row],[Incoming Qty]]</f>
        <v>0</v>
      </c>
      <c r="R36" s="207">
        <f>Table13[[#This Row],[February 2025 - Balance Qty]]*Table13[[#This Row],[Unit Cost]]</f>
        <v>0</v>
      </c>
      <c r="S36" s="205">
        <v>0</v>
      </c>
      <c r="T36" s="206">
        <v>0</v>
      </c>
      <c r="U36" s="208">
        <f>Table13[[#This Row],[Incoming Unit Cost]]*Table13[[#This Row],[Incoming Qty]]</f>
        <v>0</v>
      </c>
      <c r="V36" s="206">
        <f>SUMIF(Table3267[Item],Table13[[#This Row],[Decription]],Table3267[Quantity Issued])</f>
        <v>0</v>
      </c>
      <c r="W36" s="206">
        <f>Table13[[#This Row],[Unit Cost]]*Table13[[#This Row],[March 2025 - Issued Qty]]</f>
        <v>0</v>
      </c>
      <c r="X36" s="219">
        <f>(Table13[[#This Row],[February 2025 - Balance Qty]]-Table13[[#This Row],[March 2025 - Issued Qty]])+Table13[[#This Row],[Incoming Qty]]</f>
        <v>0</v>
      </c>
      <c r="Y36" s="207">
        <f>Table13[[#This Row],[March 2025 - Balance Qty]]*Table13[[#This Row],[Unit Cost]]</f>
        <v>0</v>
      </c>
      <c r="Z36" s="205">
        <v>0</v>
      </c>
      <c r="AA36" s="206">
        <v>0</v>
      </c>
      <c r="AB36" s="208">
        <f>Table13[[#This Row],[Incoming Unit Cost]]*Table13[[#This Row],[Incoming Qty]]</f>
        <v>0</v>
      </c>
      <c r="AC36" s="206">
        <f>SUMIF(Table326[Item],Table13[[#This Row],[Decription]],Table326[Quantity Issued])</f>
        <v>0</v>
      </c>
      <c r="AD36" s="206">
        <f>Table13[[#This Row],[Unit Cost]]*Table13[[#This Row],[April 2025 - Issued Qty ]]</f>
        <v>0</v>
      </c>
      <c r="AE36" s="219">
        <f>(Table13[[#This Row],[March 2025 - Balance Qty]]-Table13[[#This Row],[April 2025 - Issued Qty ]])+Table13[[#This Row],[Incoming Qty ]]</f>
        <v>0</v>
      </c>
      <c r="AF36" s="207">
        <f>Table13[[#This Row],[April 2025 - Balance Qty]]*Table13[[#This Row],[Unit Cost]]</f>
        <v>0</v>
      </c>
      <c r="AG36" s="207"/>
    </row>
    <row r="37" spans="1:33">
      <c r="A37" t="s">
        <v>77</v>
      </c>
      <c r="B37" t="s">
        <v>98</v>
      </c>
      <c r="C37" t="s">
        <v>111</v>
      </c>
      <c r="D37" t="s">
        <v>27</v>
      </c>
      <c r="E37" s="204">
        <v>10</v>
      </c>
      <c r="F37" s="204">
        <v>190</v>
      </c>
      <c r="G37" s="204">
        <f>Table13[[#This Row],[Unit Cost]]*Table13[[#This Row],[Quantity on Hand]]</f>
        <v>1900</v>
      </c>
      <c r="H37" s="205">
        <f>SUMIF(Table3[Item],Table13[[#This Row],[Decription]],Table3[Quantity Issued])</f>
        <v>0</v>
      </c>
      <c r="I37" s="206">
        <f>Table13[[#This Row],[January 2025 - Issued Qty]]*Table13[[#This Row],[Unit Cost]]</f>
        <v>0</v>
      </c>
      <c r="J37" s="95">
        <f>Table13[[#This Row],[Quantity on Hand]]-Table13[[#This Row],[January 2025 - Issued Qty]]</f>
        <v>10</v>
      </c>
      <c r="K37" s="207">
        <f>Table13[[#This Row],[January 2025 - Balance Qty]]*Table13[[#This Row],[Unit Cost]]</f>
        <v>1900</v>
      </c>
      <c r="L37" s="205">
        <v>0</v>
      </c>
      <c r="M37" s="206">
        <v>0</v>
      </c>
      <c r="N37" s="208">
        <f>Table13[[#This Row],[Incoming Unit Cost]]*Table13[[#This Row],[Incoming Qty]]</f>
        <v>0</v>
      </c>
      <c r="O37" s="206">
        <f>SUMIF(Table32[Item],Table13[[#This Row],[Decription]],Table32[Quantity Issued])</f>
        <v>0</v>
      </c>
      <c r="P37" s="206">
        <f>Table13[[#This Row],[Unit Cost]]*Table13[[#This Row],[February 2025 - Issued Qty]]</f>
        <v>0</v>
      </c>
      <c r="Q37" s="95">
        <f>(Table13[[#This Row],[January 2025 - Balance Qty]]-Table13[[#This Row],[February 2025 - Issued Qty]])+Table13[[#This Row],[Incoming Qty]]</f>
        <v>10</v>
      </c>
      <c r="R37" s="207">
        <f>Table13[[#This Row],[February 2025 - Balance Qty]]*Table13[[#This Row],[Unit Cost]]</f>
        <v>1900</v>
      </c>
      <c r="S37" s="205">
        <v>0</v>
      </c>
      <c r="T37" s="206">
        <v>0</v>
      </c>
      <c r="U37" s="208">
        <f>Table13[[#This Row],[Incoming Unit Cost]]*Table13[[#This Row],[Incoming Qty]]</f>
        <v>0</v>
      </c>
      <c r="V37" s="206">
        <f>SUMIF(Table3267[Item],Table13[[#This Row],[Decription]],Table3267[Quantity Issued])</f>
        <v>0</v>
      </c>
      <c r="W37" s="206">
        <f>Table13[[#This Row],[Unit Cost]]*Table13[[#This Row],[March 2025 - Issued Qty]]</f>
        <v>0</v>
      </c>
      <c r="X37" s="219">
        <f>(Table13[[#This Row],[February 2025 - Balance Qty]]-Table13[[#This Row],[March 2025 - Issued Qty]])+Table13[[#This Row],[Incoming Qty]]</f>
        <v>10</v>
      </c>
      <c r="Y37" s="207">
        <f>Table13[[#This Row],[March 2025 - Balance Qty]]*Table13[[#This Row],[Unit Cost]]</f>
        <v>1900</v>
      </c>
      <c r="Z37" s="205">
        <v>0</v>
      </c>
      <c r="AA37" s="206">
        <v>0</v>
      </c>
      <c r="AB37" s="208">
        <f>Table13[[#This Row],[Incoming Unit Cost]]*Table13[[#This Row],[Incoming Qty]]</f>
        <v>0</v>
      </c>
      <c r="AC37" s="206">
        <f>SUMIF(Table326[Item],Table13[[#This Row],[Decription]],Table326[Quantity Issued])</f>
        <v>10</v>
      </c>
      <c r="AD37" s="206">
        <f>Table13[[#This Row],[Unit Cost]]*Table13[[#This Row],[April 2025 - Issued Qty ]]</f>
        <v>1900</v>
      </c>
      <c r="AE37" s="219">
        <f>(Table13[[#This Row],[March 2025 - Balance Qty]]-Table13[[#This Row],[April 2025 - Issued Qty ]])+Table13[[#This Row],[Incoming Qty ]]</f>
        <v>0</v>
      </c>
      <c r="AF37" s="207">
        <f>Table13[[#This Row],[April 2025 - Balance Qty]]*Table13[[#This Row],[Unit Cost]]</f>
        <v>0</v>
      </c>
      <c r="AG37" s="207"/>
    </row>
    <row r="38" spans="1:33">
      <c r="A38" t="s">
        <v>77</v>
      </c>
      <c r="B38" t="s">
        <v>98</v>
      </c>
      <c r="C38" t="s">
        <v>68</v>
      </c>
      <c r="D38" t="s">
        <v>29</v>
      </c>
      <c r="E38" s="204">
        <v>7</v>
      </c>
      <c r="F38" s="204">
        <v>20</v>
      </c>
      <c r="G38" s="204">
        <f>Table13[[#This Row],[Unit Cost]]*Table13[[#This Row],[Quantity on Hand]]</f>
        <v>140</v>
      </c>
      <c r="H38" s="205">
        <f>SUMIF(Table3[Item],Table13[[#This Row],[Decription]],Table3[Quantity Issued])</f>
        <v>4</v>
      </c>
      <c r="I38" s="206">
        <f>Table13[[#This Row],[January 2025 - Issued Qty]]*Table13[[#This Row],[Unit Cost]]</f>
        <v>80</v>
      </c>
      <c r="J38" s="95">
        <f>Table13[[#This Row],[Quantity on Hand]]-Table13[[#This Row],[January 2025 - Issued Qty]]</f>
        <v>3</v>
      </c>
      <c r="K38" s="207">
        <f>Table13[[#This Row],[January 2025 - Balance Qty]]*Table13[[#This Row],[Unit Cost]]</f>
        <v>60</v>
      </c>
      <c r="L38" s="205">
        <v>0</v>
      </c>
      <c r="M38" s="206">
        <v>0</v>
      </c>
      <c r="N38" s="208" t="s">
        <v>2</v>
      </c>
      <c r="O38" s="206">
        <f>SUMIF(Table32[Item],Table13[[#This Row],[Decription]],Table32[Quantity Issued])</f>
        <v>0</v>
      </c>
      <c r="P38" s="206">
        <f>Table13[[#This Row],[Unit Cost]]*Table13[[#This Row],[February 2025 - Issued Qty]]</f>
        <v>0</v>
      </c>
      <c r="Q38" s="95">
        <f>(Table13[[#This Row],[January 2025 - Balance Qty]]-Table13[[#This Row],[February 2025 - Issued Qty]])+Table13[[#This Row],[Incoming Qty]]</f>
        <v>3</v>
      </c>
      <c r="R38" s="207">
        <f>Table13[[#This Row],[February 2025 - Balance Qty]]*Table13[[#This Row],[Unit Cost]]</f>
        <v>60</v>
      </c>
      <c r="S38" s="205">
        <v>0</v>
      </c>
      <c r="T38" s="206">
        <v>0</v>
      </c>
      <c r="U38" s="208" t="s">
        <v>2</v>
      </c>
      <c r="V38" s="206">
        <f>SUMIF(Table3267[Item],Table13[[#This Row],[Decription]],Table3267[Quantity Issued])</f>
        <v>3</v>
      </c>
      <c r="W38" s="206">
        <f>Table13[[#This Row],[Unit Cost]]*Table13[[#This Row],[March 2025 - Issued Qty]]</f>
        <v>60</v>
      </c>
      <c r="X38" s="219">
        <f>(Table13[[#This Row],[February 2025 - Balance Qty]]-Table13[[#This Row],[March 2025 - Issued Qty]])+Table13[[#This Row],[Incoming Qty]]</f>
        <v>0</v>
      </c>
      <c r="Y38" s="207">
        <f>Table13[[#This Row],[March 2025 - Balance Qty]]*Table13[[#This Row],[Unit Cost]]</f>
        <v>0</v>
      </c>
      <c r="Z38" s="205">
        <v>0</v>
      </c>
      <c r="AA38" s="206">
        <v>0</v>
      </c>
      <c r="AB38" s="208" t="s">
        <v>2</v>
      </c>
      <c r="AC38" s="206">
        <f>SUMIF(Table326[Item],Table13[[#This Row],[Decription]],Table326[Quantity Issued])</f>
        <v>0</v>
      </c>
      <c r="AD38" s="206">
        <f>Table13[[#This Row],[Unit Cost]]*Table13[[#This Row],[April 2025 - Issued Qty ]]</f>
        <v>0</v>
      </c>
      <c r="AE38" s="219">
        <f>(Table13[[#This Row],[March 2025 - Balance Qty]]-Table13[[#This Row],[April 2025 - Issued Qty ]])+Table13[[#This Row],[Incoming Qty ]]</f>
        <v>0</v>
      </c>
      <c r="AF38" s="207">
        <f>Table13[[#This Row],[April 2025 - Balance Qty]]*Table13[[#This Row],[Unit Cost]]</f>
        <v>0</v>
      </c>
      <c r="AG38" s="207"/>
    </row>
    <row r="39" spans="1:33">
      <c r="A39" t="s">
        <v>77</v>
      </c>
      <c r="B39" t="s">
        <v>98</v>
      </c>
      <c r="C39" t="s">
        <v>112</v>
      </c>
      <c r="D39" t="s">
        <v>29</v>
      </c>
      <c r="E39" s="204">
        <v>9</v>
      </c>
      <c r="F39" s="204">
        <v>33.93</v>
      </c>
      <c r="G39" s="204">
        <f>Table13[[#This Row],[Unit Cost]]*Table13[[#This Row],[Quantity on Hand]]</f>
        <v>305.37</v>
      </c>
      <c r="H39" s="205">
        <f>SUMIF(Table3[Item],Table13[[#This Row],[Decription]],Table3[Quantity Issued])</f>
        <v>2</v>
      </c>
      <c r="I39" s="206">
        <f>Table13[[#This Row],[January 2025 - Issued Qty]]*Table13[[#This Row],[Unit Cost]]</f>
        <v>67.86</v>
      </c>
      <c r="J39" s="95">
        <f>Table13[[#This Row],[Quantity on Hand]]-Table13[[#This Row],[January 2025 - Issued Qty]]</f>
        <v>7</v>
      </c>
      <c r="K39" s="207">
        <f>Table13[[#This Row],[January 2025 - Balance Qty]]*Table13[[#This Row],[Unit Cost]]</f>
        <v>237.51</v>
      </c>
      <c r="L39" s="205">
        <v>0</v>
      </c>
      <c r="M39" s="206">
        <v>0</v>
      </c>
      <c r="N39" s="208">
        <f>Table13[[#This Row],[Incoming Unit Cost]]*Table13[[#This Row],[Incoming Qty]]</f>
        <v>0</v>
      </c>
      <c r="O39" s="206">
        <f>SUMIF(Table32[Item],Table13[[#This Row],[Decription]],Table32[Quantity Issued])</f>
        <v>1</v>
      </c>
      <c r="P39" s="206">
        <f>Table13[[#This Row],[Unit Cost]]*Table13[[#This Row],[February 2025 - Issued Qty]]</f>
        <v>33.93</v>
      </c>
      <c r="Q39" s="95">
        <f>(Table13[[#This Row],[January 2025 - Balance Qty]]-Table13[[#This Row],[February 2025 - Issued Qty]])+Table13[[#This Row],[Incoming Qty]]</f>
        <v>6</v>
      </c>
      <c r="R39" s="207">
        <f>Table13[[#This Row],[February 2025 - Balance Qty]]*Table13[[#This Row],[Unit Cost]]</f>
        <v>203.57999999999998</v>
      </c>
      <c r="S39" s="205">
        <v>0</v>
      </c>
      <c r="T39" s="206">
        <v>0</v>
      </c>
      <c r="U39" s="208">
        <f>Table13[[#This Row],[Incoming Unit Cost]]*Table13[[#This Row],[Incoming Qty]]</f>
        <v>0</v>
      </c>
      <c r="V39" s="206">
        <f>SUMIF(Table3267[Item],Table13[[#This Row],[Decription]],Table3267[Quantity Issued])</f>
        <v>6</v>
      </c>
      <c r="W39" s="206">
        <f>Table13[[#This Row],[Unit Cost]]*Table13[[#This Row],[March 2025 - Issued Qty]]</f>
        <v>203.57999999999998</v>
      </c>
      <c r="X39" s="219">
        <f>(Table13[[#This Row],[February 2025 - Balance Qty]]-Table13[[#This Row],[March 2025 - Issued Qty]])+Table13[[#This Row],[Incoming Qty]]</f>
        <v>0</v>
      </c>
      <c r="Y39" s="207">
        <f>Table13[[#This Row],[March 2025 - Balance Qty]]*Table13[[#This Row],[Unit Cost]]</f>
        <v>0</v>
      </c>
      <c r="Z39" s="205">
        <v>0</v>
      </c>
      <c r="AA39" s="206">
        <v>0</v>
      </c>
      <c r="AB39" s="208">
        <f>Table13[[#This Row],[Incoming Unit Cost]]*Table13[[#This Row],[Incoming Qty]]</f>
        <v>0</v>
      </c>
      <c r="AC39" s="206">
        <f>SUMIF(Table326[Item],Table13[[#This Row],[Decription]],Table326[Quantity Issued])</f>
        <v>0</v>
      </c>
      <c r="AD39" s="206">
        <f>Table13[[#This Row],[Unit Cost]]*Table13[[#This Row],[April 2025 - Issued Qty ]]</f>
        <v>0</v>
      </c>
      <c r="AE39" s="219">
        <f>(Table13[[#This Row],[March 2025 - Balance Qty]]-Table13[[#This Row],[April 2025 - Issued Qty ]])+Table13[[#This Row],[Incoming Qty ]]</f>
        <v>0</v>
      </c>
      <c r="AF39" s="207">
        <f>Table13[[#This Row],[April 2025 - Balance Qty]]*Table13[[#This Row],[Unit Cost]]</f>
        <v>0</v>
      </c>
      <c r="AG39" s="207"/>
    </row>
    <row r="40" spans="1:33">
      <c r="A40" t="s">
        <v>77</v>
      </c>
      <c r="B40" t="s">
        <v>98</v>
      </c>
      <c r="C40" t="s">
        <v>50</v>
      </c>
      <c r="D40" t="s">
        <v>27</v>
      </c>
      <c r="E40" s="204">
        <v>1</v>
      </c>
      <c r="F40" s="204">
        <v>30</v>
      </c>
      <c r="G40" s="204">
        <f>Table13[[#This Row],[Unit Cost]]*Table13[[#This Row],[Quantity on Hand]]</f>
        <v>30</v>
      </c>
      <c r="H40" s="205">
        <f>SUMIF(Table3[Item],Table13[[#This Row],[Decription]],Table3[Quantity Issued])</f>
        <v>1</v>
      </c>
      <c r="I40" s="206">
        <f>Table13[[#This Row],[January 2025 - Issued Qty]]*Table13[[#This Row],[Unit Cost]]</f>
        <v>30</v>
      </c>
      <c r="J40" s="95">
        <f>Table13[[#This Row],[Quantity on Hand]]-Table13[[#This Row],[January 2025 - Issued Qty]]</f>
        <v>0</v>
      </c>
      <c r="K40" s="207">
        <f>Table13[[#This Row],[January 2025 - Balance Qty]]*Table13[[#This Row],[Unit Cost]]</f>
        <v>0</v>
      </c>
      <c r="L40" s="205">
        <v>0</v>
      </c>
      <c r="M40" s="206">
        <v>0</v>
      </c>
      <c r="N40" s="208">
        <f>Table13[[#This Row],[Incoming Unit Cost]]*Table13[[#This Row],[Incoming Qty]]</f>
        <v>0</v>
      </c>
      <c r="O40" s="206">
        <f>SUMIF(Table32[Item],Table13[[#This Row],[Decription]],Table32[Quantity Issued])</f>
        <v>0</v>
      </c>
      <c r="P40" s="206">
        <f>Table13[[#This Row],[Unit Cost]]*Table13[[#This Row],[February 2025 - Issued Qty]]</f>
        <v>0</v>
      </c>
      <c r="Q40" s="95">
        <f>(Table13[[#This Row],[January 2025 - Balance Qty]]-Table13[[#This Row],[February 2025 - Issued Qty]])+Table13[[#This Row],[Incoming Qty]]</f>
        <v>0</v>
      </c>
      <c r="R40" s="207">
        <f>Table13[[#This Row],[February 2025 - Balance Qty]]*Table13[[#This Row],[Unit Cost]]</f>
        <v>0</v>
      </c>
      <c r="S40" s="205">
        <v>0</v>
      </c>
      <c r="T40" s="206">
        <v>0</v>
      </c>
      <c r="U40" s="208">
        <f>Table13[[#This Row],[Incoming Unit Cost]]*Table13[[#This Row],[Incoming Qty]]</f>
        <v>0</v>
      </c>
      <c r="V40" s="206">
        <f>SUMIF(Table3267[Item],Table13[[#This Row],[Decription]],Table3267[Quantity Issued])</f>
        <v>0</v>
      </c>
      <c r="W40" s="206">
        <f>Table13[[#This Row],[Unit Cost]]*Table13[[#This Row],[March 2025 - Issued Qty]]</f>
        <v>0</v>
      </c>
      <c r="X40" s="219">
        <f>(Table13[[#This Row],[February 2025 - Balance Qty]]-Table13[[#This Row],[March 2025 - Issued Qty]])+Table13[[#This Row],[Incoming Qty]]</f>
        <v>0</v>
      </c>
      <c r="Y40" s="207">
        <f>Table13[[#This Row],[March 2025 - Balance Qty]]*Table13[[#This Row],[Unit Cost]]</f>
        <v>0</v>
      </c>
      <c r="Z40" s="205">
        <v>0</v>
      </c>
      <c r="AA40" s="206">
        <v>0</v>
      </c>
      <c r="AB40" s="208">
        <f>Table13[[#This Row],[Incoming Unit Cost]]*Table13[[#This Row],[Incoming Qty]]</f>
        <v>0</v>
      </c>
      <c r="AC40" s="206">
        <f>SUMIF(Table326[Item],Table13[[#This Row],[Decription]],Table326[Quantity Issued])</f>
        <v>0</v>
      </c>
      <c r="AD40" s="206">
        <f>Table13[[#This Row],[Unit Cost]]*Table13[[#This Row],[April 2025 - Issued Qty ]]</f>
        <v>0</v>
      </c>
      <c r="AE40" s="219">
        <f>(Table13[[#This Row],[March 2025 - Balance Qty]]-Table13[[#This Row],[April 2025 - Issued Qty ]])+Table13[[#This Row],[Incoming Qty ]]</f>
        <v>0</v>
      </c>
      <c r="AF40" s="207">
        <f>Table13[[#This Row],[April 2025 - Balance Qty]]*Table13[[#This Row],[Unit Cost]]</f>
        <v>0</v>
      </c>
      <c r="AG40" s="207"/>
    </row>
    <row r="41" spans="1:33">
      <c r="A41" t="s">
        <v>77</v>
      </c>
      <c r="B41" t="s">
        <v>98</v>
      </c>
      <c r="C41" t="s">
        <v>113</v>
      </c>
      <c r="D41" t="s">
        <v>27</v>
      </c>
      <c r="E41" s="204">
        <v>4</v>
      </c>
      <c r="F41" s="204">
        <v>15</v>
      </c>
      <c r="G41" s="204">
        <f>Table13[[#This Row],[Unit Cost]]*Table13[[#This Row],[Quantity on Hand]]</f>
        <v>60</v>
      </c>
      <c r="H41" s="205">
        <f>SUMIF(Table3[Item],Table13[[#This Row],[Decription]],Table3[Quantity Issued])</f>
        <v>0</v>
      </c>
      <c r="I41" s="206">
        <f>Table13[[#This Row],[January 2025 - Issued Qty]]*Table13[[#This Row],[Unit Cost]]</f>
        <v>0</v>
      </c>
      <c r="J41" s="95">
        <f>Table13[[#This Row],[Quantity on Hand]]-Table13[[#This Row],[January 2025 - Issued Qty]]</f>
        <v>4</v>
      </c>
      <c r="K41" s="207">
        <f>Table13[[#This Row],[January 2025 - Balance Qty]]*Table13[[#This Row],[Unit Cost]]</f>
        <v>60</v>
      </c>
      <c r="L41" s="205">
        <v>0</v>
      </c>
      <c r="M41" s="206">
        <v>0</v>
      </c>
      <c r="N41" s="208">
        <f>Table13[[#This Row],[Incoming Unit Cost]]*Table13[[#This Row],[Incoming Qty]]</f>
        <v>0</v>
      </c>
      <c r="O41" s="206">
        <f>SUMIF(Table32[Item],Table13[[#This Row],[Decription]],Table32[Quantity Issued])</f>
        <v>0</v>
      </c>
      <c r="P41" s="206">
        <f>Table13[[#This Row],[Unit Cost]]*Table13[[#This Row],[February 2025 - Issued Qty]]</f>
        <v>0</v>
      </c>
      <c r="Q41" s="95">
        <f>(Table13[[#This Row],[January 2025 - Balance Qty]]-Table13[[#This Row],[February 2025 - Issued Qty]])+Table13[[#This Row],[Incoming Qty]]</f>
        <v>4</v>
      </c>
      <c r="R41" s="207">
        <f>Table13[[#This Row],[February 2025 - Balance Qty]]*Table13[[#This Row],[Unit Cost]]</f>
        <v>60</v>
      </c>
      <c r="S41" s="205">
        <v>0</v>
      </c>
      <c r="T41" s="206">
        <v>0</v>
      </c>
      <c r="U41" s="208">
        <f>Table13[[#This Row],[Incoming Unit Cost]]*Table13[[#This Row],[Incoming Qty]]</f>
        <v>0</v>
      </c>
      <c r="V41" s="206">
        <f>SUMIF(Table3267[Item],Table13[[#This Row],[Decription]],Table3267[Quantity Issued])</f>
        <v>4</v>
      </c>
      <c r="W41" s="206">
        <f>Table13[[#This Row],[Unit Cost]]*Table13[[#This Row],[March 2025 - Issued Qty]]</f>
        <v>60</v>
      </c>
      <c r="X41" s="219">
        <f>(Table13[[#This Row],[February 2025 - Balance Qty]]-Table13[[#This Row],[March 2025 - Issued Qty]])+Table13[[#This Row],[Incoming Qty]]</f>
        <v>0</v>
      </c>
      <c r="Y41" s="207">
        <f>Table13[[#This Row],[March 2025 - Balance Qty]]*Table13[[#This Row],[Unit Cost]]</f>
        <v>0</v>
      </c>
      <c r="Z41" s="205">
        <v>0</v>
      </c>
      <c r="AA41" s="206">
        <v>0</v>
      </c>
      <c r="AB41" s="208">
        <f>Table13[[#This Row],[Incoming Unit Cost]]*Table13[[#This Row],[Incoming Qty]]</f>
        <v>0</v>
      </c>
      <c r="AC41" s="206">
        <f>SUMIF(Table326[Item],Table13[[#This Row],[Decription]],Table326[Quantity Issued])</f>
        <v>0</v>
      </c>
      <c r="AD41" s="206">
        <f>Table13[[#This Row],[Unit Cost]]*Table13[[#This Row],[April 2025 - Issued Qty ]]</f>
        <v>0</v>
      </c>
      <c r="AE41" s="219">
        <f>(Table13[[#This Row],[March 2025 - Balance Qty]]-Table13[[#This Row],[April 2025 - Issued Qty ]])+Table13[[#This Row],[Incoming Qty ]]</f>
        <v>0</v>
      </c>
      <c r="AF41" s="207">
        <f>Table13[[#This Row],[April 2025 - Balance Qty]]*Table13[[#This Row],[Unit Cost]]</f>
        <v>0</v>
      </c>
      <c r="AG41" s="207"/>
    </row>
    <row r="42" spans="1:33">
      <c r="A42" t="s">
        <v>77</v>
      </c>
      <c r="B42" t="s">
        <v>98</v>
      </c>
      <c r="C42" t="s">
        <v>114</v>
      </c>
      <c r="D42" t="s">
        <v>100</v>
      </c>
      <c r="E42" s="204">
        <v>29</v>
      </c>
      <c r="F42" s="204">
        <v>27.6</v>
      </c>
      <c r="G42" s="204">
        <f>Table13[[#This Row],[Unit Cost]]*Table13[[#This Row],[Quantity on Hand]]</f>
        <v>800.40000000000009</v>
      </c>
      <c r="H42" s="205">
        <f>SUMIF(Table3[Item],Table13[[#This Row],[Decription]],Table3[Quantity Issued])</f>
        <v>0</v>
      </c>
      <c r="I42" s="206">
        <f>Table13[[#This Row],[January 2025 - Issued Qty]]*Table13[[#This Row],[Unit Cost]]</f>
        <v>0</v>
      </c>
      <c r="J42" s="95">
        <f>Table13[[#This Row],[Quantity on Hand]]-Table13[[#This Row],[January 2025 - Issued Qty]]</f>
        <v>29</v>
      </c>
      <c r="K42" s="207">
        <f>Table13[[#This Row],[January 2025 - Balance Qty]]*Table13[[#This Row],[Unit Cost]]</f>
        <v>800.40000000000009</v>
      </c>
      <c r="L42" s="205">
        <v>0</v>
      </c>
      <c r="M42" s="206">
        <v>0</v>
      </c>
      <c r="N42" s="208">
        <f>Table13[[#This Row],[Incoming Unit Cost]]*Table13[[#This Row],[Incoming Qty]]</f>
        <v>0</v>
      </c>
      <c r="O42" s="206">
        <f>SUMIF(Table32[Item],Table13[[#This Row],[Decription]],Table32[Quantity Issued])</f>
        <v>0</v>
      </c>
      <c r="P42" s="206">
        <f>Table13[[#This Row],[Unit Cost]]*Table13[[#This Row],[February 2025 - Issued Qty]]</f>
        <v>0</v>
      </c>
      <c r="Q42" s="95">
        <f>(Table13[[#This Row],[January 2025 - Balance Qty]]-Table13[[#This Row],[February 2025 - Issued Qty]])+Table13[[#This Row],[Incoming Qty]]</f>
        <v>29</v>
      </c>
      <c r="R42" s="207">
        <f>Table13[[#This Row],[February 2025 - Balance Qty]]*Table13[[#This Row],[Unit Cost]]</f>
        <v>800.40000000000009</v>
      </c>
      <c r="S42" s="205">
        <v>0</v>
      </c>
      <c r="T42" s="206">
        <v>0</v>
      </c>
      <c r="U42" s="208">
        <f>Table13[[#This Row],[Incoming Unit Cost]]*Table13[[#This Row],[Incoming Qty]]</f>
        <v>0</v>
      </c>
      <c r="V42" s="206">
        <f>SUMIF(Table3267[Item],Table13[[#This Row],[Decription]],Table3267[Quantity Issued])</f>
        <v>0</v>
      </c>
      <c r="W42" s="206">
        <f>Table13[[#This Row],[Unit Cost]]*Table13[[#This Row],[March 2025 - Issued Qty]]</f>
        <v>0</v>
      </c>
      <c r="X42" s="219">
        <f>(Table13[[#This Row],[February 2025 - Balance Qty]]-Table13[[#This Row],[March 2025 - Issued Qty]])+Table13[[#This Row],[Incoming Qty]]</f>
        <v>29</v>
      </c>
      <c r="Y42" s="207">
        <f>Table13[[#This Row],[March 2025 - Balance Qty]]*Table13[[#This Row],[Unit Cost]]</f>
        <v>800.40000000000009</v>
      </c>
      <c r="Z42" s="205">
        <v>0</v>
      </c>
      <c r="AA42" s="206">
        <v>0</v>
      </c>
      <c r="AB42" s="208">
        <f>Table13[[#This Row],[Incoming Unit Cost]]*Table13[[#This Row],[Incoming Qty]]</f>
        <v>0</v>
      </c>
      <c r="AC42" s="206">
        <f>SUMIF(Table326[Item],Table13[[#This Row],[Decription]],Table326[Quantity Issued])</f>
        <v>0</v>
      </c>
      <c r="AD42" s="206">
        <f>Table13[[#This Row],[Unit Cost]]*Table13[[#This Row],[April 2025 - Issued Qty ]]</f>
        <v>0</v>
      </c>
      <c r="AE42" s="219">
        <f>(Table13[[#This Row],[March 2025 - Balance Qty]]-Table13[[#This Row],[April 2025 - Issued Qty ]])+Table13[[#This Row],[Incoming Qty ]]</f>
        <v>29</v>
      </c>
      <c r="AF42" s="207">
        <f>Table13[[#This Row],[April 2025 - Balance Qty]]*Table13[[#This Row],[Unit Cost]]</f>
        <v>800.40000000000009</v>
      </c>
      <c r="AG42" s="207"/>
    </row>
    <row r="43" spans="1:33">
      <c r="A43" t="s">
        <v>77</v>
      </c>
      <c r="B43" t="s">
        <v>98</v>
      </c>
      <c r="C43" t="s">
        <v>115</v>
      </c>
      <c r="D43" t="s">
        <v>100</v>
      </c>
      <c r="E43" s="204">
        <v>46</v>
      </c>
      <c r="F43" s="204">
        <v>20</v>
      </c>
      <c r="G43" s="204">
        <f>Table13[[#This Row],[Unit Cost]]*Table13[[#This Row],[Quantity on Hand]]</f>
        <v>920</v>
      </c>
      <c r="H43" s="205">
        <f>SUMIF(Table3[Item],Table13[[#This Row],[Decription]],Table3[Quantity Issued])</f>
        <v>0</v>
      </c>
      <c r="I43" s="206">
        <f>Table13[[#This Row],[January 2025 - Issued Qty]]*Table13[[#This Row],[Unit Cost]]</f>
        <v>0</v>
      </c>
      <c r="J43" s="95">
        <f>Table13[[#This Row],[Quantity on Hand]]-Table13[[#This Row],[January 2025 - Issued Qty]]</f>
        <v>46</v>
      </c>
      <c r="K43" s="207">
        <f>Table13[[#This Row],[January 2025 - Balance Qty]]*Table13[[#This Row],[Unit Cost]]</f>
        <v>920</v>
      </c>
      <c r="L43" s="205">
        <v>0</v>
      </c>
      <c r="M43" s="206">
        <v>0</v>
      </c>
      <c r="N43" s="208">
        <f>Table13[[#This Row],[Incoming Unit Cost]]*Table13[[#This Row],[Incoming Qty]]</f>
        <v>0</v>
      </c>
      <c r="O43" s="206">
        <f>SUMIF(Table32[Item],Table13[[#This Row],[Decription]],Table32[Quantity Issued])</f>
        <v>0</v>
      </c>
      <c r="P43" s="206">
        <f>Table13[[#This Row],[Unit Cost]]*Table13[[#This Row],[February 2025 - Issued Qty]]</f>
        <v>0</v>
      </c>
      <c r="Q43" s="95">
        <f>(Table13[[#This Row],[January 2025 - Balance Qty]]-Table13[[#This Row],[February 2025 - Issued Qty]])+Table13[[#This Row],[Incoming Qty]]</f>
        <v>46</v>
      </c>
      <c r="R43" s="207">
        <f>Table13[[#This Row],[February 2025 - Balance Qty]]*Table13[[#This Row],[Unit Cost]]</f>
        <v>920</v>
      </c>
      <c r="S43" s="205">
        <v>0</v>
      </c>
      <c r="T43" s="206">
        <v>0</v>
      </c>
      <c r="U43" s="208">
        <f>Table13[[#This Row],[Incoming Unit Cost]]*Table13[[#This Row],[Incoming Qty]]</f>
        <v>0</v>
      </c>
      <c r="V43" s="206">
        <f>SUMIF(Table3267[Item],Table13[[#This Row],[Decription]],Table3267[Quantity Issued])</f>
        <v>15</v>
      </c>
      <c r="W43" s="206">
        <f>Table13[[#This Row],[Unit Cost]]*Table13[[#This Row],[March 2025 - Issued Qty]]</f>
        <v>300</v>
      </c>
      <c r="X43" s="219">
        <f>(Table13[[#This Row],[February 2025 - Balance Qty]]-Table13[[#This Row],[March 2025 - Issued Qty]])+Table13[[#This Row],[Incoming Qty]]</f>
        <v>31</v>
      </c>
      <c r="Y43" s="207">
        <f>Table13[[#This Row],[March 2025 - Balance Qty]]*Table13[[#This Row],[Unit Cost]]</f>
        <v>620</v>
      </c>
      <c r="Z43" s="205">
        <v>0</v>
      </c>
      <c r="AA43" s="206">
        <v>0</v>
      </c>
      <c r="AB43" s="208">
        <f>Table13[[#This Row],[Incoming Unit Cost]]*Table13[[#This Row],[Incoming Qty]]</f>
        <v>0</v>
      </c>
      <c r="AC43" s="206">
        <f>SUMIF(Table326[Item],Table13[[#This Row],[Decription]],Table326[Quantity Issued])</f>
        <v>0</v>
      </c>
      <c r="AD43" s="206">
        <f>Table13[[#This Row],[Unit Cost]]*Table13[[#This Row],[April 2025 - Issued Qty ]]</f>
        <v>0</v>
      </c>
      <c r="AE43" s="219">
        <f>(Table13[[#This Row],[March 2025 - Balance Qty]]-Table13[[#This Row],[April 2025 - Issued Qty ]])+Table13[[#This Row],[Incoming Qty ]]</f>
        <v>31</v>
      </c>
      <c r="AF43" s="207">
        <f>Table13[[#This Row],[April 2025 - Balance Qty]]*Table13[[#This Row],[Unit Cost]]</f>
        <v>620</v>
      </c>
      <c r="AG43" s="207"/>
    </row>
    <row r="44" spans="1:33">
      <c r="A44" t="s">
        <v>77</v>
      </c>
      <c r="B44" t="s">
        <v>98</v>
      </c>
      <c r="C44" t="s">
        <v>116</v>
      </c>
      <c r="D44" t="s">
        <v>29</v>
      </c>
      <c r="E44" s="204">
        <v>5</v>
      </c>
      <c r="F44" s="204">
        <v>88.46</v>
      </c>
      <c r="G44" s="204">
        <f>Table13[[#This Row],[Unit Cost]]*Table13[[#This Row],[Quantity on Hand]]</f>
        <v>442.29999999999995</v>
      </c>
      <c r="H44" s="205">
        <f>SUMIF(Table3[Item],Table13[[#This Row],[Decription]],Table3[Quantity Issued])</f>
        <v>0</v>
      </c>
      <c r="I44" s="206">
        <f>Table13[[#This Row],[January 2025 - Issued Qty]]*Table13[[#This Row],[Unit Cost]]</f>
        <v>0</v>
      </c>
      <c r="J44" s="95">
        <f>Table13[[#This Row],[Quantity on Hand]]-Table13[[#This Row],[January 2025 - Issued Qty]]</f>
        <v>5</v>
      </c>
      <c r="K44" s="207">
        <f>Table13[[#This Row],[January 2025 - Balance Qty]]*Table13[[#This Row],[Unit Cost]]</f>
        <v>442.29999999999995</v>
      </c>
      <c r="L44" s="205">
        <v>0</v>
      </c>
      <c r="M44" s="206">
        <v>0</v>
      </c>
      <c r="N44" s="208">
        <f>Table13[[#This Row],[Incoming Unit Cost]]*Table13[[#This Row],[Incoming Qty]]</f>
        <v>0</v>
      </c>
      <c r="O44" s="206">
        <f>SUMIF(Table32[Item],Table13[[#This Row],[Decription]],Table32[Quantity Issued])</f>
        <v>3</v>
      </c>
      <c r="P44" s="206">
        <f>Table13[[#This Row],[Unit Cost]]*Table13[[#This Row],[February 2025 - Issued Qty]]</f>
        <v>265.38</v>
      </c>
      <c r="Q44" s="95">
        <f>(Table13[[#This Row],[January 2025 - Balance Qty]]-Table13[[#This Row],[February 2025 - Issued Qty]])+Table13[[#This Row],[Incoming Qty]]</f>
        <v>2</v>
      </c>
      <c r="R44" s="207">
        <f>Table13[[#This Row],[February 2025 - Balance Qty]]*Table13[[#This Row],[Unit Cost]]</f>
        <v>176.92</v>
      </c>
      <c r="S44" s="205">
        <v>0</v>
      </c>
      <c r="T44" s="206">
        <v>0</v>
      </c>
      <c r="U44" s="208">
        <f>Table13[[#This Row],[Incoming Unit Cost]]*Table13[[#This Row],[Incoming Qty]]</f>
        <v>0</v>
      </c>
      <c r="V44" s="206">
        <f>SUMIF(Table3267[Item],Table13[[#This Row],[Decription]],Table3267[Quantity Issued])</f>
        <v>2</v>
      </c>
      <c r="W44" s="206">
        <f>Table13[[#This Row],[Unit Cost]]*Table13[[#This Row],[March 2025 - Issued Qty]]</f>
        <v>176.92</v>
      </c>
      <c r="X44" s="219">
        <f>(Table13[[#This Row],[February 2025 - Balance Qty]]-Table13[[#This Row],[March 2025 - Issued Qty]])+Table13[[#This Row],[Incoming Qty]]</f>
        <v>0</v>
      </c>
      <c r="Y44" s="207">
        <f>Table13[[#This Row],[March 2025 - Balance Qty]]*Table13[[#This Row],[Unit Cost]]</f>
        <v>0</v>
      </c>
      <c r="Z44" s="205">
        <v>0</v>
      </c>
      <c r="AA44" s="206">
        <v>0</v>
      </c>
      <c r="AB44" s="208">
        <f>Table13[[#This Row],[Incoming Unit Cost]]*Table13[[#This Row],[Incoming Qty]]</f>
        <v>0</v>
      </c>
      <c r="AC44" s="206">
        <f>SUMIF(Table326[Item],Table13[[#This Row],[Decription]],Table326[Quantity Issued])</f>
        <v>0</v>
      </c>
      <c r="AD44" s="206">
        <f>Table13[[#This Row],[Unit Cost]]*Table13[[#This Row],[April 2025 - Issued Qty ]]</f>
        <v>0</v>
      </c>
      <c r="AE44" s="219">
        <f>(Table13[[#This Row],[March 2025 - Balance Qty]]-Table13[[#This Row],[April 2025 - Issued Qty ]])+Table13[[#This Row],[Incoming Qty ]]</f>
        <v>0</v>
      </c>
      <c r="AF44" s="207">
        <f>Table13[[#This Row],[April 2025 - Balance Qty]]*Table13[[#This Row],[Unit Cost]]</f>
        <v>0</v>
      </c>
      <c r="AG44" s="207"/>
    </row>
    <row r="45" spans="1:33">
      <c r="A45" t="s">
        <v>77</v>
      </c>
      <c r="B45" t="s">
        <v>98</v>
      </c>
      <c r="C45" t="s">
        <v>64</v>
      </c>
      <c r="D45" t="s">
        <v>27</v>
      </c>
      <c r="E45" s="204">
        <v>527</v>
      </c>
      <c r="F45" s="204">
        <v>8.5755407899999998</v>
      </c>
      <c r="G45" s="204">
        <f>Table13[[#This Row],[Unit Cost]]*Table13[[#This Row],[Quantity on Hand]]</f>
        <v>4519.3099963300001</v>
      </c>
      <c r="H45" s="205">
        <f>SUMIF(Table3[Item],Table13[[#This Row],[Decription]],Table3[Quantity Issued])</f>
        <v>12</v>
      </c>
      <c r="I45" s="206">
        <f>Table13[[#This Row],[January 2025 - Issued Qty]]*Table13[[#This Row],[Unit Cost]]</f>
        <v>102.90648948</v>
      </c>
      <c r="J45" s="95">
        <f>Table13[[#This Row],[Quantity on Hand]]-Table13[[#This Row],[January 2025 - Issued Qty]]</f>
        <v>515</v>
      </c>
      <c r="K45" s="207">
        <f>Table13[[#This Row],[January 2025 - Balance Qty]]*Table13[[#This Row],[Unit Cost]]</f>
        <v>4416.4035068499998</v>
      </c>
      <c r="L45" s="205">
        <v>0</v>
      </c>
      <c r="M45" s="206">
        <v>0</v>
      </c>
      <c r="N45" s="208">
        <f>Table13[[#This Row],[Incoming Unit Cost]]*Table13[[#This Row],[Incoming Qty]]</f>
        <v>0</v>
      </c>
      <c r="O45" s="206">
        <f>SUMIF(Table32[Item],Table13[[#This Row],[Decription]],Table32[Quantity Issued])</f>
        <v>120</v>
      </c>
      <c r="P45" s="206">
        <f>Table13[[#This Row],[Unit Cost]]*Table13[[#This Row],[February 2025 - Issued Qty]]</f>
        <v>1029.0648948</v>
      </c>
      <c r="Q45" s="95">
        <f>(Table13[[#This Row],[January 2025 - Balance Qty]]-Table13[[#This Row],[February 2025 - Issued Qty]])+Table13[[#This Row],[Incoming Qty]]</f>
        <v>395</v>
      </c>
      <c r="R45" s="207">
        <f>Table13[[#This Row],[February 2025 - Balance Qty]]*Table13[[#This Row],[Unit Cost]]</f>
        <v>3387.3386120499999</v>
      </c>
      <c r="S45" s="205">
        <v>0</v>
      </c>
      <c r="T45" s="206">
        <v>0</v>
      </c>
      <c r="U45" s="208">
        <f>Table13[[#This Row],[Incoming Unit Cost]]*Table13[[#This Row],[Incoming Qty]]</f>
        <v>0</v>
      </c>
      <c r="V45" s="206">
        <f>SUMIF(Table3267[Item],Table13[[#This Row],[Decription]],Table3267[Quantity Issued])</f>
        <v>266</v>
      </c>
      <c r="W45" s="206">
        <f>Table13[[#This Row],[Unit Cost]]*Table13[[#This Row],[March 2025 - Issued Qty]]</f>
        <v>2281.0938501400001</v>
      </c>
      <c r="X45" s="219">
        <f>(Table13[[#This Row],[February 2025 - Balance Qty]]-Table13[[#This Row],[March 2025 - Issued Qty]])+Table13[[#This Row],[Incoming Qty]]</f>
        <v>129</v>
      </c>
      <c r="Y45" s="207">
        <f>Table13[[#This Row],[March 2025 - Balance Qty]]*Table13[[#This Row],[Unit Cost]]</f>
        <v>1106.2447619100001</v>
      </c>
      <c r="Z45" s="205">
        <v>0</v>
      </c>
      <c r="AA45" s="206">
        <v>0</v>
      </c>
      <c r="AB45" s="208">
        <f>Table13[[#This Row],[Incoming Unit Cost]]*Table13[[#This Row],[Incoming Qty]]</f>
        <v>0</v>
      </c>
      <c r="AC45" s="206">
        <f>SUMIF(Table326[Item],Table13[[#This Row],[Decription]],Table326[Quantity Issued])</f>
        <v>60</v>
      </c>
      <c r="AD45" s="206">
        <f>Table13[[#This Row],[Unit Cost]]*Table13[[#This Row],[April 2025 - Issued Qty ]]</f>
        <v>514.53244740000002</v>
      </c>
      <c r="AE45" s="219">
        <f>(Table13[[#This Row],[March 2025 - Balance Qty]]-Table13[[#This Row],[April 2025 - Issued Qty ]])+Table13[[#This Row],[Incoming Qty ]]</f>
        <v>69</v>
      </c>
      <c r="AF45" s="207">
        <f>Table13[[#This Row],[April 2025 - Balance Qty]]*Table13[[#This Row],[Unit Cost]]</f>
        <v>591.71231450999994</v>
      </c>
      <c r="AG45" s="207"/>
    </row>
    <row r="46" spans="1:33">
      <c r="A46" t="s">
        <v>77</v>
      </c>
      <c r="B46" t="s">
        <v>117</v>
      </c>
      <c r="C46" t="s">
        <v>118</v>
      </c>
      <c r="D46" t="s">
        <v>27</v>
      </c>
      <c r="E46" s="204">
        <v>3</v>
      </c>
      <c r="F46" s="204">
        <v>121</v>
      </c>
      <c r="G46" s="204">
        <f>Table13[[#This Row],[Unit Cost]]*Table13[[#This Row],[Quantity on Hand]]</f>
        <v>363</v>
      </c>
      <c r="H46" s="205">
        <f>SUMIF(Table3[Item],Table13[[#This Row],[Decription]],Table3[Quantity Issued])</f>
        <v>0</v>
      </c>
      <c r="I46" s="206">
        <f>Table13[[#This Row],[January 2025 - Issued Qty]]*Table13[[#This Row],[Unit Cost]]</f>
        <v>0</v>
      </c>
      <c r="J46" s="95">
        <f>Table13[[#This Row],[Quantity on Hand]]-Table13[[#This Row],[January 2025 - Issued Qty]]</f>
        <v>3</v>
      </c>
      <c r="K46" s="207">
        <f>Table13[[#This Row],[January 2025 - Balance Qty]]*Table13[[#This Row],[Unit Cost]]</f>
        <v>363</v>
      </c>
      <c r="L46" s="205">
        <v>0</v>
      </c>
      <c r="M46" s="206">
        <v>0</v>
      </c>
      <c r="N46" s="208">
        <f>Table13[[#This Row],[Incoming Unit Cost]]*Table13[[#This Row],[Incoming Qty]]</f>
        <v>0</v>
      </c>
      <c r="O46" s="206">
        <f>SUMIF(Table32[Item],Table13[[#This Row],[Decription]],Table32[Quantity Issued])</f>
        <v>0</v>
      </c>
      <c r="P46" s="206">
        <f>Table13[[#This Row],[Unit Cost]]*Table13[[#This Row],[February 2025 - Issued Qty]]</f>
        <v>0</v>
      </c>
      <c r="Q46" s="95">
        <f>(Table13[[#This Row],[January 2025 - Balance Qty]]-Table13[[#This Row],[February 2025 - Issued Qty]])+Table13[[#This Row],[Incoming Qty]]</f>
        <v>3</v>
      </c>
      <c r="R46" s="207">
        <f>Table13[[#This Row],[February 2025 - Balance Qty]]*Table13[[#This Row],[Unit Cost]]</f>
        <v>363</v>
      </c>
      <c r="S46" s="205">
        <v>0</v>
      </c>
      <c r="T46" s="206">
        <v>0</v>
      </c>
      <c r="U46" s="208">
        <f>Table13[[#This Row],[Incoming Unit Cost]]*Table13[[#This Row],[Incoming Qty]]</f>
        <v>0</v>
      </c>
      <c r="V46" s="206">
        <f>SUMIF(Table3267[Item],Table13[[#This Row],[Decription]],Table3267[Quantity Issued])</f>
        <v>1</v>
      </c>
      <c r="W46" s="206">
        <f>Table13[[#This Row],[Unit Cost]]*Table13[[#This Row],[March 2025 - Issued Qty]]</f>
        <v>121</v>
      </c>
      <c r="X46" s="219">
        <f>(Table13[[#This Row],[February 2025 - Balance Qty]]-Table13[[#This Row],[March 2025 - Issued Qty]])+Table13[[#This Row],[Incoming Qty]]</f>
        <v>2</v>
      </c>
      <c r="Y46" s="207">
        <f>Table13[[#This Row],[March 2025 - Balance Qty]]*Table13[[#This Row],[Unit Cost]]</f>
        <v>242</v>
      </c>
      <c r="Z46" s="205">
        <v>0</v>
      </c>
      <c r="AA46" s="206">
        <v>0</v>
      </c>
      <c r="AB46" s="208">
        <f>Table13[[#This Row],[Incoming Unit Cost]]*Table13[[#This Row],[Incoming Qty]]</f>
        <v>0</v>
      </c>
      <c r="AC46" s="206">
        <f>SUMIF(Table326[Item],Table13[[#This Row],[Decription]],Table326[Quantity Issued])</f>
        <v>0</v>
      </c>
      <c r="AD46" s="206">
        <f>Table13[[#This Row],[Unit Cost]]*Table13[[#This Row],[April 2025 - Issued Qty ]]</f>
        <v>0</v>
      </c>
      <c r="AE46" s="219">
        <f>(Table13[[#This Row],[March 2025 - Balance Qty]]-Table13[[#This Row],[April 2025 - Issued Qty ]])+Table13[[#This Row],[Incoming Qty ]]</f>
        <v>2</v>
      </c>
      <c r="AF46" s="207">
        <f>Table13[[#This Row],[April 2025 - Balance Qty]]*Table13[[#This Row],[Unit Cost]]</f>
        <v>242</v>
      </c>
      <c r="AG46" s="207"/>
    </row>
    <row r="47" spans="1:33">
      <c r="A47" t="s">
        <v>77</v>
      </c>
      <c r="B47" t="s">
        <v>117</v>
      </c>
      <c r="C47" t="s">
        <v>119</v>
      </c>
      <c r="D47" t="s">
        <v>27</v>
      </c>
      <c r="E47" s="204">
        <v>5</v>
      </c>
      <c r="F47" s="204">
        <v>144</v>
      </c>
      <c r="G47" s="204">
        <f>Table13[[#This Row],[Unit Cost]]*Table13[[#This Row],[Quantity on Hand]]</f>
        <v>720</v>
      </c>
      <c r="H47" s="205">
        <f>SUMIF(Table3[Item],Table13[[#This Row],[Decription]],Table3[Quantity Issued])</f>
        <v>0</v>
      </c>
      <c r="I47" s="206">
        <f>Table13[[#This Row],[January 2025 - Issued Qty]]*Table13[[#This Row],[Unit Cost]]</f>
        <v>0</v>
      </c>
      <c r="J47" s="95">
        <f>Table13[[#This Row],[Quantity on Hand]]-Table13[[#This Row],[January 2025 - Issued Qty]]</f>
        <v>5</v>
      </c>
      <c r="K47" s="207">
        <f>Table13[[#This Row],[January 2025 - Balance Qty]]*Table13[[#This Row],[Unit Cost]]</f>
        <v>720</v>
      </c>
      <c r="L47" s="205">
        <v>0</v>
      </c>
      <c r="M47" s="206">
        <v>0</v>
      </c>
      <c r="N47" s="208">
        <f>Table13[[#This Row],[Incoming Unit Cost]]*Table13[[#This Row],[Incoming Qty]]</f>
        <v>0</v>
      </c>
      <c r="O47" s="206">
        <f>SUMIF(Table32[Item],Table13[[#This Row],[Decription]],Table32[Quantity Issued])</f>
        <v>0</v>
      </c>
      <c r="P47" s="206">
        <f>Table13[[#This Row],[Unit Cost]]*Table13[[#This Row],[February 2025 - Issued Qty]]</f>
        <v>0</v>
      </c>
      <c r="Q47" s="95">
        <f>(Table13[[#This Row],[January 2025 - Balance Qty]]-Table13[[#This Row],[February 2025 - Issued Qty]])+Table13[[#This Row],[Incoming Qty]]</f>
        <v>5</v>
      </c>
      <c r="R47" s="207">
        <f>Table13[[#This Row],[February 2025 - Balance Qty]]*Table13[[#This Row],[Unit Cost]]</f>
        <v>720</v>
      </c>
      <c r="S47" s="205">
        <v>0</v>
      </c>
      <c r="T47" s="206">
        <v>0</v>
      </c>
      <c r="U47" s="208">
        <f>Table13[[#This Row],[Incoming Unit Cost]]*Table13[[#This Row],[Incoming Qty]]</f>
        <v>0</v>
      </c>
      <c r="V47" s="206">
        <f>SUMIF(Table3267[Item],Table13[[#This Row],[Decription]],Table3267[Quantity Issued])</f>
        <v>0</v>
      </c>
      <c r="W47" s="206">
        <f>Table13[[#This Row],[Unit Cost]]*Table13[[#This Row],[March 2025 - Issued Qty]]</f>
        <v>0</v>
      </c>
      <c r="X47" s="219">
        <f>(Table13[[#This Row],[February 2025 - Balance Qty]]-Table13[[#This Row],[March 2025 - Issued Qty]])+Table13[[#This Row],[Incoming Qty]]</f>
        <v>5</v>
      </c>
      <c r="Y47" s="207">
        <f>Table13[[#This Row],[March 2025 - Balance Qty]]*Table13[[#This Row],[Unit Cost]]</f>
        <v>720</v>
      </c>
      <c r="Z47" s="205">
        <v>0</v>
      </c>
      <c r="AA47" s="206">
        <v>0</v>
      </c>
      <c r="AB47" s="208">
        <f>Table13[[#This Row],[Incoming Unit Cost]]*Table13[[#This Row],[Incoming Qty]]</f>
        <v>0</v>
      </c>
      <c r="AC47" s="206">
        <f>SUMIF(Table326[Item],Table13[[#This Row],[Decription]],Table326[Quantity Issued])</f>
        <v>0</v>
      </c>
      <c r="AD47" s="206">
        <f>Table13[[#This Row],[Unit Cost]]*Table13[[#This Row],[April 2025 - Issued Qty ]]</f>
        <v>0</v>
      </c>
      <c r="AE47" s="219">
        <f>(Table13[[#This Row],[March 2025 - Balance Qty]]-Table13[[#This Row],[April 2025 - Issued Qty ]])+Table13[[#This Row],[Incoming Qty ]]</f>
        <v>5</v>
      </c>
      <c r="AF47" s="207">
        <f>Table13[[#This Row],[April 2025 - Balance Qty]]*Table13[[#This Row],[Unit Cost]]</f>
        <v>720</v>
      </c>
      <c r="AG47" s="207"/>
    </row>
    <row r="48" spans="1:33">
      <c r="A48" t="s">
        <v>77</v>
      </c>
      <c r="B48" t="s">
        <v>117</v>
      </c>
      <c r="C48" t="s">
        <v>120</v>
      </c>
      <c r="D48" t="s">
        <v>38</v>
      </c>
      <c r="E48" s="204">
        <v>35</v>
      </c>
      <c r="F48" s="204">
        <v>80.558285699999999</v>
      </c>
      <c r="G48" s="204">
        <f>Table13[[#This Row],[Unit Cost]]*Table13[[#This Row],[Quantity on Hand]]</f>
        <v>2819.5399994999998</v>
      </c>
      <c r="H48" s="205">
        <f>SUMIF(Table3[Item],Table13[[#This Row],[Decription]],Table3[Quantity Issued])</f>
        <v>0</v>
      </c>
      <c r="I48" s="206">
        <f>Table13[[#This Row],[January 2025 - Issued Qty]]*Table13[[#This Row],[Unit Cost]]</f>
        <v>0</v>
      </c>
      <c r="J48" s="95">
        <f>Table13[[#This Row],[Quantity on Hand]]-Table13[[#This Row],[January 2025 - Issued Qty]]</f>
        <v>35</v>
      </c>
      <c r="K48" s="207">
        <f>Table13[[#This Row],[January 2025 - Balance Qty]]*Table13[[#This Row],[Unit Cost]]</f>
        <v>2819.5399994999998</v>
      </c>
      <c r="L48" s="205">
        <v>0</v>
      </c>
      <c r="M48" s="206">
        <v>0</v>
      </c>
      <c r="N48" s="208">
        <f>Table13[[#This Row],[Incoming Unit Cost]]*Table13[[#This Row],[Incoming Qty]]</f>
        <v>0</v>
      </c>
      <c r="O48" s="206">
        <f>SUMIF(Table32[Item],Table13[[#This Row],[Decription]],Table32[Quantity Issued])</f>
        <v>1</v>
      </c>
      <c r="P48" s="206">
        <f>Table13[[#This Row],[Unit Cost]]*Table13[[#This Row],[February 2025 - Issued Qty]]</f>
        <v>80.558285699999999</v>
      </c>
      <c r="Q48" s="95">
        <f>(Table13[[#This Row],[January 2025 - Balance Qty]]-Table13[[#This Row],[February 2025 - Issued Qty]])+Table13[[#This Row],[Incoming Qty]]</f>
        <v>34</v>
      </c>
      <c r="R48" s="207">
        <f>Table13[[#This Row],[February 2025 - Balance Qty]]*Table13[[#This Row],[Unit Cost]]</f>
        <v>2738.9817137999999</v>
      </c>
      <c r="S48" s="205">
        <v>0</v>
      </c>
      <c r="T48" s="206">
        <v>0</v>
      </c>
      <c r="U48" s="208">
        <f>Table13[[#This Row],[Incoming Unit Cost]]*Table13[[#This Row],[Incoming Qty]]</f>
        <v>0</v>
      </c>
      <c r="V48" s="206">
        <f>SUMIF(Table3267[Item],Table13[[#This Row],[Decription]],Table3267[Quantity Issued])</f>
        <v>28</v>
      </c>
      <c r="W48" s="206">
        <f>Table13[[#This Row],[Unit Cost]]*Table13[[#This Row],[March 2025 - Issued Qty]]</f>
        <v>2255.6319996000002</v>
      </c>
      <c r="X48" s="219">
        <f>(Table13[[#This Row],[February 2025 - Balance Qty]]-Table13[[#This Row],[March 2025 - Issued Qty]])+Table13[[#This Row],[Incoming Qty]]</f>
        <v>6</v>
      </c>
      <c r="Y48" s="207">
        <f>Table13[[#This Row],[March 2025 - Balance Qty]]*Table13[[#This Row],[Unit Cost]]</f>
        <v>483.34971419999999</v>
      </c>
      <c r="Z48" s="205">
        <v>0</v>
      </c>
      <c r="AA48" s="206">
        <v>0</v>
      </c>
      <c r="AB48" s="208">
        <f>Table13[[#This Row],[Incoming Unit Cost]]*Table13[[#This Row],[Incoming Qty]]</f>
        <v>0</v>
      </c>
      <c r="AC48" s="206">
        <f>SUMIF(Table326[Item],Table13[[#This Row],[Decription]],Table326[Quantity Issued])</f>
        <v>4</v>
      </c>
      <c r="AD48" s="206">
        <f>Table13[[#This Row],[Unit Cost]]*Table13[[#This Row],[April 2025 - Issued Qty ]]</f>
        <v>322.2331428</v>
      </c>
      <c r="AE48" s="219">
        <f>(Table13[[#This Row],[March 2025 - Balance Qty]]-Table13[[#This Row],[April 2025 - Issued Qty ]])+Table13[[#This Row],[Incoming Qty ]]</f>
        <v>2</v>
      </c>
      <c r="AF48" s="207">
        <f>Table13[[#This Row],[April 2025 - Balance Qty]]*Table13[[#This Row],[Unit Cost]]</f>
        <v>161.1165714</v>
      </c>
      <c r="AG48" s="207"/>
    </row>
    <row r="49" spans="1:33">
      <c r="A49" t="s">
        <v>77</v>
      </c>
      <c r="B49" t="s">
        <v>117</v>
      </c>
      <c r="C49" t="s">
        <v>121</v>
      </c>
      <c r="D49" t="s">
        <v>32</v>
      </c>
      <c r="E49" s="204">
        <v>1</v>
      </c>
      <c r="F49" s="204">
        <v>1093</v>
      </c>
      <c r="G49" s="204">
        <f>Table13[[#This Row],[Unit Cost]]*Table13[[#This Row],[Quantity on Hand]]</f>
        <v>1093</v>
      </c>
      <c r="H49" s="205">
        <f>SUMIF(Table3[Item],Table13[[#This Row],[Decription]],Table3[Quantity Issued])</f>
        <v>0</v>
      </c>
      <c r="I49" s="206">
        <f>Table13[[#This Row],[January 2025 - Issued Qty]]*Table13[[#This Row],[Unit Cost]]</f>
        <v>0</v>
      </c>
      <c r="J49" s="95">
        <f>Table13[[#This Row],[Quantity on Hand]]-Table13[[#This Row],[January 2025 - Issued Qty]]</f>
        <v>1</v>
      </c>
      <c r="K49" s="207">
        <f>Table13[[#This Row],[January 2025 - Balance Qty]]*Table13[[#This Row],[Unit Cost]]</f>
        <v>1093</v>
      </c>
      <c r="L49" s="205">
        <v>0</v>
      </c>
      <c r="M49" s="206">
        <v>0</v>
      </c>
      <c r="N49" s="208">
        <f>Table13[[#This Row],[Incoming Unit Cost]]*Table13[[#This Row],[Incoming Qty]]</f>
        <v>0</v>
      </c>
      <c r="O49" s="206">
        <f>SUMIF(Table32[Item],Table13[[#This Row],[Decription]],Table32[Quantity Issued])</f>
        <v>0</v>
      </c>
      <c r="P49" s="206">
        <f>Table13[[#This Row],[Unit Cost]]*Table13[[#This Row],[February 2025 - Issued Qty]]</f>
        <v>0</v>
      </c>
      <c r="Q49" s="95">
        <f>(Table13[[#This Row],[January 2025 - Balance Qty]]-Table13[[#This Row],[February 2025 - Issued Qty]])+Table13[[#This Row],[Incoming Qty]]</f>
        <v>1</v>
      </c>
      <c r="R49" s="207">
        <f>Table13[[#This Row],[February 2025 - Balance Qty]]*Table13[[#This Row],[Unit Cost]]</f>
        <v>1093</v>
      </c>
      <c r="S49" s="205">
        <v>0</v>
      </c>
      <c r="T49" s="206">
        <v>0</v>
      </c>
      <c r="U49" s="208">
        <f>Table13[[#This Row],[Incoming Unit Cost]]*Table13[[#This Row],[Incoming Qty]]</f>
        <v>0</v>
      </c>
      <c r="V49" s="206">
        <f>SUMIF(Table3267[Item],Table13[[#This Row],[Decription]],Table3267[Quantity Issued])</f>
        <v>0</v>
      </c>
      <c r="W49" s="206">
        <f>Table13[[#This Row],[Unit Cost]]*Table13[[#This Row],[March 2025 - Issued Qty]]</f>
        <v>0</v>
      </c>
      <c r="X49" s="219">
        <f>(Table13[[#This Row],[February 2025 - Balance Qty]]-Table13[[#This Row],[March 2025 - Issued Qty]])+Table13[[#This Row],[Incoming Qty]]</f>
        <v>1</v>
      </c>
      <c r="Y49" s="207">
        <f>Table13[[#This Row],[March 2025 - Balance Qty]]*Table13[[#This Row],[Unit Cost]]</f>
        <v>1093</v>
      </c>
      <c r="Z49" s="205">
        <v>0</v>
      </c>
      <c r="AA49" s="206">
        <v>0</v>
      </c>
      <c r="AB49" s="208">
        <f>Table13[[#This Row],[Incoming Unit Cost]]*Table13[[#This Row],[Incoming Qty]]</f>
        <v>0</v>
      </c>
      <c r="AC49" s="206">
        <f>SUMIF(Table326[Item],Table13[[#This Row],[Decription]],Table326[Quantity Issued])</f>
        <v>0</v>
      </c>
      <c r="AD49" s="206">
        <f>Table13[[#This Row],[Unit Cost]]*Table13[[#This Row],[April 2025 - Issued Qty ]]</f>
        <v>0</v>
      </c>
      <c r="AE49" s="219">
        <f>(Table13[[#This Row],[March 2025 - Balance Qty]]-Table13[[#This Row],[April 2025 - Issued Qty ]])+Table13[[#This Row],[Incoming Qty ]]</f>
        <v>1</v>
      </c>
      <c r="AF49" s="207">
        <f>Table13[[#This Row],[April 2025 - Balance Qty]]*Table13[[#This Row],[Unit Cost]]</f>
        <v>1093</v>
      </c>
      <c r="AG49" s="207"/>
    </row>
    <row r="50" spans="1:33">
      <c r="A50" t="s">
        <v>77</v>
      </c>
      <c r="B50" t="s">
        <v>117</v>
      </c>
      <c r="C50" t="s">
        <v>122</v>
      </c>
      <c r="D50" t="s">
        <v>100</v>
      </c>
      <c r="E50" s="204">
        <v>44</v>
      </c>
      <c r="F50" s="204">
        <v>83.18</v>
      </c>
      <c r="G50" s="204">
        <f>Table13[[#This Row],[Unit Cost]]*Table13[[#This Row],[Quantity on Hand]]</f>
        <v>3659.92</v>
      </c>
      <c r="H50" s="205">
        <f>SUMIF(Table3[Item],Table13[[#This Row],[Decription]],Table3[Quantity Issued])</f>
        <v>0</v>
      </c>
      <c r="I50" s="206">
        <f>Table13[[#This Row],[January 2025 - Issued Qty]]*Table13[[#This Row],[Unit Cost]]</f>
        <v>0</v>
      </c>
      <c r="J50" s="95">
        <f>Table13[[#This Row],[Quantity on Hand]]-Table13[[#This Row],[January 2025 - Issued Qty]]</f>
        <v>44</v>
      </c>
      <c r="K50" s="207">
        <f>Table13[[#This Row],[January 2025 - Balance Qty]]*Table13[[#This Row],[Unit Cost]]</f>
        <v>3659.92</v>
      </c>
      <c r="L50" s="205">
        <v>0</v>
      </c>
      <c r="M50" s="206">
        <v>0</v>
      </c>
      <c r="N50" s="208">
        <f>Table13[[#This Row],[Incoming Unit Cost]]*Table13[[#This Row],[Incoming Qty]]</f>
        <v>0</v>
      </c>
      <c r="O50" s="206">
        <f>SUMIF(Table32[Item],Table13[[#This Row],[Decription]],Table32[Quantity Issued])</f>
        <v>1</v>
      </c>
      <c r="P50" s="206">
        <f>Table13[[#This Row],[Unit Cost]]*Table13[[#This Row],[February 2025 - Issued Qty]]</f>
        <v>83.18</v>
      </c>
      <c r="Q50" s="95">
        <f>(Table13[[#This Row],[January 2025 - Balance Qty]]-Table13[[#This Row],[February 2025 - Issued Qty]])+Table13[[#This Row],[Incoming Qty]]</f>
        <v>43</v>
      </c>
      <c r="R50" s="207">
        <f>Table13[[#This Row],[February 2025 - Balance Qty]]*Table13[[#This Row],[Unit Cost]]</f>
        <v>3576.7400000000002</v>
      </c>
      <c r="S50" s="205">
        <v>0</v>
      </c>
      <c r="T50" s="206">
        <v>0</v>
      </c>
      <c r="U50" s="208">
        <f>Table13[[#This Row],[Incoming Unit Cost]]*Table13[[#This Row],[Incoming Qty]]</f>
        <v>0</v>
      </c>
      <c r="V50" s="206">
        <f>SUMIF(Table3267[Item],Table13[[#This Row],[Decription]],Table3267[Quantity Issued])</f>
        <v>39</v>
      </c>
      <c r="W50" s="206">
        <f>Table13[[#This Row],[Unit Cost]]*Table13[[#This Row],[March 2025 - Issued Qty]]</f>
        <v>3244.0200000000004</v>
      </c>
      <c r="X50" s="219">
        <f>(Table13[[#This Row],[February 2025 - Balance Qty]]-Table13[[#This Row],[March 2025 - Issued Qty]])+Table13[[#This Row],[Incoming Qty]]</f>
        <v>4</v>
      </c>
      <c r="Y50" s="207">
        <f>Table13[[#This Row],[March 2025 - Balance Qty]]*Table13[[#This Row],[Unit Cost]]</f>
        <v>332.72</v>
      </c>
      <c r="Z50" s="205">
        <v>0</v>
      </c>
      <c r="AA50" s="206">
        <v>0</v>
      </c>
      <c r="AB50" s="208">
        <f>Table13[[#This Row],[Incoming Unit Cost]]*Table13[[#This Row],[Incoming Qty]]</f>
        <v>0</v>
      </c>
      <c r="AC50" s="206">
        <f>SUMIF(Table326[Item],Table13[[#This Row],[Decription]],Table326[Quantity Issued])</f>
        <v>0</v>
      </c>
      <c r="AD50" s="206">
        <f>Table13[[#This Row],[Unit Cost]]*Table13[[#This Row],[April 2025 - Issued Qty ]]</f>
        <v>0</v>
      </c>
      <c r="AE50" s="219">
        <f>(Table13[[#This Row],[March 2025 - Balance Qty]]-Table13[[#This Row],[April 2025 - Issued Qty ]])+Table13[[#This Row],[Incoming Qty ]]</f>
        <v>4</v>
      </c>
      <c r="AF50" s="207">
        <f>Table13[[#This Row],[April 2025 - Balance Qty]]*Table13[[#This Row],[Unit Cost]]</f>
        <v>332.72</v>
      </c>
      <c r="AG50" s="207"/>
    </row>
    <row r="51" spans="1:33">
      <c r="A51" t="s">
        <v>77</v>
      </c>
      <c r="B51" t="s">
        <v>117</v>
      </c>
      <c r="C51" t="s">
        <v>123</v>
      </c>
      <c r="D51" t="s">
        <v>27</v>
      </c>
      <c r="E51" s="204">
        <v>10</v>
      </c>
      <c r="F51" s="204">
        <v>235</v>
      </c>
      <c r="G51" s="204">
        <f>Table13[[#This Row],[Unit Cost]]*Table13[[#This Row],[Quantity on Hand]]</f>
        <v>2350</v>
      </c>
      <c r="H51" s="205">
        <f>SUMIF(Table3[Item],Table13[[#This Row],[Decription]],Table3[Quantity Issued])</f>
        <v>0</v>
      </c>
      <c r="I51" s="206">
        <f>Table13[[#This Row],[January 2025 - Issued Qty]]*Table13[[#This Row],[Unit Cost]]</f>
        <v>0</v>
      </c>
      <c r="J51" s="95">
        <f>Table13[[#This Row],[Quantity on Hand]]-Table13[[#This Row],[January 2025 - Issued Qty]]</f>
        <v>10</v>
      </c>
      <c r="K51" s="207">
        <f>Table13[[#This Row],[January 2025 - Balance Qty]]*Table13[[#This Row],[Unit Cost]]</f>
        <v>2350</v>
      </c>
      <c r="L51" s="205">
        <v>0</v>
      </c>
      <c r="M51" s="206">
        <v>0</v>
      </c>
      <c r="N51" s="208">
        <f>Table13[[#This Row],[Incoming Unit Cost]]*Table13[[#This Row],[Incoming Qty]]</f>
        <v>0</v>
      </c>
      <c r="O51" s="206">
        <f>SUMIF(Table32[Item],Table13[[#This Row],[Decription]],Table32[Quantity Issued])</f>
        <v>0</v>
      </c>
      <c r="P51" s="206">
        <f>Table13[[#This Row],[Unit Cost]]*Table13[[#This Row],[February 2025 - Issued Qty]]</f>
        <v>0</v>
      </c>
      <c r="Q51" s="95">
        <f>(Table13[[#This Row],[January 2025 - Balance Qty]]-Table13[[#This Row],[February 2025 - Issued Qty]])+Table13[[#This Row],[Incoming Qty]]</f>
        <v>10</v>
      </c>
      <c r="R51" s="207">
        <f>Table13[[#This Row],[February 2025 - Balance Qty]]*Table13[[#This Row],[Unit Cost]]</f>
        <v>2350</v>
      </c>
      <c r="S51" s="205">
        <v>0</v>
      </c>
      <c r="T51" s="206">
        <v>0</v>
      </c>
      <c r="U51" s="208">
        <f>Table13[[#This Row],[Incoming Unit Cost]]*Table13[[#This Row],[Incoming Qty]]</f>
        <v>0</v>
      </c>
      <c r="V51" s="206">
        <f>SUMIF(Table3267[Item],Table13[[#This Row],[Decription]],Table3267[Quantity Issued])</f>
        <v>0</v>
      </c>
      <c r="W51" s="206">
        <f>Table13[[#This Row],[Unit Cost]]*Table13[[#This Row],[March 2025 - Issued Qty]]</f>
        <v>0</v>
      </c>
      <c r="X51" s="219">
        <f>(Table13[[#This Row],[February 2025 - Balance Qty]]-Table13[[#This Row],[March 2025 - Issued Qty]])+Table13[[#This Row],[Incoming Qty]]</f>
        <v>10</v>
      </c>
      <c r="Y51" s="207">
        <f>Table13[[#This Row],[March 2025 - Balance Qty]]*Table13[[#This Row],[Unit Cost]]</f>
        <v>2350</v>
      </c>
      <c r="Z51" s="205">
        <v>0</v>
      </c>
      <c r="AA51" s="206">
        <v>0</v>
      </c>
      <c r="AB51" s="208">
        <f>Table13[[#This Row],[Incoming Unit Cost]]*Table13[[#This Row],[Incoming Qty]]</f>
        <v>0</v>
      </c>
      <c r="AC51" s="206">
        <f>SUMIF(Table326[Item],Table13[[#This Row],[Decription]],Table326[Quantity Issued])</f>
        <v>10</v>
      </c>
      <c r="AD51" s="206">
        <f>Table13[[#This Row],[Unit Cost]]*Table13[[#This Row],[April 2025 - Issued Qty ]]</f>
        <v>2350</v>
      </c>
      <c r="AE51" s="219">
        <f>(Table13[[#This Row],[March 2025 - Balance Qty]]-Table13[[#This Row],[April 2025 - Issued Qty ]])+Table13[[#This Row],[Incoming Qty ]]</f>
        <v>0</v>
      </c>
      <c r="AF51" s="207">
        <f>Table13[[#This Row],[April 2025 - Balance Qty]]*Table13[[#This Row],[Unit Cost]]</f>
        <v>0</v>
      </c>
      <c r="AG51" s="207"/>
    </row>
    <row r="52" spans="1:33">
      <c r="A52" t="s">
        <v>77</v>
      </c>
      <c r="B52" t="s">
        <v>124</v>
      </c>
      <c r="C52" t="s">
        <v>125</v>
      </c>
      <c r="D52" t="s">
        <v>38</v>
      </c>
      <c r="E52" s="204">
        <v>5</v>
      </c>
      <c r="F52" s="204">
        <v>150</v>
      </c>
      <c r="G52" s="204">
        <f>Table13[[#This Row],[Unit Cost]]*Table13[[#This Row],[Quantity on Hand]]</f>
        <v>750</v>
      </c>
      <c r="H52" s="205">
        <f>SUMIF(Table3[Item],Table13[[#This Row],[Decription]],Table3[Quantity Issued])</f>
        <v>0</v>
      </c>
      <c r="I52" s="206">
        <f>Table13[[#This Row],[January 2025 - Issued Qty]]*Table13[[#This Row],[Unit Cost]]</f>
        <v>0</v>
      </c>
      <c r="J52" s="95">
        <f>Table13[[#This Row],[Quantity on Hand]]-Table13[[#This Row],[January 2025 - Issued Qty]]</f>
        <v>5</v>
      </c>
      <c r="K52" s="207">
        <f>Table13[[#This Row],[January 2025 - Balance Qty]]*Table13[[#This Row],[Unit Cost]]</f>
        <v>750</v>
      </c>
      <c r="L52" s="205">
        <v>0</v>
      </c>
      <c r="M52" s="206">
        <v>0</v>
      </c>
      <c r="N52" s="208">
        <f>Table13[[#This Row],[Incoming Unit Cost]]*Table13[[#This Row],[Incoming Qty]]</f>
        <v>0</v>
      </c>
      <c r="O52" s="206">
        <f>SUMIF(Table32[Item],Table13[[#This Row],[Decription]],Table32[Quantity Issued])</f>
        <v>0</v>
      </c>
      <c r="P52" s="206">
        <f>Table13[[#This Row],[Unit Cost]]*Table13[[#This Row],[February 2025 - Issued Qty]]</f>
        <v>0</v>
      </c>
      <c r="Q52" s="95">
        <f>(Table13[[#This Row],[January 2025 - Balance Qty]]-Table13[[#This Row],[February 2025 - Issued Qty]])+Table13[[#This Row],[Incoming Qty]]</f>
        <v>5</v>
      </c>
      <c r="R52" s="207">
        <f>Table13[[#This Row],[February 2025 - Balance Qty]]*Table13[[#This Row],[Unit Cost]]</f>
        <v>750</v>
      </c>
      <c r="S52" s="205">
        <v>0</v>
      </c>
      <c r="T52" s="206">
        <v>0</v>
      </c>
      <c r="U52" s="208">
        <f>Table13[[#This Row],[Incoming Unit Cost]]*Table13[[#This Row],[Incoming Qty]]</f>
        <v>0</v>
      </c>
      <c r="V52" s="206">
        <f>SUMIF(Table3267[Item],Table13[[#This Row],[Decription]],Table3267[Quantity Issued])</f>
        <v>5</v>
      </c>
      <c r="W52" s="206">
        <f>Table13[[#This Row],[Unit Cost]]*Table13[[#This Row],[March 2025 - Issued Qty]]</f>
        <v>750</v>
      </c>
      <c r="X52" s="219">
        <f>(Table13[[#This Row],[February 2025 - Balance Qty]]-Table13[[#This Row],[March 2025 - Issued Qty]])+Table13[[#This Row],[Incoming Qty]]</f>
        <v>0</v>
      </c>
      <c r="Y52" s="207">
        <f>Table13[[#This Row],[March 2025 - Balance Qty]]*Table13[[#This Row],[Unit Cost]]</f>
        <v>0</v>
      </c>
      <c r="Z52" s="205">
        <v>0</v>
      </c>
      <c r="AA52" s="206">
        <v>0</v>
      </c>
      <c r="AB52" s="208">
        <f>Table13[[#This Row],[Incoming Unit Cost]]*Table13[[#This Row],[Incoming Qty]]</f>
        <v>0</v>
      </c>
      <c r="AC52" s="206">
        <f>SUMIF(Table326[Item],Table13[[#This Row],[Decription]],Table326[Quantity Issued])</f>
        <v>0</v>
      </c>
      <c r="AD52" s="206">
        <f>Table13[[#This Row],[Unit Cost]]*Table13[[#This Row],[April 2025 - Issued Qty ]]</f>
        <v>0</v>
      </c>
      <c r="AE52" s="219">
        <f>(Table13[[#This Row],[March 2025 - Balance Qty]]-Table13[[#This Row],[April 2025 - Issued Qty ]])+Table13[[#This Row],[Incoming Qty ]]</f>
        <v>0</v>
      </c>
      <c r="AF52" s="207">
        <f>Table13[[#This Row],[April 2025 - Balance Qty]]*Table13[[#This Row],[Unit Cost]]</f>
        <v>0</v>
      </c>
      <c r="AG52" s="207"/>
    </row>
    <row r="53" spans="1:33">
      <c r="A53" t="s">
        <v>77</v>
      </c>
      <c r="B53" t="s">
        <v>124</v>
      </c>
      <c r="C53" t="s">
        <v>67</v>
      </c>
      <c r="D53" t="s">
        <v>38</v>
      </c>
      <c r="E53" s="204">
        <v>10</v>
      </c>
      <c r="F53" s="204">
        <v>225</v>
      </c>
      <c r="G53" s="204">
        <f>Table13[[#This Row],[Unit Cost]]*Table13[[#This Row],[Quantity on Hand]]</f>
        <v>2250</v>
      </c>
      <c r="H53" s="205">
        <f>SUMIF(Table3[Item],Table13[[#This Row],[Decription]],Table3[Quantity Issued])</f>
        <v>1</v>
      </c>
      <c r="I53" s="206">
        <f>Table13[[#This Row],[January 2025 - Issued Qty]]*Table13[[#This Row],[Unit Cost]]</f>
        <v>225</v>
      </c>
      <c r="J53" s="95">
        <f>Table13[[#This Row],[Quantity on Hand]]-Table13[[#This Row],[January 2025 - Issued Qty]]</f>
        <v>9</v>
      </c>
      <c r="K53" s="207">
        <f>Table13[[#This Row],[January 2025 - Balance Qty]]*Table13[[#This Row],[Unit Cost]]</f>
        <v>2025</v>
      </c>
      <c r="L53" s="205">
        <v>0</v>
      </c>
      <c r="M53" s="206">
        <v>0</v>
      </c>
      <c r="N53" s="208">
        <f>Table13[[#This Row],[Incoming Unit Cost]]*Table13[[#This Row],[Incoming Qty]]</f>
        <v>0</v>
      </c>
      <c r="O53" s="206">
        <f>SUMIF(Table32[Item],Table13[[#This Row],[Decription]],Table32[Quantity Issued])</f>
        <v>0</v>
      </c>
      <c r="P53" s="206">
        <f>Table13[[#This Row],[Unit Cost]]*Table13[[#This Row],[February 2025 - Issued Qty]]</f>
        <v>0</v>
      </c>
      <c r="Q53" s="95">
        <f>(Table13[[#This Row],[January 2025 - Balance Qty]]-Table13[[#This Row],[February 2025 - Issued Qty]])+Table13[[#This Row],[Incoming Qty]]</f>
        <v>9</v>
      </c>
      <c r="R53" s="207">
        <f>Table13[[#This Row],[February 2025 - Balance Qty]]*Table13[[#This Row],[Unit Cost]]</f>
        <v>2025</v>
      </c>
      <c r="S53" s="205">
        <v>0</v>
      </c>
      <c r="T53" s="206">
        <v>0</v>
      </c>
      <c r="U53" s="208">
        <f>Table13[[#This Row],[Incoming Unit Cost]]*Table13[[#This Row],[Incoming Qty]]</f>
        <v>0</v>
      </c>
      <c r="V53" s="206">
        <f>SUMIF(Table3267[Item],Table13[[#This Row],[Decription]],Table3267[Quantity Issued])</f>
        <v>1</v>
      </c>
      <c r="W53" s="206">
        <f>Table13[[#This Row],[Unit Cost]]*Table13[[#This Row],[March 2025 - Issued Qty]]</f>
        <v>225</v>
      </c>
      <c r="X53" s="219">
        <f>(Table13[[#This Row],[February 2025 - Balance Qty]]-Table13[[#This Row],[March 2025 - Issued Qty]])+Table13[[#This Row],[Incoming Qty]]</f>
        <v>8</v>
      </c>
      <c r="Y53" s="207">
        <f>Table13[[#This Row],[March 2025 - Balance Qty]]*Table13[[#This Row],[Unit Cost]]</f>
        <v>1800</v>
      </c>
      <c r="Z53" s="205">
        <v>0</v>
      </c>
      <c r="AA53" s="206">
        <v>0</v>
      </c>
      <c r="AB53" s="208">
        <f>Table13[[#This Row],[Incoming Unit Cost]]*Table13[[#This Row],[Incoming Qty]]</f>
        <v>0</v>
      </c>
      <c r="AC53" s="206">
        <f>SUMIF(Table326[Item],Table13[[#This Row],[Decription]],Table326[Quantity Issued])</f>
        <v>0</v>
      </c>
      <c r="AD53" s="206">
        <f>Table13[[#This Row],[Unit Cost]]*Table13[[#This Row],[April 2025 - Issued Qty ]]</f>
        <v>0</v>
      </c>
      <c r="AE53" s="219">
        <f>(Table13[[#This Row],[March 2025 - Balance Qty]]-Table13[[#This Row],[April 2025 - Issued Qty ]])+Table13[[#This Row],[Incoming Qty ]]</f>
        <v>8</v>
      </c>
      <c r="AF53" s="207">
        <f>Table13[[#This Row],[April 2025 - Balance Qty]]*Table13[[#This Row],[Unit Cost]]</f>
        <v>1800</v>
      </c>
      <c r="AG53" s="207"/>
    </row>
    <row r="54" spans="1:33">
      <c r="A54" t="s">
        <v>77</v>
      </c>
      <c r="B54" t="s">
        <v>124</v>
      </c>
      <c r="C54" t="s">
        <v>126</v>
      </c>
      <c r="D54" t="s">
        <v>38</v>
      </c>
      <c r="E54" s="204">
        <v>5</v>
      </c>
      <c r="F54" s="204">
        <v>40</v>
      </c>
      <c r="G54" s="204">
        <f>Table13[[#This Row],[Unit Cost]]*Table13[[#This Row],[Quantity on Hand]]</f>
        <v>200</v>
      </c>
      <c r="H54" s="205">
        <f>SUMIF(Table3[Item],Table13[[#This Row],[Decription]],Table3[Quantity Issued])</f>
        <v>0</v>
      </c>
      <c r="I54" s="206">
        <f>Table13[[#This Row],[January 2025 - Issued Qty]]*Table13[[#This Row],[Unit Cost]]</f>
        <v>0</v>
      </c>
      <c r="J54" s="95">
        <f>Table13[[#This Row],[Quantity on Hand]]-Table13[[#This Row],[January 2025 - Issued Qty]]</f>
        <v>5</v>
      </c>
      <c r="K54" s="207">
        <f>Table13[[#This Row],[January 2025 - Balance Qty]]*Table13[[#This Row],[Unit Cost]]</f>
        <v>200</v>
      </c>
      <c r="L54" s="205">
        <v>0</v>
      </c>
      <c r="M54" s="206">
        <v>0</v>
      </c>
      <c r="N54" s="208">
        <f>Table13[[#This Row],[Incoming Unit Cost]]*Table13[[#This Row],[Incoming Qty]]</f>
        <v>0</v>
      </c>
      <c r="O54" s="206">
        <f>SUMIF(Table32[Item],Table13[[#This Row],[Decription]],Table32[Quantity Issued])</f>
        <v>0</v>
      </c>
      <c r="P54" s="206">
        <f>Table13[[#This Row],[Unit Cost]]*Table13[[#This Row],[February 2025 - Issued Qty]]</f>
        <v>0</v>
      </c>
      <c r="Q54" s="95">
        <f>(Table13[[#This Row],[January 2025 - Balance Qty]]-Table13[[#This Row],[February 2025 - Issued Qty]])+Table13[[#This Row],[Incoming Qty]]</f>
        <v>5</v>
      </c>
      <c r="R54" s="207">
        <f>Table13[[#This Row],[February 2025 - Balance Qty]]*Table13[[#This Row],[Unit Cost]]</f>
        <v>200</v>
      </c>
      <c r="S54" s="205">
        <v>0</v>
      </c>
      <c r="T54" s="206">
        <v>0</v>
      </c>
      <c r="U54" s="208">
        <f>Table13[[#This Row],[Incoming Unit Cost]]*Table13[[#This Row],[Incoming Qty]]</f>
        <v>0</v>
      </c>
      <c r="V54" s="206">
        <f>SUMIF(Table3267[Item],Table13[[#This Row],[Decription]],Table3267[Quantity Issued])</f>
        <v>5</v>
      </c>
      <c r="W54" s="206">
        <f>Table13[[#This Row],[Unit Cost]]*Table13[[#This Row],[March 2025 - Issued Qty]]</f>
        <v>200</v>
      </c>
      <c r="X54" s="219">
        <f>(Table13[[#This Row],[February 2025 - Balance Qty]]-Table13[[#This Row],[March 2025 - Issued Qty]])+Table13[[#This Row],[Incoming Qty]]</f>
        <v>0</v>
      </c>
      <c r="Y54" s="207">
        <f>Table13[[#This Row],[March 2025 - Balance Qty]]*Table13[[#This Row],[Unit Cost]]</f>
        <v>0</v>
      </c>
      <c r="Z54" s="205">
        <v>0</v>
      </c>
      <c r="AA54" s="206">
        <v>0</v>
      </c>
      <c r="AB54" s="208">
        <f>Table13[[#This Row],[Incoming Unit Cost]]*Table13[[#This Row],[Incoming Qty]]</f>
        <v>0</v>
      </c>
      <c r="AC54" s="206">
        <f>SUMIF(Table326[Item],Table13[[#This Row],[Decription]],Table326[Quantity Issued])</f>
        <v>0</v>
      </c>
      <c r="AD54" s="206">
        <f>Table13[[#This Row],[Unit Cost]]*Table13[[#This Row],[April 2025 - Issued Qty ]]</f>
        <v>0</v>
      </c>
      <c r="AE54" s="219">
        <f>(Table13[[#This Row],[March 2025 - Balance Qty]]-Table13[[#This Row],[April 2025 - Issued Qty ]])+Table13[[#This Row],[Incoming Qty ]]</f>
        <v>0</v>
      </c>
      <c r="AF54" s="207">
        <f>Table13[[#This Row],[April 2025 - Balance Qty]]*Table13[[#This Row],[Unit Cost]]</f>
        <v>0</v>
      </c>
      <c r="AG54" s="207"/>
    </row>
    <row r="55" spans="1:33">
      <c r="A55" t="s">
        <v>77</v>
      </c>
      <c r="B55" t="s">
        <v>124</v>
      </c>
      <c r="C55" t="s">
        <v>127</v>
      </c>
      <c r="D55" t="s">
        <v>38</v>
      </c>
      <c r="E55" s="204">
        <v>9</v>
      </c>
      <c r="F55" s="204">
        <v>140</v>
      </c>
      <c r="G55" s="204">
        <f>Table13[[#This Row],[Unit Cost]]*Table13[[#This Row],[Quantity on Hand]]</f>
        <v>1260</v>
      </c>
      <c r="H55" s="205">
        <f>SUMIF(Table3[Item],Table13[[#This Row],[Decription]],Table3[Quantity Issued])</f>
        <v>0</v>
      </c>
      <c r="I55" s="206">
        <f>Table13[[#This Row],[January 2025 - Issued Qty]]*Table13[[#This Row],[Unit Cost]]</f>
        <v>0</v>
      </c>
      <c r="J55" s="95">
        <f>Table13[[#This Row],[Quantity on Hand]]-Table13[[#This Row],[January 2025 - Issued Qty]]</f>
        <v>9</v>
      </c>
      <c r="K55" s="207">
        <f>Table13[[#This Row],[January 2025 - Balance Qty]]*Table13[[#This Row],[Unit Cost]]</f>
        <v>1260</v>
      </c>
      <c r="L55" s="205">
        <v>0</v>
      </c>
      <c r="M55" s="206">
        <v>0</v>
      </c>
      <c r="N55" s="208">
        <f>Table13[[#This Row],[Incoming Unit Cost]]*Table13[[#This Row],[Incoming Qty]]</f>
        <v>0</v>
      </c>
      <c r="O55" s="206">
        <f>SUMIF(Table32[Item],Table13[[#This Row],[Decription]],Table32[Quantity Issued])</f>
        <v>0</v>
      </c>
      <c r="P55" s="206">
        <f>Table13[[#This Row],[Unit Cost]]*Table13[[#This Row],[February 2025 - Issued Qty]]</f>
        <v>0</v>
      </c>
      <c r="Q55" s="95">
        <f>(Table13[[#This Row],[January 2025 - Balance Qty]]-Table13[[#This Row],[February 2025 - Issued Qty]])+Table13[[#This Row],[Incoming Qty]]</f>
        <v>9</v>
      </c>
      <c r="R55" s="207">
        <f>Table13[[#This Row],[February 2025 - Balance Qty]]*Table13[[#This Row],[Unit Cost]]</f>
        <v>1260</v>
      </c>
      <c r="S55" s="205">
        <v>0</v>
      </c>
      <c r="T55" s="206">
        <v>0</v>
      </c>
      <c r="U55" s="208">
        <f>Table13[[#This Row],[Incoming Unit Cost]]*Table13[[#This Row],[Incoming Qty]]</f>
        <v>0</v>
      </c>
      <c r="V55" s="206">
        <f>SUMIF(Table3267[Item],Table13[[#This Row],[Decription]],Table3267[Quantity Issued])</f>
        <v>0</v>
      </c>
      <c r="W55" s="206">
        <f>Table13[[#This Row],[Unit Cost]]*Table13[[#This Row],[March 2025 - Issued Qty]]</f>
        <v>0</v>
      </c>
      <c r="X55" s="219">
        <f>(Table13[[#This Row],[February 2025 - Balance Qty]]-Table13[[#This Row],[March 2025 - Issued Qty]])+Table13[[#This Row],[Incoming Qty]]</f>
        <v>9</v>
      </c>
      <c r="Y55" s="207">
        <f>Table13[[#This Row],[March 2025 - Balance Qty]]*Table13[[#This Row],[Unit Cost]]</f>
        <v>1260</v>
      </c>
      <c r="Z55" s="205">
        <v>0</v>
      </c>
      <c r="AA55" s="206">
        <v>0</v>
      </c>
      <c r="AB55" s="208">
        <f>Table13[[#This Row],[Incoming Unit Cost]]*Table13[[#This Row],[Incoming Qty]]</f>
        <v>0</v>
      </c>
      <c r="AC55" s="206">
        <f>SUMIF(Table326[Item],Table13[[#This Row],[Decription]],Table326[Quantity Issued])</f>
        <v>0</v>
      </c>
      <c r="AD55" s="206">
        <f>Table13[[#This Row],[Unit Cost]]*Table13[[#This Row],[April 2025 - Issued Qty ]]</f>
        <v>0</v>
      </c>
      <c r="AE55" s="219">
        <f>(Table13[[#This Row],[March 2025 - Balance Qty]]-Table13[[#This Row],[April 2025 - Issued Qty ]])+Table13[[#This Row],[Incoming Qty ]]</f>
        <v>9</v>
      </c>
      <c r="AF55" s="207">
        <f>Table13[[#This Row],[April 2025 - Balance Qty]]*Table13[[#This Row],[Unit Cost]]</f>
        <v>1260</v>
      </c>
      <c r="AG55" s="207"/>
    </row>
    <row r="56" spans="1:33">
      <c r="A56" t="s">
        <v>77</v>
      </c>
      <c r="B56" t="s">
        <v>124</v>
      </c>
      <c r="C56" t="s">
        <v>128</v>
      </c>
      <c r="D56" t="s">
        <v>31</v>
      </c>
      <c r="E56" s="204">
        <v>19</v>
      </c>
      <c r="F56" s="204">
        <v>285</v>
      </c>
      <c r="G56" s="204">
        <f>Table13[[#This Row],[Unit Cost]]*Table13[[#This Row],[Quantity on Hand]]</f>
        <v>5415</v>
      </c>
      <c r="H56" s="205">
        <f>SUMIF(Table3[Item],Table13[[#This Row],[Decription]],Table3[Quantity Issued])</f>
        <v>0</v>
      </c>
      <c r="I56" s="206">
        <f>Table13[[#This Row],[January 2025 - Issued Qty]]*Table13[[#This Row],[Unit Cost]]</f>
        <v>0</v>
      </c>
      <c r="J56" s="95">
        <f>Table13[[#This Row],[Quantity on Hand]]-Table13[[#This Row],[January 2025 - Issued Qty]]</f>
        <v>19</v>
      </c>
      <c r="K56" s="207">
        <f>Table13[[#This Row],[January 2025 - Balance Qty]]*Table13[[#This Row],[Unit Cost]]</f>
        <v>5415</v>
      </c>
      <c r="L56" s="205">
        <v>0</v>
      </c>
      <c r="M56" s="206">
        <v>0</v>
      </c>
      <c r="N56" s="208">
        <f>Table13[[#This Row],[Incoming Unit Cost]]*Table13[[#This Row],[Incoming Qty]]</f>
        <v>0</v>
      </c>
      <c r="O56" s="206">
        <f>SUMIF(Table32[Item],Table13[[#This Row],[Decription]],Table32[Quantity Issued])</f>
        <v>16</v>
      </c>
      <c r="P56" s="206">
        <f>Table13[[#This Row],[Unit Cost]]*Table13[[#This Row],[February 2025 - Issued Qty]]</f>
        <v>4560</v>
      </c>
      <c r="Q56" s="95">
        <f>(Table13[[#This Row],[January 2025 - Balance Qty]]-Table13[[#This Row],[February 2025 - Issued Qty]])+Table13[[#This Row],[Incoming Qty]]</f>
        <v>3</v>
      </c>
      <c r="R56" s="207">
        <f>Table13[[#This Row],[February 2025 - Balance Qty]]*Table13[[#This Row],[Unit Cost]]</f>
        <v>855</v>
      </c>
      <c r="S56" s="205">
        <v>0</v>
      </c>
      <c r="T56" s="206">
        <v>0</v>
      </c>
      <c r="U56" s="208">
        <f>Table13[[#This Row],[Incoming Unit Cost]]*Table13[[#This Row],[Incoming Qty]]</f>
        <v>0</v>
      </c>
      <c r="V56" s="206">
        <f>SUMIF(Table3267[Item],Table13[[#This Row],[Decription]],Table3267[Quantity Issued])</f>
        <v>3</v>
      </c>
      <c r="W56" s="206">
        <f>Table13[[#This Row],[Unit Cost]]*Table13[[#This Row],[March 2025 - Issued Qty]]</f>
        <v>855</v>
      </c>
      <c r="X56" s="219">
        <f>(Table13[[#This Row],[February 2025 - Balance Qty]]-Table13[[#This Row],[March 2025 - Issued Qty]])+Table13[[#This Row],[Incoming Qty]]</f>
        <v>0</v>
      </c>
      <c r="Y56" s="207">
        <f>Table13[[#This Row],[March 2025 - Balance Qty]]*Table13[[#This Row],[Unit Cost]]</f>
        <v>0</v>
      </c>
      <c r="Z56" s="205">
        <v>0</v>
      </c>
      <c r="AA56" s="206">
        <v>0</v>
      </c>
      <c r="AB56" s="208">
        <f>Table13[[#This Row],[Incoming Unit Cost]]*Table13[[#This Row],[Incoming Qty]]</f>
        <v>0</v>
      </c>
      <c r="AC56" s="206">
        <f>SUMIF(Table326[Item],Table13[[#This Row],[Decription]],Table326[Quantity Issued])</f>
        <v>0</v>
      </c>
      <c r="AD56" s="206">
        <f>Table13[[#This Row],[Unit Cost]]*Table13[[#This Row],[April 2025 - Issued Qty ]]</f>
        <v>0</v>
      </c>
      <c r="AE56" s="219">
        <f>(Table13[[#This Row],[March 2025 - Balance Qty]]-Table13[[#This Row],[April 2025 - Issued Qty ]])+Table13[[#This Row],[Incoming Qty ]]</f>
        <v>0</v>
      </c>
      <c r="AF56" s="207">
        <f>Table13[[#This Row],[April 2025 - Balance Qty]]*Table13[[#This Row],[Unit Cost]]</f>
        <v>0</v>
      </c>
      <c r="AG56" s="207"/>
    </row>
    <row r="57" spans="1:33">
      <c r="A57" t="s">
        <v>77</v>
      </c>
      <c r="B57" t="s">
        <v>124</v>
      </c>
      <c r="C57" t="s">
        <v>54</v>
      </c>
      <c r="D57" t="s">
        <v>31</v>
      </c>
      <c r="E57" s="204">
        <v>29</v>
      </c>
      <c r="F57" s="204">
        <v>325</v>
      </c>
      <c r="G57" s="204">
        <f>Table13[[#This Row],[Unit Cost]]*Table13[[#This Row],[Quantity on Hand]]</f>
        <v>9425</v>
      </c>
      <c r="H57" s="205">
        <f>SUMIF(Table3[Item],Table13[[#This Row],[Decription]],Table3[Quantity Issued])</f>
        <v>26</v>
      </c>
      <c r="I57" s="206">
        <f>Table13[[#This Row],[January 2025 - Issued Qty]]*Table13[[#This Row],[Unit Cost]]</f>
        <v>8450</v>
      </c>
      <c r="J57" s="95">
        <f>Table13[[#This Row],[Quantity on Hand]]-Table13[[#This Row],[January 2025 - Issued Qty]]</f>
        <v>3</v>
      </c>
      <c r="K57" s="207">
        <f>Table13[[#This Row],[January 2025 - Balance Qty]]*Table13[[#This Row],[Unit Cost]]</f>
        <v>975</v>
      </c>
      <c r="L57" s="205">
        <v>0</v>
      </c>
      <c r="M57" s="206">
        <v>325</v>
      </c>
      <c r="N57" s="208">
        <f>Table13[[#This Row],[Incoming Unit Cost]]*Table13[[#This Row],[Incoming Qty]]</f>
        <v>0</v>
      </c>
      <c r="O57" s="206">
        <f>SUMIF(Table32[Item],Table13[[#This Row],[Decription]],Table32[Quantity Issued])</f>
        <v>2</v>
      </c>
      <c r="P57" s="206">
        <f>Table13[[#This Row],[Unit Cost]]*Table13[[#This Row],[February 2025 - Issued Qty]]</f>
        <v>650</v>
      </c>
      <c r="Q57" s="95">
        <f>(Table13[[#This Row],[January 2025 - Balance Qty]]-Table13[[#This Row],[February 2025 - Issued Qty]])+Table13[[#This Row],[Incoming Qty]]</f>
        <v>1</v>
      </c>
      <c r="R57" s="207">
        <f>Table13[[#This Row],[February 2025 - Balance Qty]]*Table13[[#This Row],[Unit Cost]]</f>
        <v>325</v>
      </c>
      <c r="S57" s="205">
        <v>0</v>
      </c>
      <c r="T57" s="206">
        <v>0</v>
      </c>
      <c r="U57" s="208">
        <f>Table13[[#This Row],[Incoming Unit Cost]]*Table13[[#This Row],[Incoming Qty]]</f>
        <v>0</v>
      </c>
      <c r="V57" s="206">
        <f>SUMIF(Table3267[Item],Table13[[#This Row],[Decription]],Table3267[Quantity Issued])</f>
        <v>1</v>
      </c>
      <c r="W57" s="206">
        <f>Table13[[#This Row],[Unit Cost]]*Table13[[#This Row],[March 2025 - Issued Qty]]</f>
        <v>325</v>
      </c>
      <c r="X57" s="219">
        <f>(Table13[[#This Row],[February 2025 - Balance Qty]]-Table13[[#This Row],[March 2025 - Issued Qty]])+Table13[[#This Row],[Incoming Qty]]</f>
        <v>0</v>
      </c>
      <c r="Y57" s="207">
        <f>Table13[[#This Row],[March 2025 - Balance Qty]]*Table13[[#This Row],[Unit Cost]]</f>
        <v>0</v>
      </c>
      <c r="Z57" s="205">
        <v>0</v>
      </c>
      <c r="AA57" s="206">
        <v>0</v>
      </c>
      <c r="AB57" s="208">
        <f>Table13[[#This Row],[Incoming Unit Cost]]*Table13[[#This Row],[Incoming Qty]]</f>
        <v>0</v>
      </c>
      <c r="AC57" s="206">
        <f>SUMIF(Table326[Item],Table13[[#This Row],[Decription]],Table326[Quantity Issued])</f>
        <v>0</v>
      </c>
      <c r="AD57" s="206">
        <f>Table13[[#This Row],[Unit Cost]]*Table13[[#This Row],[April 2025 - Issued Qty ]]</f>
        <v>0</v>
      </c>
      <c r="AE57" s="219">
        <f>(Table13[[#This Row],[March 2025 - Balance Qty]]-Table13[[#This Row],[April 2025 - Issued Qty ]])+Table13[[#This Row],[Incoming Qty ]]</f>
        <v>0</v>
      </c>
      <c r="AF57" s="207">
        <f>Table13[[#This Row],[April 2025 - Balance Qty]]*Table13[[#This Row],[Unit Cost]]</f>
        <v>0</v>
      </c>
      <c r="AG57" s="207"/>
    </row>
    <row r="58" spans="1:33">
      <c r="A58" t="s">
        <v>77</v>
      </c>
      <c r="B58" t="s">
        <v>124</v>
      </c>
      <c r="C58" t="s">
        <v>129</v>
      </c>
      <c r="D58" t="s">
        <v>31</v>
      </c>
      <c r="E58" s="204">
        <v>44</v>
      </c>
      <c r="F58" s="204">
        <v>310</v>
      </c>
      <c r="G58" s="204">
        <f>Table13[[#This Row],[Unit Cost]]*Table13[[#This Row],[Quantity on Hand]]</f>
        <v>13640</v>
      </c>
      <c r="H58" s="205">
        <f>SUMIF(Table3[Item],Table13[[#This Row],[Decription]],Table3[Quantity Issued])</f>
        <v>0</v>
      </c>
      <c r="I58" s="206">
        <f>Table13[[#This Row],[January 2025 - Issued Qty]]*Table13[[#This Row],[Unit Cost]]</f>
        <v>0</v>
      </c>
      <c r="J58" s="95">
        <f>Table13[[#This Row],[Quantity on Hand]]-Table13[[#This Row],[January 2025 - Issued Qty]]</f>
        <v>44</v>
      </c>
      <c r="K58" s="207">
        <f>Table13[[#This Row],[January 2025 - Balance Qty]]*Table13[[#This Row],[Unit Cost]]</f>
        <v>13640</v>
      </c>
      <c r="L58" s="205">
        <v>0</v>
      </c>
      <c r="M58" s="206">
        <v>0</v>
      </c>
      <c r="N58" s="208">
        <f>Table13[[#This Row],[Incoming Unit Cost]]*Table13[[#This Row],[Incoming Qty]]</f>
        <v>0</v>
      </c>
      <c r="O58" s="206">
        <f>SUMIF(Table32[Item],Table13[[#This Row],[Decription]],Table32[Quantity Issued])</f>
        <v>0</v>
      </c>
      <c r="P58" s="206">
        <f>Table13[[#This Row],[Unit Cost]]*Table13[[#This Row],[February 2025 - Issued Qty]]</f>
        <v>0</v>
      </c>
      <c r="Q58" s="95">
        <f>(Table13[[#This Row],[January 2025 - Balance Qty]]-Table13[[#This Row],[February 2025 - Issued Qty]])+Table13[[#This Row],[Incoming Qty]]</f>
        <v>44</v>
      </c>
      <c r="R58" s="207">
        <f>Table13[[#This Row],[February 2025 - Balance Qty]]*Table13[[#This Row],[Unit Cost]]</f>
        <v>13640</v>
      </c>
      <c r="S58" s="205">
        <v>0</v>
      </c>
      <c r="T58" s="206">
        <v>0</v>
      </c>
      <c r="U58" s="208">
        <f>Table13[[#This Row],[Incoming Unit Cost]]*Table13[[#This Row],[Incoming Qty]]</f>
        <v>0</v>
      </c>
      <c r="V58" s="206">
        <f>SUMIF(Table3267[Item],Table13[[#This Row],[Decription]],Table3267[Quantity Issued])</f>
        <v>4</v>
      </c>
      <c r="W58" s="206">
        <f>Table13[[#This Row],[Unit Cost]]*Table13[[#This Row],[March 2025 - Issued Qty]]</f>
        <v>1240</v>
      </c>
      <c r="X58" s="219">
        <f>(Table13[[#This Row],[February 2025 - Balance Qty]]-Table13[[#This Row],[March 2025 - Issued Qty]])+Table13[[#This Row],[Incoming Qty]]</f>
        <v>40</v>
      </c>
      <c r="Y58" s="207">
        <f>Table13[[#This Row],[March 2025 - Balance Qty]]*Table13[[#This Row],[Unit Cost]]</f>
        <v>12400</v>
      </c>
      <c r="Z58" s="205">
        <v>0</v>
      </c>
      <c r="AA58" s="206">
        <v>0</v>
      </c>
      <c r="AB58" s="208">
        <f>Table13[[#This Row],[Incoming Unit Cost]]*Table13[[#This Row],[Incoming Qty]]</f>
        <v>0</v>
      </c>
      <c r="AC58" s="206">
        <f>SUMIF(Table326[Item],Table13[[#This Row],[Decription]],Table326[Quantity Issued])</f>
        <v>0</v>
      </c>
      <c r="AD58" s="206">
        <f>Table13[[#This Row],[Unit Cost]]*Table13[[#This Row],[April 2025 - Issued Qty ]]</f>
        <v>0</v>
      </c>
      <c r="AE58" s="219">
        <f>(Table13[[#This Row],[March 2025 - Balance Qty]]-Table13[[#This Row],[April 2025 - Issued Qty ]])+Table13[[#This Row],[Incoming Qty ]]</f>
        <v>40</v>
      </c>
      <c r="AF58" s="207">
        <f>Table13[[#This Row],[April 2025 - Balance Qty]]*Table13[[#This Row],[Unit Cost]]</f>
        <v>12400</v>
      </c>
      <c r="AG58" s="207"/>
    </row>
    <row r="59" spans="1:33">
      <c r="A59" t="s">
        <v>77</v>
      </c>
      <c r="B59" t="s">
        <v>124</v>
      </c>
      <c r="C59" t="s">
        <v>51</v>
      </c>
      <c r="D59" t="s">
        <v>31</v>
      </c>
      <c r="E59" s="204">
        <v>43</v>
      </c>
      <c r="F59" s="204">
        <v>340.17</v>
      </c>
      <c r="G59" s="204">
        <f>Table13[[#This Row],[Unit Cost]]*Table13[[#This Row],[Quantity on Hand]]</f>
        <v>14627.310000000001</v>
      </c>
      <c r="H59" s="205">
        <f>SUMIF(Table3[Item],Table13[[#This Row],[Decription]],Table3[Quantity Issued])</f>
        <v>20</v>
      </c>
      <c r="I59" s="206">
        <f>Table13[[#This Row],[January 2025 - Issued Qty]]*Table13[[#This Row],[Unit Cost]]</f>
        <v>6803.4000000000005</v>
      </c>
      <c r="J59" s="95">
        <f>Table13[[#This Row],[Quantity on Hand]]-Table13[[#This Row],[January 2025 - Issued Qty]]</f>
        <v>23</v>
      </c>
      <c r="K59" s="207">
        <f>Table13[[#This Row],[January 2025 - Balance Qty]]*Table13[[#This Row],[Unit Cost]]</f>
        <v>7823.9100000000008</v>
      </c>
      <c r="L59" s="205">
        <v>0</v>
      </c>
      <c r="M59" s="206">
        <v>0</v>
      </c>
      <c r="N59" s="208">
        <f>Table13[[#This Row],[Incoming Unit Cost]]*Table13[[#This Row],[Incoming Qty]]</f>
        <v>0</v>
      </c>
      <c r="O59" s="206">
        <f>SUMIF(Table32[Item],Table13[[#This Row],[Decription]],Table32[Quantity Issued])</f>
        <v>13</v>
      </c>
      <c r="P59" s="206">
        <f>Table13[[#This Row],[Unit Cost]]*Table13[[#This Row],[February 2025 - Issued Qty]]</f>
        <v>4422.21</v>
      </c>
      <c r="Q59" s="95">
        <f>(Table13[[#This Row],[January 2025 - Balance Qty]]-Table13[[#This Row],[February 2025 - Issued Qty]])+Table13[[#This Row],[Incoming Qty]]</f>
        <v>10</v>
      </c>
      <c r="R59" s="207">
        <f>Table13[[#This Row],[February 2025 - Balance Qty]]*Table13[[#This Row],[Unit Cost]]</f>
        <v>3401.7000000000003</v>
      </c>
      <c r="S59" s="205">
        <v>0</v>
      </c>
      <c r="T59" s="206">
        <v>0</v>
      </c>
      <c r="U59" s="208">
        <f>Table13[[#This Row],[Incoming Unit Cost]]*Table13[[#This Row],[Incoming Qty]]</f>
        <v>0</v>
      </c>
      <c r="V59" s="206">
        <f>SUMIF(Table3267[Item],Table13[[#This Row],[Decription]],Table3267[Quantity Issued])</f>
        <v>10</v>
      </c>
      <c r="W59" s="206">
        <f>Table13[[#This Row],[Unit Cost]]*Table13[[#This Row],[March 2025 - Issued Qty]]</f>
        <v>3401.7000000000003</v>
      </c>
      <c r="X59" s="219">
        <f>(Table13[[#This Row],[February 2025 - Balance Qty]]-Table13[[#This Row],[March 2025 - Issued Qty]])+Table13[[#This Row],[Incoming Qty]]</f>
        <v>0</v>
      </c>
      <c r="Y59" s="207">
        <f>Table13[[#This Row],[March 2025 - Balance Qty]]*Table13[[#This Row],[Unit Cost]]</f>
        <v>0</v>
      </c>
      <c r="Z59" s="205">
        <v>0</v>
      </c>
      <c r="AA59" s="206">
        <v>0</v>
      </c>
      <c r="AB59" s="208">
        <f>Table13[[#This Row],[Incoming Unit Cost]]*Table13[[#This Row],[Incoming Qty]]</f>
        <v>0</v>
      </c>
      <c r="AC59" s="206">
        <f>SUMIF(Table326[Item],Table13[[#This Row],[Decription]],Table326[Quantity Issued])</f>
        <v>0</v>
      </c>
      <c r="AD59" s="206">
        <f>Table13[[#This Row],[Unit Cost]]*Table13[[#This Row],[April 2025 - Issued Qty ]]</f>
        <v>0</v>
      </c>
      <c r="AE59" s="219">
        <f>(Table13[[#This Row],[March 2025 - Balance Qty]]-Table13[[#This Row],[April 2025 - Issued Qty ]])+Table13[[#This Row],[Incoming Qty ]]</f>
        <v>0</v>
      </c>
      <c r="AF59" s="207">
        <f>Table13[[#This Row],[April 2025 - Balance Qty]]*Table13[[#This Row],[Unit Cost]]</f>
        <v>0</v>
      </c>
      <c r="AG59" s="207"/>
    </row>
    <row r="60" spans="1:33">
      <c r="A60" t="s">
        <v>77</v>
      </c>
      <c r="B60" t="s">
        <v>124</v>
      </c>
      <c r="C60" t="s">
        <v>130</v>
      </c>
      <c r="D60" t="s">
        <v>38</v>
      </c>
      <c r="E60" s="204">
        <v>11</v>
      </c>
      <c r="F60" s="204">
        <v>96.84</v>
      </c>
      <c r="G60" s="204">
        <f>Table13[[#This Row],[Unit Cost]]*Table13[[#This Row],[Quantity on Hand]]</f>
        <v>1065.24</v>
      </c>
      <c r="H60" s="205">
        <f>SUMIF(Table3[Item],Table13[[#This Row],[Decription]],Table3[Quantity Issued])</f>
        <v>0</v>
      </c>
      <c r="I60" s="206">
        <f>Table13[[#This Row],[January 2025 - Issued Qty]]*Table13[[#This Row],[Unit Cost]]</f>
        <v>0</v>
      </c>
      <c r="J60" s="95">
        <f>Table13[[#This Row],[Quantity on Hand]]-Table13[[#This Row],[January 2025 - Issued Qty]]</f>
        <v>11</v>
      </c>
      <c r="K60" s="207">
        <f>Table13[[#This Row],[January 2025 - Balance Qty]]*Table13[[#This Row],[Unit Cost]]</f>
        <v>1065.24</v>
      </c>
      <c r="L60" s="205">
        <v>0</v>
      </c>
      <c r="M60" s="206">
        <v>0</v>
      </c>
      <c r="N60" s="208">
        <f>Table13[[#This Row],[Incoming Unit Cost]]*Table13[[#This Row],[Incoming Qty]]</f>
        <v>0</v>
      </c>
      <c r="O60" s="206">
        <f>SUMIF(Table32[Item],Table13[[#This Row],[Decription]],Table32[Quantity Issued])</f>
        <v>0</v>
      </c>
      <c r="P60" s="206">
        <f>Table13[[#This Row],[Unit Cost]]*Table13[[#This Row],[February 2025 - Issued Qty]]</f>
        <v>0</v>
      </c>
      <c r="Q60" s="95">
        <f>(Table13[[#This Row],[January 2025 - Balance Qty]]-Table13[[#This Row],[February 2025 - Issued Qty]])+Table13[[#This Row],[Incoming Qty]]</f>
        <v>11</v>
      </c>
      <c r="R60" s="207">
        <f>Table13[[#This Row],[February 2025 - Balance Qty]]*Table13[[#This Row],[Unit Cost]]</f>
        <v>1065.24</v>
      </c>
      <c r="S60" s="205">
        <v>0</v>
      </c>
      <c r="T60" s="206">
        <v>0</v>
      </c>
      <c r="U60" s="208">
        <f>Table13[[#This Row],[Incoming Unit Cost]]*Table13[[#This Row],[Incoming Qty]]</f>
        <v>0</v>
      </c>
      <c r="V60" s="206">
        <f>SUMIF(Table3267[Item],Table13[[#This Row],[Decription]],Table3267[Quantity Issued])</f>
        <v>0</v>
      </c>
      <c r="W60" s="206">
        <f>Table13[[#This Row],[Unit Cost]]*Table13[[#This Row],[March 2025 - Issued Qty]]</f>
        <v>0</v>
      </c>
      <c r="X60" s="219">
        <f>(Table13[[#This Row],[February 2025 - Balance Qty]]-Table13[[#This Row],[March 2025 - Issued Qty]])+Table13[[#This Row],[Incoming Qty]]</f>
        <v>11</v>
      </c>
      <c r="Y60" s="207">
        <f>Table13[[#This Row],[March 2025 - Balance Qty]]*Table13[[#This Row],[Unit Cost]]</f>
        <v>1065.24</v>
      </c>
      <c r="Z60" s="205">
        <v>0</v>
      </c>
      <c r="AA60" s="206">
        <v>0</v>
      </c>
      <c r="AB60" s="208">
        <f>Table13[[#This Row],[Incoming Unit Cost]]*Table13[[#This Row],[Incoming Qty]]</f>
        <v>0</v>
      </c>
      <c r="AC60" s="206">
        <f>SUMIF(Table326[Item],Table13[[#This Row],[Decription]],Table326[Quantity Issued])</f>
        <v>2</v>
      </c>
      <c r="AD60" s="206">
        <f>Table13[[#This Row],[Unit Cost]]*Table13[[#This Row],[April 2025 - Issued Qty ]]</f>
        <v>193.68</v>
      </c>
      <c r="AE60" s="219">
        <f>(Table13[[#This Row],[March 2025 - Balance Qty]]-Table13[[#This Row],[April 2025 - Issued Qty ]])+Table13[[#This Row],[Incoming Qty ]]</f>
        <v>9</v>
      </c>
      <c r="AF60" s="207">
        <f>Table13[[#This Row],[April 2025 - Balance Qty]]*Table13[[#This Row],[Unit Cost]]</f>
        <v>871.56000000000006</v>
      </c>
      <c r="AG60" s="207"/>
    </row>
    <row r="61" spans="1:33">
      <c r="A61" t="s">
        <v>77</v>
      </c>
      <c r="B61" t="s">
        <v>124</v>
      </c>
      <c r="C61" t="s">
        <v>131</v>
      </c>
      <c r="D61" t="s">
        <v>38</v>
      </c>
      <c r="E61" s="204">
        <v>12</v>
      </c>
      <c r="F61" s="204">
        <v>40</v>
      </c>
      <c r="G61" s="204">
        <f>Table13[[#This Row],[Unit Cost]]*Table13[[#This Row],[Quantity on Hand]]</f>
        <v>480</v>
      </c>
      <c r="H61" s="205">
        <f>SUMIF(Table3[Item],Table13[[#This Row],[Decription]],Table3[Quantity Issued])</f>
        <v>0</v>
      </c>
      <c r="I61" s="206">
        <f>Table13[[#This Row],[January 2025 - Issued Qty]]*Table13[[#This Row],[Unit Cost]]</f>
        <v>0</v>
      </c>
      <c r="J61" s="95">
        <f>Table13[[#This Row],[Quantity on Hand]]-Table13[[#This Row],[January 2025 - Issued Qty]]</f>
        <v>12</v>
      </c>
      <c r="K61" s="207">
        <f>Table13[[#This Row],[January 2025 - Balance Qty]]*Table13[[#This Row],[Unit Cost]]</f>
        <v>480</v>
      </c>
      <c r="L61" s="205">
        <v>0</v>
      </c>
      <c r="M61" s="206">
        <v>0</v>
      </c>
      <c r="N61" s="208">
        <f>Table13[[#This Row],[Incoming Unit Cost]]*Table13[[#This Row],[Incoming Qty]]</f>
        <v>0</v>
      </c>
      <c r="O61" s="206">
        <f>SUMIF(Table32[Item],Table13[[#This Row],[Decription]],Table32[Quantity Issued])</f>
        <v>0</v>
      </c>
      <c r="P61" s="206">
        <f>Table13[[#This Row],[Unit Cost]]*Table13[[#This Row],[February 2025 - Issued Qty]]</f>
        <v>0</v>
      </c>
      <c r="Q61" s="95">
        <f>(Table13[[#This Row],[January 2025 - Balance Qty]]-Table13[[#This Row],[February 2025 - Issued Qty]])+Table13[[#This Row],[Incoming Qty]]</f>
        <v>12</v>
      </c>
      <c r="R61" s="207">
        <f>Table13[[#This Row],[February 2025 - Balance Qty]]*Table13[[#This Row],[Unit Cost]]</f>
        <v>480</v>
      </c>
      <c r="S61" s="205">
        <v>0</v>
      </c>
      <c r="T61" s="206">
        <v>0</v>
      </c>
      <c r="U61" s="208">
        <f>Table13[[#This Row],[Incoming Unit Cost]]*Table13[[#This Row],[Incoming Qty]]</f>
        <v>0</v>
      </c>
      <c r="V61" s="206">
        <f>SUMIF(Table3267[Item],Table13[[#This Row],[Decription]],Table3267[Quantity Issued])</f>
        <v>3</v>
      </c>
      <c r="W61" s="206">
        <f>Table13[[#This Row],[Unit Cost]]*Table13[[#This Row],[March 2025 - Issued Qty]]</f>
        <v>120</v>
      </c>
      <c r="X61" s="219">
        <f>(Table13[[#This Row],[February 2025 - Balance Qty]]-Table13[[#This Row],[March 2025 - Issued Qty]])+Table13[[#This Row],[Incoming Qty]]</f>
        <v>9</v>
      </c>
      <c r="Y61" s="207">
        <f>Table13[[#This Row],[March 2025 - Balance Qty]]*Table13[[#This Row],[Unit Cost]]</f>
        <v>360</v>
      </c>
      <c r="Z61" s="205">
        <v>0</v>
      </c>
      <c r="AA61" s="206">
        <v>0</v>
      </c>
      <c r="AB61" s="208">
        <f>Table13[[#This Row],[Incoming Unit Cost]]*Table13[[#This Row],[Incoming Qty]]</f>
        <v>0</v>
      </c>
      <c r="AC61" s="206">
        <f>SUMIF(Table326[Item],Table13[[#This Row],[Decription]],Table326[Quantity Issued])</f>
        <v>0</v>
      </c>
      <c r="AD61" s="206">
        <f>Table13[[#This Row],[Unit Cost]]*Table13[[#This Row],[April 2025 - Issued Qty ]]</f>
        <v>0</v>
      </c>
      <c r="AE61" s="219">
        <f>(Table13[[#This Row],[March 2025 - Balance Qty]]-Table13[[#This Row],[April 2025 - Issued Qty ]])+Table13[[#This Row],[Incoming Qty ]]</f>
        <v>9</v>
      </c>
      <c r="AF61" s="207">
        <f>Table13[[#This Row],[April 2025 - Balance Qty]]*Table13[[#This Row],[Unit Cost]]</f>
        <v>360</v>
      </c>
      <c r="AG61" s="207"/>
    </row>
    <row r="62" spans="1:33">
      <c r="A62" t="s">
        <v>77</v>
      </c>
      <c r="B62" t="s">
        <v>124</v>
      </c>
      <c r="C62" t="s">
        <v>132</v>
      </c>
      <c r="D62" t="s">
        <v>38</v>
      </c>
      <c r="E62" s="204">
        <v>13</v>
      </c>
      <c r="F62" s="204">
        <v>53.7</v>
      </c>
      <c r="G62" s="204">
        <f>Table13[[#This Row],[Unit Cost]]*Table13[[#This Row],[Quantity on Hand]]</f>
        <v>698.1</v>
      </c>
      <c r="H62" s="205">
        <f>SUMIF(Table3[Item],Table13[[#This Row],[Decription]],Table3[Quantity Issued])</f>
        <v>0</v>
      </c>
      <c r="I62" s="206">
        <f>Table13[[#This Row],[January 2025 - Issued Qty]]*Table13[[#This Row],[Unit Cost]]</f>
        <v>0</v>
      </c>
      <c r="J62" s="95">
        <f>Table13[[#This Row],[Quantity on Hand]]-Table13[[#This Row],[January 2025 - Issued Qty]]</f>
        <v>13</v>
      </c>
      <c r="K62" s="207">
        <f>Table13[[#This Row],[January 2025 - Balance Qty]]*Table13[[#This Row],[Unit Cost]]</f>
        <v>698.1</v>
      </c>
      <c r="L62" s="205">
        <v>0</v>
      </c>
      <c r="M62" s="206">
        <v>0</v>
      </c>
      <c r="N62" s="208">
        <f>Table13[[#This Row],[Incoming Unit Cost]]*Table13[[#This Row],[Incoming Qty]]</f>
        <v>0</v>
      </c>
      <c r="O62" s="206">
        <f>SUMIF(Table32[Item],Table13[[#This Row],[Decription]],Table32[Quantity Issued])</f>
        <v>0</v>
      </c>
      <c r="P62" s="206">
        <f>Table13[[#This Row],[Unit Cost]]*Table13[[#This Row],[February 2025 - Issued Qty]]</f>
        <v>0</v>
      </c>
      <c r="Q62" s="95">
        <f>(Table13[[#This Row],[January 2025 - Balance Qty]]-Table13[[#This Row],[February 2025 - Issued Qty]])+Table13[[#This Row],[Incoming Qty]]</f>
        <v>13</v>
      </c>
      <c r="R62" s="207">
        <f>Table13[[#This Row],[February 2025 - Balance Qty]]*Table13[[#This Row],[Unit Cost]]</f>
        <v>698.1</v>
      </c>
      <c r="S62" s="205">
        <v>0</v>
      </c>
      <c r="T62" s="206">
        <v>0</v>
      </c>
      <c r="U62" s="208">
        <f>Table13[[#This Row],[Incoming Unit Cost]]*Table13[[#This Row],[Incoming Qty]]</f>
        <v>0</v>
      </c>
      <c r="V62" s="206">
        <f>SUMIF(Table3267[Item],Table13[[#This Row],[Decription]],Table3267[Quantity Issued])</f>
        <v>0</v>
      </c>
      <c r="W62" s="206">
        <f>Table13[[#This Row],[Unit Cost]]*Table13[[#This Row],[March 2025 - Issued Qty]]</f>
        <v>0</v>
      </c>
      <c r="X62" s="219">
        <f>(Table13[[#This Row],[February 2025 - Balance Qty]]-Table13[[#This Row],[March 2025 - Issued Qty]])+Table13[[#This Row],[Incoming Qty]]</f>
        <v>13</v>
      </c>
      <c r="Y62" s="207">
        <f>Table13[[#This Row],[March 2025 - Balance Qty]]*Table13[[#This Row],[Unit Cost]]</f>
        <v>698.1</v>
      </c>
      <c r="Z62" s="205">
        <v>0</v>
      </c>
      <c r="AA62" s="206">
        <v>0</v>
      </c>
      <c r="AB62" s="208">
        <f>Table13[[#This Row],[Incoming Unit Cost]]*Table13[[#This Row],[Incoming Qty]]</f>
        <v>0</v>
      </c>
      <c r="AC62" s="206">
        <f>SUMIF(Table326[Item],Table13[[#This Row],[Decription]],Table326[Quantity Issued])</f>
        <v>5</v>
      </c>
      <c r="AD62" s="206">
        <f>Table13[[#This Row],[Unit Cost]]*Table13[[#This Row],[April 2025 - Issued Qty ]]</f>
        <v>268.5</v>
      </c>
      <c r="AE62" s="219">
        <f>(Table13[[#This Row],[March 2025 - Balance Qty]]-Table13[[#This Row],[April 2025 - Issued Qty ]])+Table13[[#This Row],[Incoming Qty ]]</f>
        <v>8</v>
      </c>
      <c r="AF62" s="207">
        <f>Table13[[#This Row],[April 2025 - Balance Qty]]*Table13[[#This Row],[Unit Cost]]</f>
        <v>429.6</v>
      </c>
      <c r="AG62" s="207"/>
    </row>
    <row r="63" spans="1:33">
      <c r="A63" t="s">
        <v>77</v>
      </c>
      <c r="B63" t="s">
        <v>133</v>
      </c>
      <c r="C63" t="s">
        <v>134</v>
      </c>
      <c r="D63" t="s">
        <v>34</v>
      </c>
      <c r="E63" s="204">
        <v>10</v>
      </c>
      <c r="F63" s="204">
        <v>462.43</v>
      </c>
      <c r="G63" s="204">
        <f>Table13[[#This Row],[Unit Cost]]*Table13[[#This Row],[Quantity on Hand]]</f>
        <v>4624.3</v>
      </c>
      <c r="H63" s="205">
        <f>SUMIF(Table3[Item],Table13[[#This Row],[Decription]],Table3[Quantity Issued])</f>
        <v>0</v>
      </c>
      <c r="I63" s="206">
        <f>Table13[[#This Row],[January 2025 - Issued Qty]]*Table13[[#This Row],[Unit Cost]]</f>
        <v>0</v>
      </c>
      <c r="J63" s="95">
        <f>Table13[[#This Row],[Quantity on Hand]]-Table13[[#This Row],[January 2025 - Issued Qty]]</f>
        <v>10</v>
      </c>
      <c r="K63" s="207">
        <f>Table13[[#This Row],[January 2025 - Balance Qty]]*Table13[[#This Row],[Unit Cost]]</f>
        <v>4624.3</v>
      </c>
      <c r="L63" s="205">
        <v>0</v>
      </c>
      <c r="M63" s="206">
        <v>0</v>
      </c>
      <c r="N63" s="208">
        <f>Table13[[#This Row],[Incoming Unit Cost]]*Table13[[#This Row],[Incoming Qty]]</f>
        <v>0</v>
      </c>
      <c r="O63" s="206">
        <f>SUMIF(Table32[Item],Table13[[#This Row],[Decription]],Table32[Quantity Issued])</f>
        <v>1</v>
      </c>
      <c r="P63" s="206">
        <f>Table13[[#This Row],[Unit Cost]]*Table13[[#This Row],[February 2025 - Issued Qty]]</f>
        <v>462.43</v>
      </c>
      <c r="Q63" s="95">
        <f>(Table13[[#This Row],[January 2025 - Balance Qty]]-Table13[[#This Row],[February 2025 - Issued Qty]])+Table13[[#This Row],[Incoming Qty]]</f>
        <v>9</v>
      </c>
      <c r="R63" s="207">
        <f>Table13[[#This Row],[February 2025 - Balance Qty]]*Table13[[#This Row],[Unit Cost]]</f>
        <v>4161.87</v>
      </c>
      <c r="S63" s="205">
        <v>0</v>
      </c>
      <c r="T63" s="206">
        <v>0</v>
      </c>
      <c r="U63" s="208">
        <f>Table13[[#This Row],[Incoming Unit Cost]]*Table13[[#This Row],[Incoming Qty]]</f>
        <v>0</v>
      </c>
      <c r="V63" s="206">
        <f>SUMIF(Table3267[Item],Table13[[#This Row],[Decription]],Table3267[Quantity Issued])</f>
        <v>4</v>
      </c>
      <c r="W63" s="206">
        <f>Table13[[#This Row],[Unit Cost]]*Table13[[#This Row],[March 2025 - Issued Qty]]</f>
        <v>1849.72</v>
      </c>
      <c r="X63" s="219">
        <f>(Table13[[#This Row],[February 2025 - Balance Qty]]-Table13[[#This Row],[March 2025 - Issued Qty]])+Table13[[#This Row],[Incoming Qty]]</f>
        <v>5</v>
      </c>
      <c r="Y63" s="207">
        <f>Table13[[#This Row],[March 2025 - Balance Qty]]*Table13[[#This Row],[Unit Cost]]</f>
        <v>2312.15</v>
      </c>
      <c r="Z63" s="205">
        <v>0</v>
      </c>
      <c r="AA63" s="206">
        <v>0</v>
      </c>
      <c r="AB63" s="208">
        <f>Table13[[#This Row],[Incoming Unit Cost]]*Table13[[#This Row],[Incoming Qty]]</f>
        <v>0</v>
      </c>
      <c r="AC63" s="206">
        <f>SUMIF(Table326[Item],Table13[[#This Row],[Decription]],Table326[Quantity Issued])</f>
        <v>0</v>
      </c>
      <c r="AD63" s="206">
        <f>Table13[[#This Row],[Unit Cost]]*Table13[[#This Row],[April 2025 - Issued Qty ]]</f>
        <v>0</v>
      </c>
      <c r="AE63" s="219">
        <f>(Table13[[#This Row],[March 2025 - Balance Qty]]-Table13[[#This Row],[April 2025 - Issued Qty ]])+Table13[[#This Row],[Incoming Qty ]]</f>
        <v>5</v>
      </c>
      <c r="AF63" s="207">
        <f>Table13[[#This Row],[April 2025 - Balance Qty]]*Table13[[#This Row],[Unit Cost]]</f>
        <v>2312.15</v>
      </c>
      <c r="AG63" s="207"/>
    </row>
    <row r="64" spans="1:33">
      <c r="A64" t="s">
        <v>77</v>
      </c>
      <c r="B64" t="s">
        <v>133</v>
      </c>
      <c r="C64" t="s">
        <v>135</v>
      </c>
      <c r="D64" t="s">
        <v>34</v>
      </c>
      <c r="E64" s="204">
        <v>11</v>
      </c>
      <c r="F64" s="204">
        <v>458.46</v>
      </c>
      <c r="G64" s="204">
        <f>Table13[[#This Row],[Unit Cost]]*Table13[[#This Row],[Quantity on Hand]]</f>
        <v>5043.0599999999995</v>
      </c>
      <c r="H64" s="205">
        <f>SUMIF(Table3[Item],Table13[[#This Row],[Decription]],Table3[Quantity Issued])</f>
        <v>0</v>
      </c>
      <c r="I64" s="206">
        <f>Table13[[#This Row],[January 2025 - Issued Qty]]*Table13[[#This Row],[Unit Cost]]</f>
        <v>0</v>
      </c>
      <c r="J64" s="95">
        <f>Table13[[#This Row],[Quantity on Hand]]-Table13[[#This Row],[January 2025 - Issued Qty]]</f>
        <v>11</v>
      </c>
      <c r="K64" s="207">
        <f>Table13[[#This Row],[January 2025 - Balance Qty]]*Table13[[#This Row],[Unit Cost]]</f>
        <v>5043.0599999999995</v>
      </c>
      <c r="L64" s="205">
        <v>0</v>
      </c>
      <c r="M64" s="206">
        <v>0</v>
      </c>
      <c r="N64" s="208">
        <f>Table13[[#This Row],[Incoming Unit Cost]]*Table13[[#This Row],[Incoming Qty]]</f>
        <v>0</v>
      </c>
      <c r="O64" s="206">
        <f>SUMIF(Table32[Item],Table13[[#This Row],[Decription]],Table32[Quantity Issued])</f>
        <v>1</v>
      </c>
      <c r="P64" s="206">
        <f>Table13[[#This Row],[Unit Cost]]*Table13[[#This Row],[February 2025 - Issued Qty]]</f>
        <v>458.46</v>
      </c>
      <c r="Q64" s="95">
        <f>(Table13[[#This Row],[January 2025 - Balance Qty]]-Table13[[#This Row],[February 2025 - Issued Qty]])+Table13[[#This Row],[Incoming Qty]]</f>
        <v>10</v>
      </c>
      <c r="R64" s="207">
        <f>Table13[[#This Row],[February 2025 - Balance Qty]]*Table13[[#This Row],[Unit Cost]]</f>
        <v>4584.5999999999995</v>
      </c>
      <c r="S64" s="205">
        <v>0</v>
      </c>
      <c r="T64" s="206">
        <v>0</v>
      </c>
      <c r="U64" s="208">
        <f>Table13[[#This Row],[Incoming Unit Cost]]*Table13[[#This Row],[Incoming Qty]]</f>
        <v>0</v>
      </c>
      <c r="V64" s="206">
        <f>SUMIF(Table3267[Item],Table13[[#This Row],[Decription]],Table3267[Quantity Issued])</f>
        <v>4</v>
      </c>
      <c r="W64" s="206">
        <f>Table13[[#This Row],[Unit Cost]]*Table13[[#This Row],[March 2025 - Issued Qty]]</f>
        <v>1833.84</v>
      </c>
      <c r="X64" s="219">
        <f>(Table13[[#This Row],[February 2025 - Balance Qty]]-Table13[[#This Row],[March 2025 - Issued Qty]])+Table13[[#This Row],[Incoming Qty]]</f>
        <v>6</v>
      </c>
      <c r="Y64" s="207">
        <f>Table13[[#This Row],[March 2025 - Balance Qty]]*Table13[[#This Row],[Unit Cost]]</f>
        <v>2750.7599999999998</v>
      </c>
      <c r="Z64" s="205">
        <v>0</v>
      </c>
      <c r="AA64" s="206">
        <v>0</v>
      </c>
      <c r="AB64" s="208">
        <f>Table13[[#This Row],[Incoming Unit Cost]]*Table13[[#This Row],[Incoming Qty]]</f>
        <v>0</v>
      </c>
      <c r="AC64" s="206">
        <f>SUMIF(Table326[Item],Table13[[#This Row],[Decription]],Table326[Quantity Issued])</f>
        <v>0</v>
      </c>
      <c r="AD64" s="206">
        <f>Table13[[#This Row],[Unit Cost]]*Table13[[#This Row],[April 2025 - Issued Qty ]]</f>
        <v>0</v>
      </c>
      <c r="AE64" s="219">
        <f>(Table13[[#This Row],[March 2025 - Balance Qty]]-Table13[[#This Row],[April 2025 - Issued Qty ]])+Table13[[#This Row],[Incoming Qty ]]</f>
        <v>6</v>
      </c>
      <c r="AF64" s="207">
        <f>Table13[[#This Row],[April 2025 - Balance Qty]]*Table13[[#This Row],[Unit Cost]]</f>
        <v>2750.7599999999998</v>
      </c>
      <c r="AG64" s="207"/>
    </row>
    <row r="65" spans="1:33">
      <c r="A65" t="s">
        <v>77</v>
      </c>
      <c r="B65" t="s">
        <v>133</v>
      </c>
      <c r="C65" t="s">
        <v>136</v>
      </c>
      <c r="D65" t="s">
        <v>34</v>
      </c>
      <c r="E65" s="204">
        <v>11</v>
      </c>
      <c r="F65" s="204">
        <v>458.46</v>
      </c>
      <c r="G65" s="204">
        <f>Table13[[#This Row],[Unit Cost]]*Table13[[#This Row],[Quantity on Hand]]</f>
        <v>5043.0599999999995</v>
      </c>
      <c r="H65" s="205">
        <f>SUMIF(Table3[Item],Table13[[#This Row],[Decription]],Table3[Quantity Issued])</f>
        <v>0</v>
      </c>
      <c r="I65" s="206">
        <f>Table13[[#This Row],[January 2025 - Issued Qty]]*Table13[[#This Row],[Unit Cost]]</f>
        <v>0</v>
      </c>
      <c r="J65" s="95">
        <f>Table13[[#This Row],[Quantity on Hand]]-Table13[[#This Row],[January 2025 - Issued Qty]]</f>
        <v>11</v>
      </c>
      <c r="K65" s="207">
        <f>Table13[[#This Row],[January 2025 - Balance Qty]]*Table13[[#This Row],[Unit Cost]]</f>
        <v>5043.0599999999995</v>
      </c>
      <c r="L65" s="205">
        <v>0</v>
      </c>
      <c r="M65" s="206">
        <v>0</v>
      </c>
      <c r="N65" s="208">
        <f>Table13[[#This Row],[Incoming Unit Cost]]*Table13[[#This Row],[Incoming Qty]]</f>
        <v>0</v>
      </c>
      <c r="O65" s="206">
        <f>SUMIF(Table32[Item],Table13[[#This Row],[Decription]],Table32[Quantity Issued])</f>
        <v>1</v>
      </c>
      <c r="P65" s="206">
        <f>Table13[[#This Row],[Unit Cost]]*Table13[[#This Row],[February 2025 - Issued Qty]]</f>
        <v>458.46</v>
      </c>
      <c r="Q65" s="95">
        <f>(Table13[[#This Row],[January 2025 - Balance Qty]]-Table13[[#This Row],[February 2025 - Issued Qty]])+Table13[[#This Row],[Incoming Qty]]</f>
        <v>10</v>
      </c>
      <c r="R65" s="207">
        <f>Table13[[#This Row],[February 2025 - Balance Qty]]*Table13[[#This Row],[Unit Cost]]</f>
        <v>4584.5999999999995</v>
      </c>
      <c r="S65" s="205">
        <v>0</v>
      </c>
      <c r="T65" s="206">
        <v>0</v>
      </c>
      <c r="U65" s="208">
        <f>Table13[[#This Row],[Incoming Unit Cost]]*Table13[[#This Row],[Incoming Qty]]</f>
        <v>0</v>
      </c>
      <c r="V65" s="206">
        <f>SUMIF(Table3267[Item],Table13[[#This Row],[Decription]],Table3267[Quantity Issued])</f>
        <v>3</v>
      </c>
      <c r="W65" s="206">
        <f>Table13[[#This Row],[Unit Cost]]*Table13[[#This Row],[March 2025 - Issued Qty]]</f>
        <v>1375.3799999999999</v>
      </c>
      <c r="X65" s="219">
        <f>(Table13[[#This Row],[February 2025 - Balance Qty]]-Table13[[#This Row],[March 2025 - Issued Qty]])+Table13[[#This Row],[Incoming Qty]]</f>
        <v>7</v>
      </c>
      <c r="Y65" s="207">
        <f>Table13[[#This Row],[March 2025 - Balance Qty]]*Table13[[#This Row],[Unit Cost]]</f>
        <v>3209.22</v>
      </c>
      <c r="Z65" s="205">
        <v>0</v>
      </c>
      <c r="AA65" s="206">
        <v>0</v>
      </c>
      <c r="AB65" s="208">
        <f>Table13[[#This Row],[Incoming Unit Cost]]*Table13[[#This Row],[Incoming Qty]]</f>
        <v>0</v>
      </c>
      <c r="AC65" s="206">
        <f>SUMIF(Table326[Item],Table13[[#This Row],[Decription]],Table326[Quantity Issued])</f>
        <v>1</v>
      </c>
      <c r="AD65" s="206">
        <f>Table13[[#This Row],[Unit Cost]]*Table13[[#This Row],[April 2025 - Issued Qty ]]</f>
        <v>458.46</v>
      </c>
      <c r="AE65" s="219">
        <f>(Table13[[#This Row],[March 2025 - Balance Qty]]-Table13[[#This Row],[April 2025 - Issued Qty ]])+Table13[[#This Row],[Incoming Qty ]]</f>
        <v>6</v>
      </c>
      <c r="AF65" s="207">
        <f>Table13[[#This Row],[April 2025 - Balance Qty]]*Table13[[#This Row],[Unit Cost]]</f>
        <v>2750.7599999999998</v>
      </c>
      <c r="AG65" s="207"/>
    </row>
    <row r="66" spans="1:33">
      <c r="A66" t="s">
        <v>77</v>
      </c>
      <c r="B66" t="s">
        <v>133</v>
      </c>
      <c r="C66" t="s">
        <v>137</v>
      </c>
      <c r="D66" t="s">
        <v>34</v>
      </c>
      <c r="E66" s="204">
        <v>2</v>
      </c>
      <c r="F66" s="204">
        <v>370</v>
      </c>
      <c r="G66" s="204">
        <f>Table13[[#This Row],[Unit Cost]]*Table13[[#This Row],[Quantity on Hand]]</f>
        <v>740</v>
      </c>
      <c r="H66" s="205">
        <f>SUMIF(Table3[Item],Table13[[#This Row],[Decription]],Table3[Quantity Issued])</f>
        <v>0</v>
      </c>
      <c r="I66" s="206">
        <f>Table13[[#This Row],[January 2025 - Issued Qty]]*Table13[[#This Row],[Unit Cost]]</f>
        <v>0</v>
      </c>
      <c r="J66" s="95">
        <f>Table13[[#This Row],[Quantity on Hand]]-Table13[[#This Row],[January 2025 - Issued Qty]]</f>
        <v>2</v>
      </c>
      <c r="K66" s="207">
        <f>Table13[[#This Row],[January 2025 - Balance Qty]]*Table13[[#This Row],[Unit Cost]]</f>
        <v>740</v>
      </c>
      <c r="L66" s="205">
        <v>0</v>
      </c>
      <c r="M66" s="206">
        <v>0</v>
      </c>
      <c r="N66" s="208">
        <f>Table13[[#This Row],[Incoming Unit Cost]]*Table13[[#This Row],[Incoming Qty]]</f>
        <v>0</v>
      </c>
      <c r="O66" s="206">
        <f>SUMIF(Table32[Item],Table13[[#This Row],[Decription]],Table32[Quantity Issued])</f>
        <v>0</v>
      </c>
      <c r="P66" s="206">
        <f>Table13[[#This Row],[Unit Cost]]*Table13[[#This Row],[February 2025 - Issued Qty]]</f>
        <v>0</v>
      </c>
      <c r="Q66" s="95">
        <f>(Table13[[#This Row],[January 2025 - Balance Qty]]-Table13[[#This Row],[February 2025 - Issued Qty]])+Table13[[#This Row],[Incoming Qty]]</f>
        <v>2</v>
      </c>
      <c r="R66" s="207">
        <f>Table13[[#This Row],[February 2025 - Balance Qty]]*Table13[[#This Row],[Unit Cost]]</f>
        <v>740</v>
      </c>
      <c r="S66" s="205">
        <v>0</v>
      </c>
      <c r="T66" s="206">
        <v>0</v>
      </c>
      <c r="U66" s="208">
        <f>Table13[[#This Row],[Incoming Unit Cost]]*Table13[[#This Row],[Incoming Qty]]</f>
        <v>0</v>
      </c>
      <c r="V66" s="206">
        <f>SUMIF(Table3267[Item],Table13[[#This Row],[Decription]],Table3267[Quantity Issued])</f>
        <v>0</v>
      </c>
      <c r="W66" s="206">
        <f>Table13[[#This Row],[Unit Cost]]*Table13[[#This Row],[March 2025 - Issued Qty]]</f>
        <v>0</v>
      </c>
      <c r="X66" s="219">
        <f>(Table13[[#This Row],[February 2025 - Balance Qty]]-Table13[[#This Row],[March 2025 - Issued Qty]])+Table13[[#This Row],[Incoming Qty]]</f>
        <v>2</v>
      </c>
      <c r="Y66" s="207">
        <f>Table13[[#This Row],[March 2025 - Balance Qty]]*Table13[[#This Row],[Unit Cost]]</f>
        <v>740</v>
      </c>
      <c r="Z66" s="205">
        <v>0</v>
      </c>
      <c r="AA66" s="206">
        <v>0</v>
      </c>
      <c r="AB66" s="208">
        <f>Table13[[#This Row],[Incoming Unit Cost]]*Table13[[#This Row],[Incoming Qty]]</f>
        <v>0</v>
      </c>
      <c r="AC66" s="206">
        <f>SUMIF(Table326[Item],Table13[[#This Row],[Decription]],Table326[Quantity Issued])</f>
        <v>0</v>
      </c>
      <c r="AD66" s="206">
        <f>Table13[[#This Row],[Unit Cost]]*Table13[[#This Row],[April 2025 - Issued Qty ]]</f>
        <v>0</v>
      </c>
      <c r="AE66" s="219">
        <f>(Table13[[#This Row],[March 2025 - Balance Qty]]-Table13[[#This Row],[April 2025 - Issued Qty ]])+Table13[[#This Row],[Incoming Qty ]]</f>
        <v>2</v>
      </c>
      <c r="AF66" s="207">
        <f>Table13[[#This Row],[April 2025 - Balance Qty]]*Table13[[#This Row],[Unit Cost]]</f>
        <v>740</v>
      </c>
      <c r="AG66" s="207"/>
    </row>
    <row r="67" spans="1:33">
      <c r="A67" t="s">
        <v>77</v>
      </c>
      <c r="B67" t="s">
        <v>133</v>
      </c>
      <c r="C67" t="s">
        <v>138</v>
      </c>
      <c r="D67" t="s">
        <v>34</v>
      </c>
      <c r="E67" s="204">
        <v>15</v>
      </c>
      <c r="F67" s="204">
        <v>468.3</v>
      </c>
      <c r="G67" s="204">
        <f>Table13[[#This Row],[Unit Cost]]*Table13[[#This Row],[Quantity on Hand]]</f>
        <v>7024.5</v>
      </c>
      <c r="H67" s="205">
        <f>SUMIF(Table3[Item],Table13[[#This Row],[Decription]],Table3[Quantity Issued])</f>
        <v>0</v>
      </c>
      <c r="I67" s="206">
        <f>Table13[[#This Row],[January 2025 - Issued Qty]]*Table13[[#This Row],[Unit Cost]]</f>
        <v>0</v>
      </c>
      <c r="J67" s="95">
        <f>Table13[[#This Row],[Quantity on Hand]]-Table13[[#This Row],[January 2025 - Issued Qty]]</f>
        <v>15</v>
      </c>
      <c r="K67" s="207">
        <f>Table13[[#This Row],[January 2025 - Balance Qty]]*Table13[[#This Row],[Unit Cost]]</f>
        <v>7024.5</v>
      </c>
      <c r="L67" s="205">
        <v>0</v>
      </c>
      <c r="M67" s="206">
        <v>0</v>
      </c>
      <c r="N67" s="208">
        <f>Table13[[#This Row],[Incoming Unit Cost]]*Table13[[#This Row],[Incoming Qty]]</f>
        <v>0</v>
      </c>
      <c r="O67" s="206">
        <f>SUMIF(Table32[Item],Table13[[#This Row],[Decription]],Table32[Quantity Issued])</f>
        <v>2</v>
      </c>
      <c r="P67" s="206">
        <f>Table13[[#This Row],[Unit Cost]]*Table13[[#This Row],[February 2025 - Issued Qty]]</f>
        <v>936.6</v>
      </c>
      <c r="Q67" s="95">
        <f>(Table13[[#This Row],[January 2025 - Balance Qty]]-Table13[[#This Row],[February 2025 - Issued Qty]])+Table13[[#This Row],[Incoming Qty]]</f>
        <v>13</v>
      </c>
      <c r="R67" s="207">
        <f>Table13[[#This Row],[February 2025 - Balance Qty]]*Table13[[#This Row],[Unit Cost]]</f>
        <v>6087.9000000000005</v>
      </c>
      <c r="S67" s="205">
        <v>0</v>
      </c>
      <c r="T67" s="206">
        <v>0</v>
      </c>
      <c r="U67" s="208">
        <f>Table13[[#This Row],[Incoming Unit Cost]]*Table13[[#This Row],[Incoming Qty]]</f>
        <v>0</v>
      </c>
      <c r="V67" s="206">
        <f>SUMIF(Table3267[Item],Table13[[#This Row],[Decription]],Table3267[Quantity Issued])</f>
        <v>4</v>
      </c>
      <c r="W67" s="206">
        <f>Table13[[#This Row],[Unit Cost]]*Table13[[#This Row],[March 2025 - Issued Qty]]</f>
        <v>1873.2</v>
      </c>
      <c r="X67" s="219">
        <f>(Table13[[#This Row],[February 2025 - Balance Qty]]-Table13[[#This Row],[March 2025 - Issued Qty]])+Table13[[#This Row],[Incoming Qty]]</f>
        <v>9</v>
      </c>
      <c r="Y67" s="207">
        <f>Table13[[#This Row],[March 2025 - Balance Qty]]*Table13[[#This Row],[Unit Cost]]</f>
        <v>4214.7</v>
      </c>
      <c r="Z67" s="205">
        <v>0</v>
      </c>
      <c r="AA67" s="206">
        <v>0</v>
      </c>
      <c r="AB67" s="208">
        <f>Table13[[#This Row],[Incoming Unit Cost]]*Table13[[#This Row],[Incoming Qty]]</f>
        <v>0</v>
      </c>
      <c r="AC67" s="206">
        <f>SUMIF(Table326[Item],Table13[[#This Row],[Decription]],Table326[Quantity Issued])</f>
        <v>0</v>
      </c>
      <c r="AD67" s="206">
        <f>Table13[[#This Row],[Unit Cost]]*Table13[[#This Row],[April 2025 - Issued Qty ]]</f>
        <v>0</v>
      </c>
      <c r="AE67" s="219">
        <f>(Table13[[#This Row],[March 2025 - Balance Qty]]-Table13[[#This Row],[April 2025 - Issued Qty ]])+Table13[[#This Row],[Incoming Qty ]]</f>
        <v>9</v>
      </c>
      <c r="AF67" s="207">
        <f>Table13[[#This Row],[April 2025 - Balance Qty]]*Table13[[#This Row],[Unit Cost]]</f>
        <v>4214.7</v>
      </c>
      <c r="AG67" s="207"/>
    </row>
    <row r="68" spans="1:33">
      <c r="A68" t="s">
        <v>77</v>
      </c>
      <c r="B68" t="s">
        <v>133</v>
      </c>
      <c r="C68" t="s">
        <v>139</v>
      </c>
      <c r="D68" t="s">
        <v>27</v>
      </c>
      <c r="E68" s="204">
        <v>0</v>
      </c>
      <c r="F68" s="204">
        <v>3700</v>
      </c>
      <c r="G68" s="204">
        <f>Table13[[#This Row],[Unit Cost]]*Table13[[#This Row],[Quantity on Hand]]</f>
        <v>0</v>
      </c>
      <c r="H68" s="205">
        <f>SUMIF(Table3[Item],Table13[[#This Row],[Decription]],Table3[Quantity Issued])</f>
        <v>0</v>
      </c>
      <c r="I68" s="206">
        <f>Table13[[#This Row],[January 2025 - Issued Qty]]*Table13[[#This Row],[Unit Cost]]</f>
        <v>0</v>
      </c>
      <c r="J68" s="95">
        <f>Table13[[#This Row],[Quantity on Hand]]-Table13[[#This Row],[January 2025 - Issued Qty]]</f>
        <v>0</v>
      </c>
      <c r="K68" s="207">
        <f>Table13[[#This Row],[January 2025 - Balance Qty]]*Table13[[#This Row],[Unit Cost]]</f>
        <v>0</v>
      </c>
      <c r="L68" s="205">
        <v>0</v>
      </c>
      <c r="M68" s="206">
        <v>0</v>
      </c>
      <c r="N68" s="208">
        <f>Table13[[#This Row],[Incoming Unit Cost]]*Table13[[#This Row],[Incoming Qty]]</f>
        <v>0</v>
      </c>
      <c r="O68" s="206">
        <f>SUMIF(Table32[Item],Table13[[#This Row],[Decription]],Table32[Quantity Issued])</f>
        <v>0</v>
      </c>
      <c r="P68" s="206">
        <f>Table13[[#This Row],[Unit Cost]]*Table13[[#This Row],[February 2025 - Issued Qty]]</f>
        <v>0</v>
      </c>
      <c r="Q68" s="95">
        <f>(Table13[[#This Row],[January 2025 - Balance Qty]]-Table13[[#This Row],[February 2025 - Issued Qty]])+Table13[[#This Row],[Incoming Qty]]</f>
        <v>0</v>
      </c>
      <c r="R68" s="207">
        <f>Table13[[#This Row],[February 2025 - Balance Qty]]*Table13[[#This Row],[Unit Cost]]</f>
        <v>0</v>
      </c>
      <c r="S68" s="205">
        <v>0</v>
      </c>
      <c r="T68" s="206">
        <v>0</v>
      </c>
      <c r="U68" s="208">
        <f>Table13[[#This Row],[Incoming Unit Cost]]*Table13[[#This Row],[Incoming Qty]]</f>
        <v>0</v>
      </c>
      <c r="V68" s="206">
        <f>SUMIF(Table3267[Item],Table13[[#This Row],[Decription]],Table3267[Quantity Issued])</f>
        <v>0</v>
      </c>
      <c r="W68" s="206">
        <f>Table13[[#This Row],[Unit Cost]]*Table13[[#This Row],[March 2025 - Issued Qty]]</f>
        <v>0</v>
      </c>
      <c r="X68" s="219">
        <f>(Table13[[#This Row],[February 2025 - Balance Qty]]-Table13[[#This Row],[March 2025 - Issued Qty]])+Table13[[#This Row],[Incoming Qty]]</f>
        <v>0</v>
      </c>
      <c r="Y68" s="207">
        <f>Table13[[#This Row],[March 2025 - Balance Qty]]*Table13[[#This Row],[Unit Cost]]</f>
        <v>0</v>
      </c>
      <c r="Z68" s="205">
        <v>0</v>
      </c>
      <c r="AA68" s="206">
        <v>0</v>
      </c>
      <c r="AB68" s="208">
        <f>Table13[[#This Row],[Incoming Unit Cost]]*Table13[[#This Row],[Incoming Qty]]</f>
        <v>0</v>
      </c>
      <c r="AC68" s="206">
        <f>SUMIF(Table326[Item],Table13[[#This Row],[Decription]],Table326[Quantity Issued])</f>
        <v>0</v>
      </c>
      <c r="AD68" s="206">
        <f>Table13[[#This Row],[Unit Cost]]*Table13[[#This Row],[April 2025 - Issued Qty ]]</f>
        <v>0</v>
      </c>
      <c r="AE68" s="219">
        <f>(Table13[[#This Row],[March 2025 - Balance Qty]]-Table13[[#This Row],[April 2025 - Issued Qty ]])+Table13[[#This Row],[Incoming Qty ]]</f>
        <v>0</v>
      </c>
      <c r="AF68" s="207">
        <f>Table13[[#This Row],[April 2025 - Balance Qty]]*Table13[[#This Row],[Unit Cost]]</f>
        <v>0</v>
      </c>
      <c r="AG68" s="207"/>
    </row>
    <row r="69" spans="1:33">
      <c r="A69" t="s">
        <v>77</v>
      </c>
      <c r="B69" t="s">
        <v>133</v>
      </c>
      <c r="C69" t="s">
        <v>60</v>
      </c>
      <c r="D69" t="s">
        <v>34</v>
      </c>
      <c r="E69" s="204">
        <v>29</v>
      </c>
      <c r="F69" s="204">
        <v>370.2</v>
      </c>
      <c r="G69" s="204">
        <f>Table13[[#This Row],[Unit Cost]]*Table13[[#This Row],[Quantity on Hand]]</f>
        <v>10735.8</v>
      </c>
      <c r="H69" s="205">
        <f>SUMIF(Table3[Item],Table13[[#This Row],[Decription]],Table3[Quantity Issued])</f>
        <v>1</v>
      </c>
      <c r="I69" s="206">
        <f>Table13[[#This Row],[January 2025 - Issued Qty]]*Table13[[#This Row],[Unit Cost]]</f>
        <v>370.2</v>
      </c>
      <c r="J69" s="95">
        <f>Table13[[#This Row],[Quantity on Hand]]-Table13[[#This Row],[January 2025 - Issued Qty]]</f>
        <v>28</v>
      </c>
      <c r="K69" s="207">
        <f>Table13[[#This Row],[January 2025 - Balance Qty]]*Table13[[#This Row],[Unit Cost]]</f>
        <v>10365.6</v>
      </c>
      <c r="L69" s="205">
        <v>0</v>
      </c>
      <c r="M69" s="206">
        <v>0</v>
      </c>
      <c r="N69" s="208">
        <f>Table13[[#This Row],[Incoming Unit Cost]]*Table13[[#This Row],[Incoming Qty]]</f>
        <v>0</v>
      </c>
      <c r="O69" s="206">
        <f>SUMIF(Table32[Item],Table13[[#This Row],[Decription]],Table32[Quantity Issued])</f>
        <v>1</v>
      </c>
      <c r="P69" s="206">
        <f>Table13[[#This Row],[Unit Cost]]*Table13[[#This Row],[February 2025 - Issued Qty]]</f>
        <v>370.2</v>
      </c>
      <c r="Q69" s="95">
        <f>(Table13[[#This Row],[January 2025 - Balance Qty]]-Table13[[#This Row],[February 2025 - Issued Qty]])+Table13[[#This Row],[Incoming Qty]]</f>
        <v>27</v>
      </c>
      <c r="R69" s="207">
        <f>Table13[[#This Row],[February 2025 - Balance Qty]]*Table13[[#This Row],[Unit Cost]]</f>
        <v>9995.4</v>
      </c>
      <c r="S69" s="205">
        <v>0</v>
      </c>
      <c r="T69" s="206">
        <v>0</v>
      </c>
      <c r="U69" s="208">
        <f>Table13[[#This Row],[Incoming Unit Cost]]*Table13[[#This Row],[Incoming Qty]]</f>
        <v>0</v>
      </c>
      <c r="V69" s="206">
        <f>SUMIF(Table3267[Item],Table13[[#This Row],[Decription]],Table3267[Quantity Issued])</f>
        <v>2</v>
      </c>
      <c r="W69" s="206">
        <f>Table13[[#This Row],[Unit Cost]]*Table13[[#This Row],[March 2025 - Issued Qty]]</f>
        <v>740.4</v>
      </c>
      <c r="X69" s="219">
        <f>(Table13[[#This Row],[February 2025 - Balance Qty]]-Table13[[#This Row],[March 2025 - Issued Qty]])+Table13[[#This Row],[Incoming Qty]]</f>
        <v>25</v>
      </c>
      <c r="Y69" s="207">
        <f>Table13[[#This Row],[March 2025 - Balance Qty]]*Table13[[#This Row],[Unit Cost]]</f>
        <v>9255</v>
      </c>
      <c r="Z69" s="205">
        <v>0</v>
      </c>
      <c r="AA69" s="206">
        <v>0</v>
      </c>
      <c r="AB69" s="208">
        <f>Table13[[#This Row],[Incoming Unit Cost]]*Table13[[#This Row],[Incoming Qty]]</f>
        <v>0</v>
      </c>
      <c r="AC69" s="206">
        <f>SUMIF(Table326[Item],Table13[[#This Row],[Decription]],Table326[Quantity Issued])</f>
        <v>0</v>
      </c>
      <c r="AD69" s="206">
        <f>Table13[[#This Row],[Unit Cost]]*Table13[[#This Row],[April 2025 - Issued Qty ]]</f>
        <v>0</v>
      </c>
      <c r="AE69" s="219">
        <f>(Table13[[#This Row],[March 2025 - Balance Qty]]-Table13[[#This Row],[April 2025 - Issued Qty ]])+Table13[[#This Row],[Incoming Qty ]]</f>
        <v>25</v>
      </c>
      <c r="AF69" s="207">
        <f>Table13[[#This Row],[April 2025 - Balance Qty]]*Table13[[#This Row],[Unit Cost]]</f>
        <v>9255</v>
      </c>
      <c r="AG69" s="207"/>
    </row>
    <row r="70" spans="1:33">
      <c r="A70" t="s">
        <v>77</v>
      </c>
      <c r="B70" t="s">
        <v>133</v>
      </c>
      <c r="C70" t="s">
        <v>61</v>
      </c>
      <c r="D70" t="s">
        <v>34</v>
      </c>
      <c r="E70" s="204">
        <v>20</v>
      </c>
      <c r="F70" s="204">
        <v>370</v>
      </c>
      <c r="G70" s="204">
        <f>Table13[[#This Row],[Unit Cost]]*Table13[[#This Row],[Quantity on Hand]]</f>
        <v>7400</v>
      </c>
      <c r="H70" s="205">
        <f>SUMIF(Table3[Item],Table13[[#This Row],[Decription]],Table3[Quantity Issued])</f>
        <v>1</v>
      </c>
      <c r="I70" s="206">
        <f>Table13[[#This Row],[January 2025 - Issued Qty]]*Table13[[#This Row],[Unit Cost]]</f>
        <v>370</v>
      </c>
      <c r="J70" s="95">
        <f>Table13[[#This Row],[Quantity on Hand]]-Table13[[#This Row],[January 2025 - Issued Qty]]</f>
        <v>19</v>
      </c>
      <c r="K70" s="207">
        <f>Table13[[#This Row],[January 2025 - Balance Qty]]*Table13[[#This Row],[Unit Cost]]</f>
        <v>7030</v>
      </c>
      <c r="L70" s="205">
        <v>0</v>
      </c>
      <c r="M70" s="206">
        <v>0</v>
      </c>
      <c r="N70" s="208">
        <f>Table13[[#This Row],[Incoming Unit Cost]]*Table13[[#This Row],[Incoming Qty]]</f>
        <v>0</v>
      </c>
      <c r="O70" s="206">
        <f>SUMIF(Table32[Item],Table13[[#This Row],[Decription]],Table32[Quantity Issued])</f>
        <v>1</v>
      </c>
      <c r="P70" s="206">
        <f>Table13[[#This Row],[Unit Cost]]*Table13[[#This Row],[February 2025 - Issued Qty]]</f>
        <v>370</v>
      </c>
      <c r="Q70" s="95">
        <f>(Table13[[#This Row],[January 2025 - Balance Qty]]-Table13[[#This Row],[February 2025 - Issued Qty]])+Table13[[#This Row],[Incoming Qty]]</f>
        <v>18</v>
      </c>
      <c r="R70" s="207">
        <f>Table13[[#This Row],[February 2025 - Balance Qty]]*Table13[[#This Row],[Unit Cost]]</f>
        <v>6660</v>
      </c>
      <c r="S70" s="205">
        <v>0</v>
      </c>
      <c r="T70" s="206">
        <v>0</v>
      </c>
      <c r="U70" s="208">
        <f>Table13[[#This Row],[Incoming Unit Cost]]*Table13[[#This Row],[Incoming Qty]]</f>
        <v>0</v>
      </c>
      <c r="V70" s="206">
        <f>SUMIF(Table3267[Item],Table13[[#This Row],[Decription]],Table3267[Quantity Issued])</f>
        <v>2</v>
      </c>
      <c r="W70" s="206">
        <f>Table13[[#This Row],[Unit Cost]]*Table13[[#This Row],[March 2025 - Issued Qty]]</f>
        <v>740</v>
      </c>
      <c r="X70" s="219">
        <f>(Table13[[#This Row],[February 2025 - Balance Qty]]-Table13[[#This Row],[March 2025 - Issued Qty]])+Table13[[#This Row],[Incoming Qty]]</f>
        <v>16</v>
      </c>
      <c r="Y70" s="207">
        <f>Table13[[#This Row],[March 2025 - Balance Qty]]*Table13[[#This Row],[Unit Cost]]</f>
        <v>5920</v>
      </c>
      <c r="Z70" s="205">
        <v>0</v>
      </c>
      <c r="AA70" s="206">
        <v>0</v>
      </c>
      <c r="AB70" s="208">
        <f>Table13[[#This Row],[Incoming Unit Cost]]*Table13[[#This Row],[Incoming Qty]]</f>
        <v>0</v>
      </c>
      <c r="AC70" s="206">
        <f>SUMIF(Table326[Item],Table13[[#This Row],[Decription]],Table326[Quantity Issued])</f>
        <v>0</v>
      </c>
      <c r="AD70" s="206">
        <f>Table13[[#This Row],[Unit Cost]]*Table13[[#This Row],[April 2025 - Issued Qty ]]</f>
        <v>0</v>
      </c>
      <c r="AE70" s="219">
        <f>(Table13[[#This Row],[March 2025 - Balance Qty]]-Table13[[#This Row],[April 2025 - Issued Qty ]])+Table13[[#This Row],[Incoming Qty ]]</f>
        <v>16</v>
      </c>
      <c r="AF70" s="207">
        <f>Table13[[#This Row],[April 2025 - Balance Qty]]*Table13[[#This Row],[Unit Cost]]</f>
        <v>5920</v>
      </c>
      <c r="AG70" s="207"/>
    </row>
    <row r="71" spans="1:33">
      <c r="A71" t="s">
        <v>77</v>
      </c>
      <c r="B71" t="s">
        <v>133</v>
      </c>
      <c r="C71" t="s">
        <v>62</v>
      </c>
      <c r="D71" t="s">
        <v>34</v>
      </c>
      <c r="E71" s="204">
        <v>10</v>
      </c>
      <c r="F71" s="204">
        <v>370</v>
      </c>
      <c r="G71" s="204">
        <f>Table13[[#This Row],[Unit Cost]]*Table13[[#This Row],[Quantity on Hand]]</f>
        <v>3700</v>
      </c>
      <c r="H71" s="205">
        <f>SUMIF(Table3[Item],Table13[[#This Row],[Decription]],Table3[Quantity Issued])</f>
        <v>1</v>
      </c>
      <c r="I71" s="206">
        <f>Table13[[#This Row],[January 2025 - Issued Qty]]*Table13[[#This Row],[Unit Cost]]</f>
        <v>370</v>
      </c>
      <c r="J71" s="95">
        <f>Table13[[#This Row],[Quantity on Hand]]-Table13[[#This Row],[January 2025 - Issued Qty]]</f>
        <v>9</v>
      </c>
      <c r="K71" s="207">
        <f>Table13[[#This Row],[January 2025 - Balance Qty]]*Table13[[#This Row],[Unit Cost]]</f>
        <v>3330</v>
      </c>
      <c r="L71" s="205">
        <v>0</v>
      </c>
      <c r="M71" s="206">
        <v>0</v>
      </c>
      <c r="N71" s="208">
        <f>Table13[[#This Row],[Incoming Unit Cost]]*Table13[[#This Row],[Incoming Qty]]</f>
        <v>0</v>
      </c>
      <c r="O71" s="206">
        <f>SUMIF(Table32[Item],Table13[[#This Row],[Decription]],Table32[Quantity Issued])</f>
        <v>1</v>
      </c>
      <c r="P71" s="206">
        <f>Table13[[#This Row],[Unit Cost]]*Table13[[#This Row],[February 2025 - Issued Qty]]</f>
        <v>370</v>
      </c>
      <c r="Q71" s="95">
        <f>(Table13[[#This Row],[January 2025 - Balance Qty]]-Table13[[#This Row],[February 2025 - Issued Qty]])+Table13[[#This Row],[Incoming Qty]]</f>
        <v>8</v>
      </c>
      <c r="R71" s="207">
        <f>Table13[[#This Row],[February 2025 - Balance Qty]]*Table13[[#This Row],[Unit Cost]]</f>
        <v>2960</v>
      </c>
      <c r="S71" s="205">
        <v>0</v>
      </c>
      <c r="T71" s="206">
        <v>0</v>
      </c>
      <c r="U71" s="208">
        <f>Table13[[#This Row],[Incoming Unit Cost]]*Table13[[#This Row],[Incoming Qty]]</f>
        <v>0</v>
      </c>
      <c r="V71" s="206">
        <f>SUMIF(Table3267[Item],Table13[[#This Row],[Decription]],Table3267[Quantity Issued])</f>
        <v>2</v>
      </c>
      <c r="W71" s="206">
        <f>Table13[[#This Row],[Unit Cost]]*Table13[[#This Row],[March 2025 - Issued Qty]]</f>
        <v>740</v>
      </c>
      <c r="X71" s="219">
        <f>(Table13[[#This Row],[February 2025 - Balance Qty]]-Table13[[#This Row],[March 2025 - Issued Qty]])+Table13[[#This Row],[Incoming Qty]]</f>
        <v>6</v>
      </c>
      <c r="Y71" s="207">
        <f>Table13[[#This Row],[March 2025 - Balance Qty]]*Table13[[#This Row],[Unit Cost]]</f>
        <v>2220</v>
      </c>
      <c r="Z71" s="205">
        <v>0</v>
      </c>
      <c r="AA71" s="206">
        <v>0</v>
      </c>
      <c r="AB71" s="208">
        <f>Table13[[#This Row],[Incoming Unit Cost]]*Table13[[#This Row],[Incoming Qty]]</f>
        <v>0</v>
      </c>
      <c r="AC71" s="206">
        <f>SUMIF(Table326[Item],Table13[[#This Row],[Decription]],Table326[Quantity Issued])</f>
        <v>0</v>
      </c>
      <c r="AD71" s="206">
        <f>Table13[[#This Row],[Unit Cost]]*Table13[[#This Row],[April 2025 - Issued Qty ]]</f>
        <v>0</v>
      </c>
      <c r="AE71" s="219">
        <f>(Table13[[#This Row],[March 2025 - Balance Qty]]-Table13[[#This Row],[April 2025 - Issued Qty ]])+Table13[[#This Row],[Incoming Qty ]]</f>
        <v>6</v>
      </c>
      <c r="AF71" s="207">
        <f>Table13[[#This Row],[April 2025 - Balance Qty]]*Table13[[#This Row],[Unit Cost]]</f>
        <v>2220</v>
      </c>
      <c r="AG71" s="207"/>
    </row>
    <row r="72" spans="1:33">
      <c r="A72" t="s">
        <v>77</v>
      </c>
      <c r="B72" t="s">
        <v>133</v>
      </c>
      <c r="C72" t="s">
        <v>63</v>
      </c>
      <c r="D72" t="s">
        <v>34</v>
      </c>
      <c r="E72" s="204">
        <v>11</v>
      </c>
      <c r="F72" s="204">
        <v>371.36</v>
      </c>
      <c r="G72" s="204">
        <f>Table13[[#This Row],[Unit Cost]]*Table13[[#This Row],[Quantity on Hand]]</f>
        <v>4084.96</v>
      </c>
      <c r="H72" s="205">
        <f>SUMIF(Table3[Item],Table13[[#This Row],[Decription]],Table3[Quantity Issued])</f>
        <v>1</v>
      </c>
      <c r="I72" s="206">
        <f>Table13[[#This Row],[January 2025 - Issued Qty]]*Table13[[#This Row],[Unit Cost]]</f>
        <v>371.36</v>
      </c>
      <c r="J72" s="95">
        <f>Table13[[#This Row],[Quantity on Hand]]-Table13[[#This Row],[January 2025 - Issued Qty]]</f>
        <v>10</v>
      </c>
      <c r="K72" s="207">
        <f>Table13[[#This Row],[January 2025 - Balance Qty]]*Table13[[#This Row],[Unit Cost]]</f>
        <v>3713.6000000000004</v>
      </c>
      <c r="L72" s="205">
        <v>0</v>
      </c>
      <c r="M72" s="206">
        <v>0</v>
      </c>
      <c r="N72" s="208">
        <f>Table13[[#This Row],[Incoming Unit Cost]]*Table13[[#This Row],[Incoming Qty]]</f>
        <v>0</v>
      </c>
      <c r="O72" s="206">
        <f>SUMIF(Table32[Item],Table13[[#This Row],[Decription]],Table32[Quantity Issued])</f>
        <v>1</v>
      </c>
      <c r="P72" s="206">
        <f>Table13[[#This Row],[Unit Cost]]*Table13[[#This Row],[February 2025 - Issued Qty]]</f>
        <v>371.36</v>
      </c>
      <c r="Q72" s="95">
        <f>(Table13[[#This Row],[January 2025 - Balance Qty]]-Table13[[#This Row],[February 2025 - Issued Qty]])+Table13[[#This Row],[Incoming Qty]]</f>
        <v>9</v>
      </c>
      <c r="R72" s="207">
        <f>Table13[[#This Row],[February 2025 - Balance Qty]]*Table13[[#This Row],[Unit Cost]]</f>
        <v>3342.2400000000002</v>
      </c>
      <c r="S72" s="205">
        <v>0</v>
      </c>
      <c r="T72" s="206">
        <v>0</v>
      </c>
      <c r="U72" s="208">
        <f>Table13[[#This Row],[Incoming Unit Cost]]*Table13[[#This Row],[Incoming Qty]]</f>
        <v>0</v>
      </c>
      <c r="V72" s="206">
        <f>SUMIF(Table3267[Item],Table13[[#This Row],[Decription]],Table3267[Quantity Issued])</f>
        <v>2</v>
      </c>
      <c r="W72" s="206">
        <f>Table13[[#This Row],[Unit Cost]]*Table13[[#This Row],[March 2025 - Issued Qty]]</f>
        <v>742.72</v>
      </c>
      <c r="X72" s="219">
        <f>(Table13[[#This Row],[February 2025 - Balance Qty]]-Table13[[#This Row],[March 2025 - Issued Qty]])+Table13[[#This Row],[Incoming Qty]]</f>
        <v>7</v>
      </c>
      <c r="Y72" s="207">
        <f>Table13[[#This Row],[March 2025 - Balance Qty]]*Table13[[#This Row],[Unit Cost]]</f>
        <v>2599.52</v>
      </c>
      <c r="Z72" s="205">
        <v>0</v>
      </c>
      <c r="AA72" s="206">
        <v>0</v>
      </c>
      <c r="AB72" s="208">
        <f>Table13[[#This Row],[Incoming Unit Cost]]*Table13[[#This Row],[Incoming Qty]]</f>
        <v>0</v>
      </c>
      <c r="AC72" s="206">
        <f>SUMIF(Table326[Item],Table13[[#This Row],[Decription]],Table326[Quantity Issued])</f>
        <v>0</v>
      </c>
      <c r="AD72" s="206">
        <f>Table13[[#This Row],[Unit Cost]]*Table13[[#This Row],[April 2025 - Issued Qty ]]</f>
        <v>0</v>
      </c>
      <c r="AE72" s="219">
        <f>(Table13[[#This Row],[March 2025 - Balance Qty]]-Table13[[#This Row],[April 2025 - Issued Qty ]])+Table13[[#This Row],[Incoming Qty ]]</f>
        <v>7</v>
      </c>
      <c r="AF72" s="207">
        <f>Table13[[#This Row],[April 2025 - Balance Qty]]*Table13[[#This Row],[Unit Cost]]</f>
        <v>2599.52</v>
      </c>
      <c r="AG72" s="207"/>
    </row>
    <row r="73" spans="1:33">
      <c r="A73" t="s">
        <v>77</v>
      </c>
      <c r="B73" t="s">
        <v>133</v>
      </c>
      <c r="C73" t="s">
        <v>140</v>
      </c>
      <c r="D73" t="s">
        <v>34</v>
      </c>
      <c r="E73" s="204">
        <v>2</v>
      </c>
      <c r="F73" s="204">
        <v>770</v>
      </c>
      <c r="G73" s="204">
        <f>Table13[[#This Row],[Unit Cost]]*Table13[[#This Row],[Quantity on Hand]]</f>
        <v>1540</v>
      </c>
      <c r="H73" s="205">
        <f>SUMIF(Table3[Item],Table13[[#This Row],[Decription]],Table3[Quantity Issued])</f>
        <v>0</v>
      </c>
      <c r="I73" s="206">
        <f>Table13[[#This Row],[January 2025 - Issued Qty]]*Table13[[#This Row],[Unit Cost]]</f>
        <v>0</v>
      </c>
      <c r="J73" s="95">
        <f>Table13[[#This Row],[Quantity on Hand]]-Table13[[#This Row],[January 2025 - Issued Qty]]</f>
        <v>2</v>
      </c>
      <c r="K73" s="207">
        <f>Table13[[#This Row],[January 2025 - Balance Qty]]*Table13[[#This Row],[Unit Cost]]</f>
        <v>1540</v>
      </c>
      <c r="L73" s="205">
        <v>0</v>
      </c>
      <c r="M73" s="206">
        <v>0</v>
      </c>
      <c r="N73" s="208">
        <f>Table13[[#This Row],[Incoming Unit Cost]]*Table13[[#This Row],[Incoming Qty]]</f>
        <v>0</v>
      </c>
      <c r="O73" s="206">
        <f>SUMIF(Table32[Item],Table13[[#This Row],[Decription]],Table32[Quantity Issued])</f>
        <v>0</v>
      </c>
      <c r="P73" s="206">
        <f>Table13[[#This Row],[Unit Cost]]*Table13[[#This Row],[February 2025 - Issued Qty]]</f>
        <v>0</v>
      </c>
      <c r="Q73" s="95">
        <f>(Table13[[#This Row],[January 2025 - Balance Qty]]-Table13[[#This Row],[February 2025 - Issued Qty]])+Table13[[#This Row],[Incoming Qty]]</f>
        <v>2</v>
      </c>
      <c r="R73" s="207">
        <f>Table13[[#This Row],[February 2025 - Balance Qty]]*Table13[[#This Row],[Unit Cost]]</f>
        <v>1540</v>
      </c>
      <c r="S73" s="205">
        <v>0</v>
      </c>
      <c r="T73" s="206">
        <v>0</v>
      </c>
      <c r="U73" s="208">
        <f>Table13[[#This Row],[Incoming Unit Cost]]*Table13[[#This Row],[Incoming Qty]]</f>
        <v>0</v>
      </c>
      <c r="V73" s="206">
        <f>SUMIF(Table3267[Item],Table13[[#This Row],[Decription]],Table3267[Quantity Issued])</f>
        <v>0</v>
      </c>
      <c r="W73" s="206">
        <f>Table13[[#This Row],[Unit Cost]]*Table13[[#This Row],[March 2025 - Issued Qty]]</f>
        <v>0</v>
      </c>
      <c r="X73" s="219">
        <f>(Table13[[#This Row],[February 2025 - Balance Qty]]-Table13[[#This Row],[March 2025 - Issued Qty]])+Table13[[#This Row],[Incoming Qty]]</f>
        <v>2</v>
      </c>
      <c r="Y73" s="207">
        <f>Table13[[#This Row],[March 2025 - Balance Qty]]*Table13[[#This Row],[Unit Cost]]</f>
        <v>1540</v>
      </c>
      <c r="Z73" s="205">
        <v>0</v>
      </c>
      <c r="AA73" s="206">
        <v>0</v>
      </c>
      <c r="AB73" s="208">
        <f>Table13[[#This Row],[Incoming Unit Cost]]*Table13[[#This Row],[Incoming Qty]]</f>
        <v>0</v>
      </c>
      <c r="AC73" s="206">
        <f>SUMIF(Table326[Item],Table13[[#This Row],[Decription]],Table326[Quantity Issued])</f>
        <v>0</v>
      </c>
      <c r="AD73" s="206">
        <f>Table13[[#This Row],[Unit Cost]]*Table13[[#This Row],[April 2025 - Issued Qty ]]</f>
        <v>0</v>
      </c>
      <c r="AE73" s="219">
        <f>(Table13[[#This Row],[March 2025 - Balance Qty]]-Table13[[#This Row],[April 2025 - Issued Qty ]])+Table13[[#This Row],[Incoming Qty ]]</f>
        <v>2</v>
      </c>
      <c r="AF73" s="207">
        <f>Table13[[#This Row],[April 2025 - Balance Qty]]*Table13[[#This Row],[Unit Cost]]</f>
        <v>1540</v>
      </c>
      <c r="AG73" s="207"/>
    </row>
    <row r="74" spans="1:33">
      <c r="A74" t="s">
        <v>77</v>
      </c>
      <c r="B74" t="s">
        <v>133</v>
      </c>
      <c r="C74" t="s">
        <v>56</v>
      </c>
      <c r="D74" t="s">
        <v>34</v>
      </c>
      <c r="E74" s="204">
        <v>4</v>
      </c>
      <c r="F74" s="204">
        <v>375</v>
      </c>
      <c r="G74" s="204">
        <f>Table13[[#This Row],[Unit Cost]]*Table13[[#This Row],[Quantity on Hand]]</f>
        <v>1500</v>
      </c>
      <c r="H74" s="205">
        <f>SUMIF(Table3[Item],Table13[[#This Row],[Decription]],Table3[Quantity Issued])</f>
        <v>1</v>
      </c>
      <c r="I74" s="206">
        <f>Table13[[#This Row],[January 2025 - Issued Qty]]*Table13[[#This Row],[Unit Cost]]</f>
        <v>375</v>
      </c>
      <c r="J74" s="95">
        <f>Table13[[#This Row],[Quantity on Hand]]-Table13[[#This Row],[January 2025 - Issued Qty]]</f>
        <v>3</v>
      </c>
      <c r="K74" s="207">
        <f>Table13[[#This Row],[January 2025 - Balance Qty]]*Table13[[#This Row],[Unit Cost]]</f>
        <v>1125</v>
      </c>
      <c r="L74" s="205">
        <v>0</v>
      </c>
      <c r="M74" s="206">
        <v>0</v>
      </c>
      <c r="N74" s="208">
        <f>Table13[[#This Row],[Incoming Unit Cost]]*Table13[[#This Row],[Incoming Qty]]</f>
        <v>0</v>
      </c>
      <c r="O74" s="206">
        <f>SUMIF(Table32[Item],Table13[[#This Row],[Decription]],Table32[Quantity Issued])</f>
        <v>0</v>
      </c>
      <c r="P74" s="206">
        <f>Table13[[#This Row],[Unit Cost]]*Table13[[#This Row],[February 2025 - Issued Qty]]</f>
        <v>0</v>
      </c>
      <c r="Q74" s="95">
        <f>(Table13[[#This Row],[January 2025 - Balance Qty]]-Table13[[#This Row],[February 2025 - Issued Qty]])+Table13[[#This Row],[Incoming Qty]]</f>
        <v>3</v>
      </c>
      <c r="R74" s="207">
        <f>Table13[[#This Row],[February 2025 - Balance Qty]]*Table13[[#This Row],[Unit Cost]]</f>
        <v>1125</v>
      </c>
      <c r="S74" s="205">
        <v>0</v>
      </c>
      <c r="T74" s="206">
        <v>0</v>
      </c>
      <c r="U74" s="208">
        <f>Table13[[#This Row],[Incoming Unit Cost]]*Table13[[#This Row],[Incoming Qty]]</f>
        <v>0</v>
      </c>
      <c r="V74" s="206">
        <f>SUMIF(Table3267[Item],Table13[[#This Row],[Decription]],Table3267[Quantity Issued])</f>
        <v>2</v>
      </c>
      <c r="W74" s="206">
        <f>Table13[[#This Row],[Unit Cost]]*Table13[[#This Row],[March 2025 - Issued Qty]]</f>
        <v>750</v>
      </c>
      <c r="X74" s="219">
        <f>(Table13[[#This Row],[February 2025 - Balance Qty]]-Table13[[#This Row],[March 2025 - Issued Qty]])+Table13[[#This Row],[Incoming Qty]]</f>
        <v>1</v>
      </c>
      <c r="Y74" s="207">
        <f>Table13[[#This Row],[March 2025 - Balance Qty]]*Table13[[#This Row],[Unit Cost]]</f>
        <v>375</v>
      </c>
      <c r="Z74" s="205">
        <v>0</v>
      </c>
      <c r="AA74" s="206">
        <v>0</v>
      </c>
      <c r="AB74" s="208">
        <f>Table13[[#This Row],[Incoming Unit Cost]]*Table13[[#This Row],[Incoming Qty]]</f>
        <v>0</v>
      </c>
      <c r="AC74" s="206">
        <f>SUMIF(Table326[Item],Table13[[#This Row],[Decription]],Table326[Quantity Issued])</f>
        <v>0</v>
      </c>
      <c r="AD74" s="206">
        <f>Table13[[#This Row],[Unit Cost]]*Table13[[#This Row],[April 2025 - Issued Qty ]]</f>
        <v>0</v>
      </c>
      <c r="AE74" s="219">
        <f>(Table13[[#This Row],[March 2025 - Balance Qty]]-Table13[[#This Row],[April 2025 - Issued Qty ]])+Table13[[#This Row],[Incoming Qty ]]</f>
        <v>1</v>
      </c>
      <c r="AF74" s="207">
        <f>Table13[[#This Row],[April 2025 - Balance Qty]]*Table13[[#This Row],[Unit Cost]]</f>
        <v>375</v>
      </c>
      <c r="AG74" s="207"/>
    </row>
    <row r="75" spans="1:33">
      <c r="A75" t="s">
        <v>77</v>
      </c>
      <c r="B75" t="s">
        <v>133</v>
      </c>
      <c r="C75" t="s">
        <v>57</v>
      </c>
      <c r="D75" t="s">
        <v>34</v>
      </c>
      <c r="E75" s="204">
        <v>3</v>
      </c>
      <c r="F75" s="204">
        <v>385</v>
      </c>
      <c r="G75" s="204">
        <f>Table13[[#This Row],[Unit Cost]]*Table13[[#This Row],[Quantity on Hand]]</f>
        <v>1155</v>
      </c>
      <c r="H75" s="205">
        <f>SUMIF(Table3[Item],Table13[[#This Row],[Decription]],Table3[Quantity Issued])</f>
        <v>1</v>
      </c>
      <c r="I75" s="206">
        <f>Table13[[#This Row],[January 2025 - Issued Qty]]*Table13[[#This Row],[Unit Cost]]</f>
        <v>385</v>
      </c>
      <c r="J75" s="95">
        <f>Table13[[#This Row],[Quantity on Hand]]-Table13[[#This Row],[January 2025 - Issued Qty]]</f>
        <v>2</v>
      </c>
      <c r="K75" s="207">
        <f>Table13[[#This Row],[January 2025 - Balance Qty]]*Table13[[#This Row],[Unit Cost]]</f>
        <v>770</v>
      </c>
      <c r="L75" s="205">
        <v>0</v>
      </c>
      <c r="M75" s="206">
        <v>0</v>
      </c>
      <c r="N75" s="208">
        <f>Table13[[#This Row],[Incoming Unit Cost]]*Table13[[#This Row],[Incoming Qty]]</f>
        <v>0</v>
      </c>
      <c r="O75" s="206">
        <f>SUMIF(Table32[Item],Table13[[#This Row],[Decription]],Table32[Quantity Issued])</f>
        <v>0</v>
      </c>
      <c r="P75" s="206">
        <f>Table13[[#This Row],[Unit Cost]]*Table13[[#This Row],[February 2025 - Issued Qty]]</f>
        <v>0</v>
      </c>
      <c r="Q75" s="95">
        <f>(Table13[[#This Row],[January 2025 - Balance Qty]]-Table13[[#This Row],[February 2025 - Issued Qty]])+Table13[[#This Row],[Incoming Qty]]</f>
        <v>2</v>
      </c>
      <c r="R75" s="207">
        <f>Table13[[#This Row],[February 2025 - Balance Qty]]*Table13[[#This Row],[Unit Cost]]</f>
        <v>770</v>
      </c>
      <c r="S75" s="205">
        <v>0</v>
      </c>
      <c r="T75" s="206">
        <v>0</v>
      </c>
      <c r="U75" s="208">
        <f>Table13[[#This Row],[Incoming Unit Cost]]*Table13[[#This Row],[Incoming Qty]]</f>
        <v>0</v>
      </c>
      <c r="V75" s="206">
        <f>SUMIF(Table3267[Item],Table13[[#This Row],[Decription]],Table3267[Quantity Issued])</f>
        <v>2</v>
      </c>
      <c r="W75" s="206">
        <f>Table13[[#This Row],[Unit Cost]]*Table13[[#This Row],[March 2025 - Issued Qty]]</f>
        <v>770</v>
      </c>
      <c r="X75" s="219">
        <f>(Table13[[#This Row],[February 2025 - Balance Qty]]-Table13[[#This Row],[March 2025 - Issued Qty]])+Table13[[#This Row],[Incoming Qty]]</f>
        <v>0</v>
      </c>
      <c r="Y75" s="207">
        <f>Table13[[#This Row],[March 2025 - Balance Qty]]*Table13[[#This Row],[Unit Cost]]</f>
        <v>0</v>
      </c>
      <c r="Z75" s="205">
        <v>0</v>
      </c>
      <c r="AA75" s="206">
        <v>0</v>
      </c>
      <c r="AB75" s="208">
        <f>Table13[[#This Row],[Incoming Unit Cost]]*Table13[[#This Row],[Incoming Qty]]</f>
        <v>0</v>
      </c>
      <c r="AC75" s="206">
        <f>SUMIF(Table326[Item],Table13[[#This Row],[Decription]],Table326[Quantity Issued])</f>
        <v>0</v>
      </c>
      <c r="AD75" s="206">
        <f>Table13[[#This Row],[Unit Cost]]*Table13[[#This Row],[April 2025 - Issued Qty ]]</f>
        <v>0</v>
      </c>
      <c r="AE75" s="219">
        <f>(Table13[[#This Row],[March 2025 - Balance Qty]]-Table13[[#This Row],[April 2025 - Issued Qty ]])+Table13[[#This Row],[Incoming Qty ]]</f>
        <v>0</v>
      </c>
      <c r="AF75" s="207">
        <f>Table13[[#This Row],[April 2025 - Balance Qty]]*Table13[[#This Row],[Unit Cost]]</f>
        <v>0</v>
      </c>
      <c r="AG75" s="207"/>
    </row>
    <row r="76" spans="1:33">
      <c r="A76" t="s">
        <v>77</v>
      </c>
      <c r="B76" t="s">
        <v>133</v>
      </c>
      <c r="C76" t="s">
        <v>58</v>
      </c>
      <c r="D76" t="s">
        <v>34</v>
      </c>
      <c r="E76" s="204">
        <v>2</v>
      </c>
      <c r="F76" s="204">
        <v>385</v>
      </c>
      <c r="G76" s="204">
        <f>Table13[[#This Row],[Unit Cost]]*Table13[[#This Row],[Quantity on Hand]]</f>
        <v>770</v>
      </c>
      <c r="H76" s="205">
        <f>SUMIF(Table3[Item],Table13[[#This Row],[Decription]],Table3[Quantity Issued])</f>
        <v>1</v>
      </c>
      <c r="I76" s="206">
        <f>Table13[[#This Row],[January 2025 - Issued Qty]]*Table13[[#This Row],[Unit Cost]]</f>
        <v>385</v>
      </c>
      <c r="J76" s="95">
        <f>Table13[[#This Row],[Quantity on Hand]]-Table13[[#This Row],[January 2025 - Issued Qty]]</f>
        <v>1</v>
      </c>
      <c r="K76" s="207">
        <f>Table13[[#This Row],[January 2025 - Balance Qty]]*Table13[[#This Row],[Unit Cost]]</f>
        <v>385</v>
      </c>
      <c r="L76" s="205">
        <v>0</v>
      </c>
      <c r="M76" s="206">
        <v>0</v>
      </c>
      <c r="N76" s="208">
        <f>Table13[[#This Row],[Incoming Unit Cost]]*Table13[[#This Row],[Incoming Qty]]</f>
        <v>0</v>
      </c>
      <c r="O76" s="206">
        <f>SUMIF(Table32[Item],Table13[[#This Row],[Decription]],Table32[Quantity Issued])</f>
        <v>0</v>
      </c>
      <c r="P76" s="206">
        <f>Table13[[#This Row],[Unit Cost]]*Table13[[#This Row],[February 2025 - Issued Qty]]</f>
        <v>0</v>
      </c>
      <c r="Q76" s="95">
        <f>(Table13[[#This Row],[January 2025 - Balance Qty]]-Table13[[#This Row],[February 2025 - Issued Qty]])+Table13[[#This Row],[Incoming Qty]]</f>
        <v>1</v>
      </c>
      <c r="R76" s="207">
        <f>Table13[[#This Row],[February 2025 - Balance Qty]]*Table13[[#This Row],[Unit Cost]]</f>
        <v>385</v>
      </c>
      <c r="S76" s="205">
        <v>0</v>
      </c>
      <c r="T76" s="206">
        <v>0</v>
      </c>
      <c r="U76" s="208">
        <f>Table13[[#This Row],[Incoming Unit Cost]]*Table13[[#This Row],[Incoming Qty]]</f>
        <v>0</v>
      </c>
      <c r="V76" s="206">
        <f>SUMIF(Table3267[Item],Table13[[#This Row],[Decription]],Table3267[Quantity Issued])</f>
        <v>1</v>
      </c>
      <c r="W76" s="206">
        <f>Table13[[#This Row],[Unit Cost]]*Table13[[#This Row],[March 2025 - Issued Qty]]</f>
        <v>385</v>
      </c>
      <c r="X76" s="219">
        <f>(Table13[[#This Row],[February 2025 - Balance Qty]]-Table13[[#This Row],[March 2025 - Issued Qty]])+Table13[[#This Row],[Incoming Qty]]</f>
        <v>0</v>
      </c>
      <c r="Y76" s="207">
        <f>Table13[[#This Row],[March 2025 - Balance Qty]]*Table13[[#This Row],[Unit Cost]]</f>
        <v>0</v>
      </c>
      <c r="Z76" s="205">
        <v>0</v>
      </c>
      <c r="AA76" s="206">
        <v>0</v>
      </c>
      <c r="AB76" s="208">
        <f>Table13[[#This Row],[Incoming Unit Cost]]*Table13[[#This Row],[Incoming Qty]]</f>
        <v>0</v>
      </c>
      <c r="AC76" s="206">
        <f>SUMIF(Table326[Item],Table13[[#This Row],[Decription]],Table326[Quantity Issued])</f>
        <v>0</v>
      </c>
      <c r="AD76" s="206">
        <f>Table13[[#This Row],[Unit Cost]]*Table13[[#This Row],[April 2025 - Issued Qty ]]</f>
        <v>0</v>
      </c>
      <c r="AE76" s="219">
        <f>(Table13[[#This Row],[March 2025 - Balance Qty]]-Table13[[#This Row],[April 2025 - Issued Qty ]])+Table13[[#This Row],[Incoming Qty ]]</f>
        <v>0</v>
      </c>
      <c r="AF76" s="207">
        <f>Table13[[#This Row],[April 2025 - Balance Qty]]*Table13[[#This Row],[Unit Cost]]</f>
        <v>0</v>
      </c>
      <c r="AG76" s="207"/>
    </row>
    <row r="77" spans="1:33">
      <c r="A77" t="s">
        <v>77</v>
      </c>
      <c r="B77" t="s">
        <v>133</v>
      </c>
      <c r="C77" t="s">
        <v>59</v>
      </c>
      <c r="D77" t="s">
        <v>34</v>
      </c>
      <c r="E77" s="204">
        <v>3</v>
      </c>
      <c r="F77" s="204">
        <v>385</v>
      </c>
      <c r="G77" s="204">
        <f>Table13[[#This Row],[Unit Cost]]*Table13[[#This Row],[Quantity on Hand]]</f>
        <v>1155</v>
      </c>
      <c r="H77" s="205">
        <f>SUMIF(Table3[Item],Table13[[#This Row],[Decription]],Table3[Quantity Issued])</f>
        <v>1</v>
      </c>
      <c r="I77" s="206">
        <f>Table13[[#This Row],[January 2025 - Issued Qty]]*Table13[[#This Row],[Unit Cost]]</f>
        <v>385</v>
      </c>
      <c r="J77" s="95">
        <f>Table13[[#This Row],[Quantity on Hand]]-Table13[[#This Row],[January 2025 - Issued Qty]]</f>
        <v>2</v>
      </c>
      <c r="K77" s="207">
        <f>Table13[[#This Row],[January 2025 - Balance Qty]]*Table13[[#This Row],[Unit Cost]]</f>
        <v>770</v>
      </c>
      <c r="L77" s="205">
        <v>0</v>
      </c>
      <c r="M77" s="206">
        <v>0</v>
      </c>
      <c r="N77" s="208">
        <f>Table13[[#This Row],[Incoming Unit Cost]]*Table13[[#This Row],[Incoming Qty]]</f>
        <v>0</v>
      </c>
      <c r="O77" s="206">
        <f>SUMIF(Table32[Item],Table13[[#This Row],[Decription]],Table32[Quantity Issued])</f>
        <v>0</v>
      </c>
      <c r="P77" s="206">
        <f>Table13[[#This Row],[Unit Cost]]*Table13[[#This Row],[February 2025 - Issued Qty]]</f>
        <v>0</v>
      </c>
      <c r="Q77" s="95">
        <f>(Table13[[#This Row],[January 2025 - Balance Qty]]-Table13[[#This Row],[February 2025 - Issued Qty]])+Table13[[#This Row],[Incoming Qty]]</f>
        <v>2</v>
      </c>
      <c r="R77" s="207">
        <f>Table13[[#This Row],[February 2025 - Balance Qty]]*Table13[[#This Row],[Unit Cost]]</f>
        <v>770</v>
      </c>
      <c r="S77" s="205">
        <v>0</v>
      </c>
      <c r="T77" s="206">
        <v>0</v>
      </c>
      <c r="U77" s="208">
        <f>Table13[[#This Row],[Incoming Unit Cost]]*Table13[[#This Row],[Incoming Qty]]</f>
        <v>0</v>
      </c>
      <c r="V77" s="206">
        <f>SUMIF(Table3267[Item],Table13[[#This Row],[Decription]],Table3267[Quantity Issued])</f>
        <v>2</v>
      </c>
      <c r="W77" s="206">
        <f>Table13[[#This Row],[Unit Cost]]*Table13[[#This Row],[March 2025 - Issued Qty]]</f>
        <v>770</v>
      </c>
      <c r="X77" s="219">
        <f>(Table13[[#This Row],[February 2025 - Balance Qty]]-Table13[[#This Row],[March 2025 - Issued Qty]])+Table13[[#This Row],[Incoming Qty]]</f>
        <v>0</v>
      </c>
      <c r="Y77" s="207">
        <f>Table13[[#This Row],[March 2025 - Balance Qty]]*Table13[[#This Row],[Unit Cost]]</f>
        <v>0</v>
      </c>
      <c r="Z77" s="205">
        <v>0</v>
      </c>
      <c r="AA77" s="206">
        <v>0</v>
      </c>
      <c r="AB77" s="208">
        <f>Table13[[#This Row],[Incoming Unit Cost]]*Table13[[#This Row],[Incoming Qty]]</f>
        <v>0</v>
      </c>
      <c r="AC77" s="206">
        <f>SUMIF(Table326[Item],Table13[[#This Row],[Decription]],Table326[Quantity Issued])</f>
        <v>0</v>
      </c>
      <c r="AD77" s="206">
        <f>Table13[[#This Row],[Unit Cost]]*Table13[[#This Row],[April 2025 - Issued Qty ]]</f>
        <v>0</v>
      </c>
      <c r="AE77" s="219">
        <f>(Table13[[#This Row],[March 2025 - Balance Qty]]-Table13[[#This Row],[April 2025 - Issued Qty ]])+Table13[[#This Row],[Incoming Qty ]]</f>
        <v>0</v>
      </c>
      <c r="AF77" s="207">
        <f>Table13[[#This Row],[April 2025 - Balance Qty]]*Table13[[#This Row],[Unit Cost]]</f>
        <v>0</v>
      </c>
      <c r="AG77" s="207"/>
    </row>
    <row r="78" spans="1:33">
      <c r="A78" t="s">
        <v>77</v>
      </c>
      <c r="B78" t="s">
        <v>133</v>
      </c>
      <c r="C78" t="s">
        <v>141</v>
      </c>
      <c r="D78" t="s">
        <v>34</v>
      </c>
      <c r="E78" s="204">
        <v>1</v>
      </c>
      <c r="F78" s="204">
        <v>320</v>
      </c>
      <c r="G78" s="204">
        <f>Table13[[#This Row],[Unit Cost]]*Table13[[#This Row],[Quantity on Hand]]</f>
        <v>320</v>
      </c>
      <c r="H78" s="205">
        <f>SUMIF(Table3[Item],Table13[[#This Row],[Decription]],Table3[Quantity Issued])</f>
        <v>0</v>
      </c>
      <c r="I78" s="206">
        <f>Table13[[#This Row],[January 2025 - Issued Qty]]*Table13[[#This Row],[Unit Cost]]</f>
        <v>0</v>
      </c>
      <c r="J78" s="95">
        <f>Table13[[#This Row],[Quantity on Hand]]-Table13[[#This Row],[January 2025 - Issued Qty]]</f>
        <v>1</v>
      </c>
      <c r="K78" s="207">
        <f>Table13[[#This Row],[January 2025 - Balance Qty]]*Table13[[#This Row],[Unit Cost]]</f>
        <v>320</v>
      </c>
      <c r="L78" s="205">
        <v>0</v>
      </c>
      <c r="M78" s="206">
        <v>0</v>
      </c>
      <c r="N78" s="208">
        <f>Table13[[#This Row],[Incoming Unit Cost]]*Table13[[#This Row],[Incoming Qty]]</f>
        <v>0</v>
      </c>
      <c r="O78" s="206">
        <f>SUMIF(Table32[Item],Table13[[#This Row],[Decription]],Table32[Quantity Issued])</f>
        <v>0</v>
      </c>
      <c r="P78" s="206">
        <f>Table13[[#This Row],[Unit Cost]]*Table13[[#This Row],[February 2025 - Issued Qty]]</f>
        <v>0</v>
      </c>
      <c r="Q78" s="95">
        <f>(Table13[[#This Row],[January 2025 - Balance Qty]]-Table13[[#This Row],[February 2025 - Issued Qty]])+Table13[[#This Row],[Incoming Qty]]</f>
        <v>1</v>
      </c>
      <c r="R78" s="207">
        <f>Table13[[#This Row],[February 2025 - Balance Qty]]*Table13[[#This Row],[Unit Cost]]</f>
        <v>320</v>
      </c>
      <c r="S78" s="205">
        <v>0</v>
      </c>
      <c r="T78" s="206">
        <v>0</v>
      </c>
      <c r="U78" s="208">
        <f>Table13[[#This Row],[Incoming Unit Cost]]*Table13[[#This Row],[Incoming Qty]]</f>
        <v>0</v>
      </c>
      <c r="V78" s="206">
        <f>SUMIF(Table3267[Item],Table13[[#This Row],[Decription]],Table3267[Quantity Issued])</f>
        <v>0</v>
      </c>
      <c r="W78" s="206">
        <f>Table13[[#This Row],[Unit Cost]]*Table13[[#This Row],[March 2025 - Issued Qty]]</f>
        <v>0</v>
      </c>
      <c r="X78" s="219">
        <f>(Table13[[#This Row],[February 2025 - Balance Qty]]-Table13[[#This Row],[March 2025 - Issued Qty]])+Table13[[#This Row],[Incoming Qty]]</f>
        <v>1</v>
      </c>
      <c r="Y78" s="207">
        <f>Table13[[#This Row],[March 2025 - Balance Qty]]*Table13[[#This Row],[Unit Cost]]</f>
        <v>320</v>
      </c>
      <c r="Z78" s="205">
        <v>0</v>
      </c>
      <c r="AA78" s="206">
        <v>0</v>
      </c>
      <c r="AB78" s="208">
        <f>Table13[[#This Row],[Incoming Unit Cost]]*Table13[[#This Row],[Incoming Qty]]</f>
        <v>0</v>
      </c>
      <c r="AC78" s="206">
        <f>SUMIF(Table326[Item],Table13[[#This Row],[Decription]],Table326[Quantity Issued])</f>
        <v>0</v>
      </c>
      <c r="AD78" s="206">
        <f>Table13[[#This Row],[Unit Cost]]*Table13[[#This Row],[April 2025 - Issued Qty ]]</f>
        <v>0</v>
      </c>
      <c r="AE78" s="219">
        <f>(Table13[[#This Row],[March 2025 - Balance Qty]]-Table13[[#This Row],[April 2025 - Issued Qty ]])+Table13[[#This Row],[Incoming Qty ]]</f>
        <v>1</v>
      </c>
      <c r="AF78" s="207">
        <f>Table13[[#This Row],[April 2025 - Balance Qty]]*Table13[[#This Row],[Unit Cost]]</f>
        <v>320</v>
      </c>
      <c r="AG78" s="207"/>
    </row>
    <row r="79" spans="1:33">
      <c r="A79" t="s">
        <v>77</v>
      </c>
      <c r="B79" t="s">
        <v>133</v>
      </c>
      <c r="C79" t="s">
        <v>142</v>
      </c>
      <c r="D79" t="s">
        <v>34</v>
      </c>
      <c r="E79" s="204">
        <v>0</v>
      </c>
      <c r="F79" s="204">
        <v>320</v>
      </c>
      <c r="G79" s="204">
        <f>Table13[[#This Row],[Unit Cost]]*Table13[[#This Row],[Quantity on Hand]]</f>
        <v>0</v>
      </c>
      <c r="H79" s="205">
        <f>SUMIF(Table3[Item],Table13[[#This Row],[Decription]],Table3[Quantity Issued])</f>
        <v>0</v>
      </c>
      <c r="I79" s="206">
        <f>Table13[[#This Row],[January 2025 - Issued Qty]]*Table13[[#This Row],[Unit Cost]]</f>
        <v>0</v>
      </c>
      <c r="J79" s="95">
        <f>Table13[[#This Row],[Quantity on Hand]]-Table13[[#This Row],[January 2025 - Issued Qty]]</f>
        <v>0</v>
      </c>
      <c r="K79" s="207">
        <f>Table13[[#This Row],[January 2025 - Balance Qty]]*Table13[[#This Row],[Unit Cost]]</f>
        <v>0</v>
      </c>
      <c r="L79" s="205">
        <v>0</v>
      </c>
      <c r="M79" s="206">
        <v>0</v>
      </c>
      <c r="N79" s="208">
        <f>Table13[[#This Row],[Incoming Unit Cost]]*Table13[[#This Row],[Incoming Qty]]</f>
        <v>0</v>
      </c>
      <c r="O79" s="206">
        <f>SUMIF(Table32[Item],Table13[[#This Row],[Decription]],Table32[Quantity Issued])</f>
        <v>0</v>
      </c>
      <c r="P79" s="206">
        <f>Table13[[#This Row],[Unit Cost]]*Table13[[#This Row],[February 2025 - Issued Qty]]</f>
        <v>0</v>
      </c>
      <c r="Q79" s="95">
        <f>(Table13[[#This Row],[January 2025 - Balance Qty]]-Table13[[#This Row],[February 2025 - Issued Qty]])+Table13[[#This Row],[Incoming Qty]]</f>
        <v>0</v>
      </c>
      <c r="R79" s="207">
        <f>Table13[[#This Row],[February 2025 - Balance Qty]]*Table13[[#This Row],[Unit Cost]]</f>
        <v>0</v>
      </c>
      <c r="S79" s="205">
        <v>0</v>
      </c>
      <c r="T79" s="206">
        <v>0</v>
      </c>
      <c r="U79" s="208">
        <f>Table13[[#This Row],[Incoming Unit Cost]]*Table13[[#This Row],[Incoming Qty]]</f>
        <v>0</v>
      </c>
      <c r="V79" s="206">
        <f>SUMIF(Table3267[Item],Table13[[#This Row],[Decription]],Table3267[Quantity Issued])</f>
        <v>0</v>
      </c>
      <c r="W79" s="206">
        <f>Table13[[#This Row],[Unit Cost]]*Table13[[#This Row],[March 2025 - Issued Qty]]</f>
        <v>0</v>
      </c>
      <c r="X79" s="219">
        <f>(Table13[[#This Row],[February 2025 - Balance Qty]]-Table13[[#This Row],[March 2025 - Issued Qty]])+Table13[[#This Row],[Incoming Qty]]</f>
        <v>0</v>
      </c>
      <c r="Y79" s="207">
        <f>Table13[[#This Row],[March 2025 - Balance Qty]]*Table13[[#This Row],[Unit Cost]]</f>
        <v>0</v>
      </c>
      <c r="Z79" s="205">
        <v>0</v>
      </c>
      <c r="AA79" s="206">
        <v>0</v>
      </c>
      <c r="AB79" s="208">
        <f>Table13[[#This Row],[Incoming Unit Cost]]*Table13[[#This Row],[Incoming Qty]]</f>
        <v>0</v>
      </c>
      <c r="AC79" s="206">
        <f>SUMIF(Table326[Item],Table13[[#This Row],[Decription]],Table326[Quantity Issued])</f>
        <v>0</v>
      </c>
      <c r="AD79" s="206">
        <f>Table13[[#This Row],[Unit Cost]]*Table13[[#This Row],[April 2025 - Issued Qty ]]</f>
        <v>0</v>
      </c>
      <c r="AE79" s="219">
        <f>(Table13[[#This Row],[March 2025 - Balance Qty]]-Table13[[#This Row],[April 2025 - Issued Qty ]])+Table13[[#This Row],[Incoming Qty ]]</f>
        <v>0</v>
      </c>
      <c r="AF79" s="207">
        <f>Table13[[#This Row],[April 2025 - Balance Qty]]*Table13[[#This Row],[Unit Cost]]</f>
        <v>0</v>
      </c>
      <c r="AG79" s="207"/>
    </row>
    <row r="80" spans="1:33">
      <c r="A80" t="s">
        <v>77</v>
      </c>
      <c r="B80" t="s">
        <v>133</v>
      </c>
      <c r="C80" t="s">
        <v>143</v>
      </c>
      <c r="D80" t="s">
        <v>34</v>
      </c>
      <c r="E80" s="204">
        <v>1</v>
      </c>
      <c r="F80" s="204">
        <v>320</v>
      </c>
      <c r="G80" s="204">
        <f>Table13[[#This Row],[Unit Cost]]*Table13[[#This Row],[Quantity on Hand]]</f>
        <v>320</v>
      </c>
      <c r="H80" s="205">
        <f>SUMIF(Table3[Item],Table13[[#This Row],[Decription]],Table3[Quantity Issued])</f>
        <v>0</v>
      </c>
      <c r="I80" s="206">
        <f>Table13[[#This Row],[January 2025 - Issued Qty]]*Table13[[#This Row],[Unit Cost]]</f>
        <v>0</v>
      </c>
      <c r="J80" s="95">
        <f>Table13[[#This Row],[Quantity on Hand]]-Table13[[#This Row],[January 2025 - Issued Qty]]</f>
        <v>1</v>
      </c>
      <c r="K80" s="207">
        <f>Table13[[#This Row],[January 2025 - Balance Qty]]*Table13[[#This Row],[Unit Cost]]</f>
        <v>320</v>
      </c>
      <c r="L80" s="205">
        <v>0</v>
      </c>
      <c r="M80" s="206">
        <v>0</v>
      </c>
      <c r="N80" s="208">
        <f>Table13[[#This Row],[Incoming Unit Cost]]*Table13[[#This Row],[Incoming Qty]]</f>
        <v>0</v>
      </c>
      <c r="O80" s="206">
        <f>SUMIF(Table32[Item],Table13[[#This Row],[Decription]],Table32[Quantity Issued])</f>
        <v>0</v>
      </c>
      <c r="P80" s="206">
        <f>Table13[[#This Row],[Unit Cost]]*Table13[[#This Row],[February 2025 - Issued Qty]]</f>
        <v>0</v>
      </c>
      <c r="Q80" s="95">
        <f>(Table13[[#This Row],[January 2025 - Balance Qty]]-Table13[[#This Row],[February 2025 - Issued Qty]])+Table13[[#This Row],[Incoming Qty]]</f>
        <v>1</v>
      </c>
      <c r="R80" s="207">
        <f>Table13[[#This Row],[February 2025 - Balance Qty]]*Table13[[#This Row],[Unit Cost]]</f>
        <v>320</v>
      </c>
      <c r="S80" s="205">
        <v>0</v>
      </c>
      <c r="T80" s="206">
        <v>0</v>
      </c>
      <c r="U80" s="208">
        <f>Table13[[#This Row],[Incoming Unit Cost]]*Table13[[#This Row],[Incoming Qty]]</f>
        <v>0</v>
      </c>
      <c r="V80" s="206">
        <f>SUMIF(Table3267[Item],Table13[[#This Row],[Decription]],Table3267[Quantity Issued])</f>
        <v>0</v>
      </c>
      <c r="W80" s="206">
        <f>Table13[[#This Row],[Unit Cost]]*Table13[[#This Row],[March 2025 - Issued Qty]]</f>
        <v>0</v>
      </c>
      <c r="X80" s="219">
        <f>(Table13[[#This Row],[February 2025 - Balance Qty]]-Table13[[#This Row],[March 2025 - Issued Qty]])+Table13[[#This Row],[Incoming Qty]]</f>
        <v>1</v>
      </c>
      <c r="Y80" s="207">
        <f>Table13[[#This Row],[March 2025 - Balance Qty]]*Table13[[#This Row],[Unit Cost]]</f>
        <v>320</v>
      </c>
      <c r="Z80" s="205">
        <v>0</v>
      </c>
      <c r="AA80" s="206">
        <v>0</v>
      </c>
      <c r="AB80" s="208">
        <f>Table13[[#This Row],[Incoming Unit Cost]]*Table13[[#This Row],[Incoming Qty]]</f>
        <v>0</v>
      </c>
      <c r="AC80" s="206">
        <f>SUMIF(Table326[Item],Table13[[#This Row],[Decription]],Table326[Quantity Issued])</f>
        <v>0</v>
      </c>
      <c r="AD80" s="206">
        <f>Table13[[#This Row],[Unit Cost]]*Table13[[#This Row],[April 2025 - Issued Qty ]]</f>
        <v>0</v>
      </c>
      <c r="AE80" s="219">
        <f>(Table13[[#This Row],[March 2025 - Balance Qty]]-Table13[[#This Row],[April 2025 - Issued Qty ]])+Table13[[#This Row],[Incoming Qty ]]</f>
        <v>1</v>
      </c>
      <c r="AF80" s="207">
        <f>Table13[[#This Row],[April 2025 - Balance Qty]]*Table13[[#This Row],[Unit Cost]]</f>
        <v>320</v>
      </c>
      <c r="AG80" s="207"/>
    </row>
    <row r="81" spans="1:33">
      <c r="A81" t="s">
        <v>77</v>
      </c>
      <c r="B81" t="s">
        <v>133</v>
      </c>
      <c r="C81" t="s">
        <v>144</v>
      </c>
      <c r="D81" t="s">
        <v>34</v>
      </c>
      <c r="E81" s="204">
        <v>0</v>
      </c>
      <c r="F81" s="204">
        <v>320</v>
      </c>
      <c r="G81" s="204">
        <f>Table13[[#This Row],[Unit Cost]]*Table13[[#This Row],[Quantity on Hand]]</f>
        <v>0</v>
      </c>
      <c r="H81" s="205">
        <f>SUMIF(Table3[Item],Table13[[#This Row],[Decription]],Table3[Quantity Issued])</f>
        <v>0</v>
      </c>
      <c r="I81" s="206">
        <f>Table13[[#This Row],[January 2025 - Issued Qty]]*Table13[[#This Row],[Unit Cost]]</f>
        <v>0</v>
      </c>
      <c r="J81" s="95">
        <f>Table13[[#This Row],[Quantity on Hand]]-Table13[[#This Row],[January 2025 - Issued Qty]]</f>
        <v>0</v>
      </c>
      <c r="K81" s="207">
        <f>Table13[[#This Row],[January 2025 - Balance Qty]]*Table13[[#This Row],[Unit Cost]]</f>
        <v>0</v>
      </c>
      <c r="L81" s="205">
        <v>0</v>
      </c>
      <c r="M81" s="206">
        <v>0</v>
      </c>
      <c r="N81" s="208">
        <f>Table13[[#This Row],[Incoming Unit Cost]]*Table13[[#This Row],[Incoming Qty]]</f>
        <v>0</v>
      </c>
      <c r="O81" s="206">
        <f>SUMIF(Table32[Item],Table13[[#This Row],[Decription]],Table32[Quantity Issued])</f>
        <v>0</v>
      </c>
      <c r="P81" s="206">
        <f>Table13[[#This Row],[Unit Cost]]*Table13[[#This Row],[February 2025 - Issued Qty]]</f>
        <v>0</v>
      </c>
      <c r="Q81" s="95">
        <f>(Table13[[#This Row],[January 2025 - Balance Qty]]-Table13[[#This Row],[February 2025 - Issued Qty]])+Table13[[#This Row],[Incoming Qty]]</f>
        <v>0</v>
      </c>
      <c r="R81" s="207">
        <f>Table13[[#This Row],[February 2025 - Balance Qty]]*Table13[[#This Row],[Unit Cost]]</f>
        <v>0</v>
      </c>
      <c r="S81" s="205">
        <v>0</v>
      </c>
      <c r="T81" s="206">
        <v>0</v>
      </c>
      <c r="U81" s="208">
        <f>Table13[[#This Row],[Incoming Unit Cost]]*Table13[[#This Row],[Incoming Qty]]</f>
        <v>0</v>
      </c>
      <c r="V81" s="206">
        <f>SUMIF(Table3267[Item],Table13[[#This Row],[Decription]],Table3267[Quantity Issued])</f>
        <v>0</v>
      </c>
      <c r="W81" s="206">
        <f>Table13[[#This Row],[Unit Cost]]*Table13[[#This Row],[March 2025 - Issued Qty]]</f>
        <v>0</v>
      </c>
      <c r="X81" s="219">
        <f>(Table13[[#This Row],[February 2025 - Balance Qty]]-Table13[[#This Row],[March 2025 - Issued Qty]])+Table13[[#This Row],[Incoming Qty]]</f>
        <v>0</v>
      </c>
      <c r="Y81" s="207">
        <f>Table13[[#This Row],[March 2025 - Balance Qty]]*Table13[[#This Row],[Unit Cost]]</f>
        <v>0</v>
      </c>
      <c r="Z81" s="205">
        <v>0</v>
      </c>
      <c r="AA81" s="206">
        <v>0</v>
      </c>
      <c r="AB81" s="208">
        <f>Table13[[#This Row],[Incoming Unit Cost]]*Table13[[#This Row],[Incoming Qty]]</f>
        <v>0</v>
      </c>
      <c r="AC81" s="206">
        <f>SUMIF(Table326[Item],Table13[[#This Row],[Decription]],Table326[Quantity Issued])</f>
        <v>0</v>
      </c>
      <c r="AD81" s="206">
        <f>Table13[[#This Row],[Unit Cost]]*Table13[[#This Row],[April 2025 - Issued Qty ]]</f>
        <v>0</v>
      </c>
      <c r="AE81" s="219">
        <f>(Table13[[#This Row],[March 2025 - Balance Qty]]-Table13[[#This Row],[April 2025 - Issued Qty ]])+Table13[[#This Row],[Incoming Qty ]]</f>
        <v>0</v>
      </c>
      <c r="AF81" s="207">
        <f>Table13[[#This Row],[April 2025 - Balance Qty]]*Table13[[#This Row],[Unit Cost]]</f>
        <v>0</v>
      </c>
      <c r="AG81" s="207"/>
    </row>
    <row r="82" spans="1:33">
      <c r="A82" t="s">
        <v>77</v>
      </c>
      <c r="B82" t="s">
        <v>133</v>
      </c>
      <c r="C82" t="s">
        <v>145</v>
      </c>
      <c r="D82" t="s">
        <v>34</v>
      </c>
      <c r="E82" s="204">
        <v>2</v>
      </c>
      <c r="F82" s="204">
        <v>100</v>
      </c>
      <c r="G82" s="204">
        <f>Table13[[#This Row],[Unit Cost]]*Table13[[#This Row],[Quantity on Hand]]</f>
        <v>200</v>
      </c>
      <c r="H82" s="205">
        <f>SUMIF(Table3[Item],Table13[[#This Row],[Decription]],Table3[Quantity Issued])</f>
        <v>0</v>
      </c>
      <c r="I82" s="206">
        <f>Table13[[#This Row],[January 2025 - Issued Qty]]*Table13[[#This Row],[Unit Cost]]</f>
        <v>0</v>
      </c>
      <c r="J82" s="95">
        <f>Table13[[#This Row],[Quantity on Hand]]-Table13[[#This Row],[January 2025 - Issued Qty]]</f>
        <v>2</v>
      </c>
      <c r="K82" s="207">
        <f>Table13[[#This Row],[January 2025 - Balance Qty]]*Table13[[#This Row],[Unit Cost]]</f>
        <v>200</v>
      </c>
      <c r="L82" s="205">
        <v>0</v>
      </c>
      <c r="M82" s="206">
        <v>0</v>
      </c>
      <c r="N82" s="208">
        <f>Table13[[#This Row],[Incoming Unit Cost]]*Table13[[#This Row],[Incoming Qty]]</f>
        <v>0</v>
      </c>
      <c r="O82" s="206">
        <f>SUMIF(Table32[Item],Table13[[#This Row],[Decription]],Table32[Quantity Issued])</f>
        <v>0</v>
      </c>
      <c r="P82" s="206">
        <f>Table13[[#This Row],[Unit Cost]]*Table13[[#This Row],[February 2025 - Issued Qty]]</f>
        <v>0</v>
      </c>
      <c r="Q82" s="95">
        <f>(Table13[[#This Row],[January 2025 - Balance Qty]]-Table13[[#This Row],[February 2025 - Issued Qty]])+Table13[[#This Row],[Incoming Qty]]</f>
        <v>2</v>
      </c>
      <c r="R82" s="207">
        <f>Table13[[#This Row],[February 2025 - Balance Qty]]*Table13[[#This Row],[Unit Cost]]</f>
        <v>200</v>
      </c>
      <c r="S82" s="205">
        <v>0</v>
      </c>
      <c r="T82" s="206">
        <v>0</v>
      </c>
      <c r="U82" s="208">
        <f>Table13[[#This Row],[Incoming Unit Cost]]*Table13[[#This Row],[Incoming Qty]]</f>
        <v>0</v>
      </c>
      <c r="V82" s="206">
        <f>SUMIF(Table3267[Item],Table13[[#This Row],[Decription]],Table3267[Quantity Issued])</f>
        <v>0</v>
      </c>
      <c r="W82" s="206">
        <f>Table13[[#This Row],[Unit Cost]]*Table13[[#This Row],[March 2025 - Issued Qty]]</f>
        <v>0</v>
      </c>
      <c r="X82" s="219">
        <f>(Table13[[#This Row],[February 2025 - Balance Qty]]-Table13[[#This Row],[March 2025 - Issued Qty]])+Table13[[#This Row],[Incoming Qty]]</f>
        <v>2</v>
      </c>
      <c r="Y82" s="207">
        <f>Table13[[#This Row],[March 2025 - Balance Qty]]*Table13[[#This Row],[Unit Cost]]</f>
        <v>200</v>
      </c>
      <c r="Z82" s="205">
        <v>0</v>
      </c>
      <c r="AA82" s="206">
        <v>0</v>
      </c>
      <c r="AB82" s="208">
        <f>Table13[[#This Row],[Incoming Unit Cost]]*Table13[[#This Row],[Incoming Qty]]</f>
        <v>0</v>
      </c>
      <c r="AC82" s="206">
        <f>SUMIF(Table326[Item],Table13[[#This Row],[Decription]],Table326[Quantity Issued])</f>
        <v>0</v>
      </c>
      <c r="AD82" s="206">
        <f>Table13[[#This Row],[Unit Cost]]*Table13[[#This Row],[April 2025 - Issued Qty ]]</f>
        <v>0</v>
      </c>
      <c r="AE82" s="219">
        <f>(Table13[[#This Row],[March 2025 - Balance Qty]]-Table13[[#This Row],[April 2025 - Issued Qty ]])+Table13[[#This Row],[Incoming Qty ]]</f>
        <v>2</v>
      </c>
      <c r="AF82" s="207">
        <f>Table13[[#This Row],[April 2025 - Balance Qty]]*Table13[[#This Row],[Unit Cost]]</f>
        <v>200</v>
      </c>
      <c r="AG82" s="207"/>
    </row>
    <row r="83" spans="1:33">
      <c r="A83" t="s">
        <v>77</v>
      </c>
      <c r="B83" t="s">
        <v>133</v>
      </c>
      <c r="C83" t="s">
        <v>146</v>
      </c>
      <c r="D83" t="s">
        <v>34</v>
      </c>
      <c r="E83" s="204">
        <v>5</v>
      </c>
      <c r="F83" s="204">
        <v>60</v>
      </c>
      <c r="G83" s="204">
        <f>Table13[[#This Row],[Unit Cost]]*Table13[[#This Row],[Quantity on Hand]]</f>
        <v>300</v>
      </c>
      <c r="H83" s="205">
        <f>SUMIF(Table3[Item],Table13[[#This Row],[Decription]],Table3[Quantity Issued])</f>
        <v>0</v>
      </c>
      <c r="I83" s="206">
        <f>Table13[[#This Row],[January 2025 - Issued Qty]]*Table13[[#This Row],[Unit Cost]]</f>
        <v>0</v>
      </c>
      <c r="J83" s="95">
        <f>Table13[[#This Row],[Quantity on Hand]]-Table13[[#This Row],[January 2025 - Issued Qty]]</f>
        <v>5</v>
      </c>
      <c r="K83" s="207">
        <f>Table13[[#This Row],[January 2025 - Balance Qty]]*Table13[[#This Row],[Unit Cost]]</f>
        <v>300</v>
      </c>
      <c r="L83" s="205">
        <v>0</v>
      </c>
      <c r="M83" s="206">
        <v>0</v>
      </c>
      <c r="N83" s="208">
        <f>Table13[[#This Row],[Incoming Unit Cost]]*Table13[[#This Row],[Incoming Qty]]</f>
        <v>0</v>
      </c>
      <c r="O83" s="206">
        <f>SUMIF(Table32[Item],Table13[[#This Row],[Decription]],Table32[Quantity Issued])</f>
        <v>0</v>
      </c>
      <c r="P83" s="206">
        <f>Table13[[#This Row],[Unit Cost]]*Table13[[#This Row],[February 2025 - Issued Qty]]</f>
        <v>0</v>
      </c>
      <c r="Q83" s="95">
        <f>(Table13[[#This Row],[January 2025 - Balance Qty]]-Table13[[#This Row],[February 2025 - Issued Qty]])+Table13[[#This Row],[Incoming Qty]]</f>
        <v>5</v>
      </c>
      <c r="R83" s="207">
        <f>Table13[[#This Row],[February 2025 - Balance Qty]]*Table13[[#This Row],[Unit Cost]]</f>
        <v>300</v>
      </c>
      <c r="S83" s="205">
        <v>0</v>
      </c>
      <c r="T83" s="206">
        <v>0</v>
      </c>
      <c r="U83" s="208">
        <f>Table13[[#This Row],[Incoming Unit Cost]]*Table13[[#This Row],[Incoming Qty]]</f>
        <v>0</v>
      </c>
      <c r="V83" s="206">
        <f>SUMIF(Table3267[Item],Table13[[#This Row],[Decription]],Table3267[Quantity Issued])</f>
        <v>0</v>
      </c>
      <c r="W83" s="206">
        <f>Table13[[#This Row],[Unit Cost]]*Table13[[#This Row],[March 2025 - Issued Qty]]</f>
        <v>0</v>
      </c>
      <c r="X83" s="219">
        <f>(Table13[[#This Row],[February 2025 - Balance Qty]]-Table13[[#This Row],[March 2025 - Issued Qty]])+Table13[[#This Row],[Incoming Qty]]</f>
        <v>5</v>
      </c>
      <c r="Y83" s="207">
        <f>Table13[[#This Row],[March 2025 - Balance Qty]]*Table13[[#This Row],[Unit Cost]]</f>
        <v>300</v>
      </c>
      <c r="Z83" s="205">
        <v>0</v>
      </c>
      <c r="AA83" s="206">
        <v>0</v>
      </c>
      <c r="AB83" s="208">
        <f>Table13[[#This Row],[Incoming Unit Cost]]*Table13[[#This Row],[Incoming Qty]]</f>
        <v>0</v>
      </c>
      <c r="AC83" s="206">
        <f>SUMIF(Table326[Item],Table13[[#This Row],[Decription]],Table326[Quantity Issued])</f>
        <v>0</v>
      </c>
      <c r="AD83" s="206">
        <f>Table13[[#This Row],[Unit Cost]]*Table13[[#This Row],[April 2025 - Issued Qty ]]</f>
        <v>0</v>
      </c>
      <c r="AE83" s="219">
        <f>(Table13[[#This Row],[March 2025 - Balance Qty]]-Table13[[#This Row],[April 2025 - Issued Qty ]])+Table13[[#This Row],[Incoming Qty ]]</f>
        <v>5</v>
      </c>
      <c r="AF83" s="207">
        <f>Table13[[#This Row],[April 2025 - Balance Qty]]*Table13[[#This Row],[Unit Cost]]</f>
        <v>300</v>
      </c>
      <c r="AG83" s="207"/>
    </row>
    <row r="84" spans="1:33">
      <c r="A84" t="s">
        <v>77</v>
      </c>
      <c r="B84" t="s">
        <v>133</v>
      </c>
      <c r="C84" t="s">
        <v>147</v>
      </c>
      <c r="D84" t="s">
        <v>100</v>
      </c>
      <c r="E84" s="204">
        <v>5</v>
      </c>
      <c r="F84" s="204">
        <v>45</v>
      </c>
      <c r="G84" s="204">
        <f>Table13[[#This Row],[Unit Cost]]*Table13[[#This Row],[Quantity on Hand]]</f>
        <v>225</v>
      </c>
      <c r="H84" s="205">
        <f>SUMIF(Table3[Item],Table13[[#This Row],[Decription]],Table3[Quantity Issued])</f>
        <v>0</v>
      </c>
      <c r="I84" s="206">
        <f>Table13[[#This Row],[January 2025 - Issued Qty]]*Table13[[#This Row],[Unit Cost]]</f>
        <v>0</v>
      </c>
      <c r="J84" s="95">
        <f>Table13[[#This Row],[Quantity on Hand]]-Table13[[#This Row],[January 2025 - Issued Qty]]</f>
        <v>5</v>
      </c>
      <c r="K84" s="207">
        <f>Table13[[#This Row],[January 2025 - Balance Qty]]*Table13[[#This Row],[Unit Cost]]</f>
        <v>225</v>
      </c>
      <c r="L84" s="205">
        <v>0</v>
      </c>
      <c r="M84" s="206">
        <v>0</v>
      </c>
      <c r="N84" s="208">
        <f>Table13[[#This Row],[Incoming Unit Cost]]*Table13[[#This Row],[Incoming Qty]]</f>
        <v>0</v>
      </c>
      <c r="O84" s="206">
        <f>SUMIF(Table32[Item],Table13[[#This Row],[Decription]],Table32[Quantity Issued])</f>
        <v>0</v>
      </c>
      <c r="P84" s="206">
        <f>Table13[[#This Row],[Unit Cost]]*Table13[[#This Row],[February 2025 - Issued Qty]]</f>
        <v>0</v>
      </c>
      <c r="Q84" s="95">
        <f>(Table13[[#This Row],[January 2025 - Balance Qty]]-Table13[[#This Row],[February 2025 - Issued Qty]])+Table13[[#This Row],[Incoming Qty]]</f>
        <v>5</v>
      </c>
      <c r="R84" s="207">
        <f>Table13[[#This Row],[February 2025 - Balance Qty]]*Table13[[#This Row],[Unit Cost]]</f>
        <v>225</v>
      </c>
      <c r="S84" s="205">
        <v>0</v>
      </c>
      <c r="T84" s="206">
        <v>0</v>
      </c>
      <c r="U84" s="208">
        <f>Table13[[#This Row],[Incoming Unit Cost]]*Table13[[#This Row],[Incoming Qty]]</f>
        <v>0</v>
      </c>
      <c r="V84" s="206">
        <f>SUMIF(Table3267[Item],Table13[[#This Row],[Decription]],Table3267[Quantity Issued])</f>
        <v>2</v>
      </c>
      <c r="W84" s="206">
        <f>Table13[[#This Row],[Unit Cost]]*Table13[[#This Row],[March 2025 - Issued Qty]]</f>
        <v>90</v>
      </c>
      <c r="X84" s="219">
        <f>(Table13[[#This Row],[February 2025 - Balance Qty]]-Table13[[#This Row],[March 2025 - Issued Qty]])+Table13[[#This Row],[Incoming Qty]]</f>
        <v>3</v>
      </c>
      <c r="Y84" s="207">
        <f>Table13[[#This Row],[March 2025 - Balance Qty]]*Table13[[#This Row],[Unit Cost]]</f>
        <v>135</v>
      </c>
      <c r="Z84" s="205">
        <v>0</v>
      </c>
      <c r="AA84" s="206">
        <v>0</v>
      </c>
      <c r="AB84" s="208">
        <f>Table13[[#This Row],[Incoming Unit Cost]]*Table13[[#This Row],[Incoming Qty]]</f>
        <v>0</v>
      </c>
      <c r="AC84" s="206">
        <f>SUMIF(Table326[Item],Table13[[#This Row],[Decription]],Table326[Quantity Issued])</f>
        <v>0</v>
      </c>
      <c r="AD84" s="206">
        <f>Table13[[#This Row],[Unit Cost]]*Table13[[#This Row],[April 2025 - Issued Qty ]]</f>
        <v>0</v>
      </c>
      <c r="AE84" s="219">
        <f>(Table13[[#This Row],[March 2025 - Balance Qty]]-Table13[[#This Row],[April 2025 - Issued Qty ]])+Table13[[#This Row],[Incoming Qty ]]</f>
        <v>3</v>
      </c>
      <c r="AF84" s="207">
        <f>Table13[[#This Row],[April 2025 - Balance Qty]]*Table13[[#This Row],[Unit Cost]]</f>
        <v>135</v>
      </c>
      <c r="AG84" s="207"/>
    </row>
    <row r="85" spans="1:33">
      <c r="A85" t="s">
        <v>77</v>
      </c>
      <c r="B85" t="s">
        <v>148</v>
      </c>
      <c r="C85" t="s">
        <v>149</v>
      </c>
      <c r="D85" t="s">
        <v>32</v>
      </c>
      <c r="E85" s="204">
        <v>17</v>
      </c>
      <c r="F85" s="204">
        <v>34.75</v>
      </c>
      <c r="G85" s="204">
        <f>Table13[[#This Row],[Unit Cost]]*Table13[[#This Row],[Quantity on Hand]]</f>
        <v>590.75</v>
      </c>
      <c r="H85" s="205">
        <f>SUMIF(Table3[Item],Table13[[#This Row],[Decription]],Table3[Quantity Issued])</f>
        <v>0</v>
      </c>
      <c r="I85" s="206">
        <f>Table13[[#This Row],[January 2025 - Issued Qty]]*Table13[[#This Row],[Unit Cost]]</f>
        <v>0</v>
      </c>
      <c r="J85" s="95">
        <f>Table13[[#This Row],[Quantity on Hand]]-Table13[[#This Row],[January 2025 - Issued Qty]]</f>
        <v>17</v>
      </c>
      <c r="K85" s="207">
        <f>Table13[[#This Row],[January 2025 - Balance Qty]]*Table13[[#This Row],[Unit Cost]]</f>
        <v>590.75</v>
      </c>
      <c r="L85" s="205">
        <v>0</v>
      </c>
      <c r="M85" s="206">
        <v>0</v>
      </c>
      <c r="N85" s="208">
        <f>Table13[[#This Row],[Incoming Unit Cost]]*Table13[[#This Row],[Incoming Qty]]</f>
        <v>0</v>
      </c>
      <c r="O85" s="206">
        <f>SUMIF(Table32[Item],Table13[[#This Row],[Decription]],Table32[Quantity Issued])</f>
        <v>0</v>
      </c>
      <c r="P85" s="206">
        <f>Table13[[#This Row],[Unit Cost]]*Table13[[#This Row],[February 2025 - Issued Qty]]</f>
        <v>0</v>
      </c>
      <c r="Q85" s="95">
        <f>(Table13[[#This Row],[January 2025 - Balance Qty]]-Table13[[#This Row],[February 2025 - Issued Qty]])+Table13[[#This Row],[Incoming Qty]]</f>
        <v>17</v>
      </c>
      <c r="R85" s="207">
        <f>Table13[[#This Row],[February 2025 - Balance Qty]]*Table13[[#This Row],[Unit Cost]]</f>
        <v>590.75</v>
      </c>
      <c r="S85" s="205">
        <v>0</v>
      </c>
      <c r="T85" s="206">
        <v>0</v>
      </c>
      <c r="U85" s="208">
        <f>Table13[[#This Row],[Incoming Unit Cost]]*Table13[[#This Row],[Incoming Qty]]</f>
        <v>0</v>
      </c>
      <c r="V85" s="206">
        <f>SUMIF(Table3267[Item],Table13[[#This Row],[Decription]],Table3267[Quantity Issued])</f>
        <v>6</v>
      </c>
      <c r="W85" s="206">
        <f>Table13[[#This Row],[Unit Cost]]*Table13[[#This Row],[March 2025 - Issued Qty]]</f>
        <v>208.5</v>
      </c>
      <c r="X85" s="219">
        <f>(Table13[[#This Row],[February 2025 - Balance Qty]]-Table13[[#This Row],[March 2025 - Issued Qty]])+Table13[[#This Row],[Incoming Qty]]</f>
        <v>11</v>
      </c>
      <c r="Y85" s="207">
        <f>Table13[[#This Row],[March 2025 - Balance Qty]]*Table13[[#This Row],[Unit Cost]]</f>
        <v>382.25</v>
      </c>
      <c r="Z85" s="205">
        <v>0</v>
      </c>
      <c r="AA85" s="206">
        <v>0</v>
      </c>
      <c r="AB85" s="208">
        <f>Table13[[#This Row],[Incoming Unit Cost]]*Table13[[#This Row],[Incoming Qty]]</f>
        <v>0</v>
      </c>
      <c r="AC85" s="206">
        <f>SUMIF(Table326[Item],Table13[[#This Row],[Decription]],Table326[Quantity Issued])</f>
        <v>7</v>
      </c>
      <c r="AD85" s="206">
        <f>Table13[[#This Row],[Unit Cost]]*Table13[[#This Row],[April 2025 - Issued Qty ]]</f>
        <v>243.25</v>
      </c>
      <c r="AE85" s="219">
        <f>(Table13[[#This Row],[March 2025 - Balance Qty]]-Table13[[#This Row],[April 2025 - Issued Qty ]])+Table13[[#This Row],[Incoming Qty ]]</f>
        <v>4</v>
      </c>
      <c r="AF85" s="207">
        <f>Table13[[#This Row],[April 2025 - Balance Qty]]*Table13[[#This Row],[Unit Cost]]</f>
        <v>139</v>
      </c>
      <c r="AG85" s="207"/>
    </row>
    <row r="86" spans="1:33">
      <c r="A86" t="s">
        <v>77</v>
      </c>
      <c r="B86" t="s">
        <v>148</v>
      </c>
      <c r="C86" t="s">
        <v>150</v>
      </c>
      <c r="D86" t="s">
        <v>27</v>
      </c>
      <c r="E86" s="204">
        <v>29</v>
      </c>
      <c r="F86" s="204">
        <v>30</v>
      </c>
      <c r="G86" s="204">
        <f>Table13[[#This Row],[Unit Cost]]*Table13[[#This Row],[Quantity on Hand]]</f>
        <v>870</v>
      </c>
      <c r="H86" s="205">
        <f>SUMIF(Table3[Item],Table13[[#This Row],[Decription]],Table3[Quantity Issued])</f>
        <v>0</v>
      </c>
      <c r="I86" s="206">
        <f>Table13[[#This Row],[January 2025 - Issued Qty]]*Table13[[#This Row],[Unit Cost]]</f>
        <v>0</v>
      </c>
      <c r="J86" s="95">
        <f>Table13[[#This Row],[Quantity on Hand]]-Table13[[#This Row],[January 2025 - Issued Qty]]</f>
        <v>29</v>
      </c>
      <c r="K86" s="207">
        <f>Table13[[#This Row],[January 2025 - Balance Qty]]*Table13[[#This Row],[Unit Cost]]</f>
        <v>870</v>
      </c>
      <c r="L86" s="205">
        <v>0</v>
      </c>
      <c r="M86" s="206">
        <v>0</v>
      </c>
      <c r="N86" s="208">
        <f>Table13[[#This Row],[Incoming Unit Cost]]*Table13[[#This Row],[Incoming Qty]]</f>
        <v>0</v>
      </c>
      <c r="O86" s="206">
        <f>SUMIF(Table32[Item],Table13[[#This Row],[Decription]],Table32[Quantity Issued])</f>
        <v>0</v>
      </c>
      <c r="P86" s="206">
        <f>Table13[[#This Row],[Unit Cost]]*Table13[[#This Row],[February 2025 - Issued Qty]]</f>
        <v>0</v>
      </c>
      <c r="Q86" s="95">
        <f>(Table13[[#This Row],[January 2025 - Balance Qty]]-Table13[[#This Row],[February 2025 - Issued Qty]])+Table13[[#This Row],[Incoming Qty]]</f>
        <v>29</v>
      </c>
      <c r="R86" s="207">
        <f>Table13[[#This Row],[February 2025 - Balance Qty]]*Table13[[#This Row],[Unit Cost]]</f>
        <v>870</v>
      </c>
      <c r="S86" s="205">
        <v>0</v>
      </c>
      <c r="T86" s="206">
        <v>0</v>
      </c>
      <c r="U86" s="208">
        <f>Table13[[#This Row],[Incoming Unit Cost]]*Table13[[#This Row],[Incoming Qty]]</f>
        <v>0</v>
      </c>
      <c r="V86" s="206">
        <f>SUMIF(Table3267[Item],Table13[[#This Row],[Decription]],Table3267[Quantity Issued])</f>
        <v>1</v>
      </c>
      <c r="W86" s="206">
        <f>Table13[[#This Row],[Unit Cost]]*Table13[[#This Row],[March 2025 - Issued Qty]]</f>
        <v>30</v>
      </c>
      <c r="X86" s="219">
        <f>(Table13[[#This Row],[February 2025 - Balance Qty]]-Table13[[#This Row],[March 2025 - Issued Qty]])+Table13[[#This Row],[Incoming Qty]]</f>
        <v>28</v>
      </c>
      <c r="Y86" s="207">
        <f>Table13[[#This Row],[March 2025 - Balance Qty]]*Table13[[#This Row],[Unit Cost]]</f>
        <v>840</v>
      </c>
      <c r="Z86" s="205">
        <v>0</v>
      </c>
      <c r="AA86" s="206">
        <v>0</v>
      </c>
      <c r="AB86" s="208">
        <f>Table13[[#This Row],[Incoming Unit Cost]]*Table13[[#This Row],[Incoming Qty]]</f>
        <v>0</v>
      </c>
      <c r="AC86" s="206">
        <f>SUMIF(Table326[Item],Table13[[#This Row],[Decription]],Table326[Quantity Issued])</f>
        <v>3</v>
      </c>
      <c r="AD86" s="206">
        <f>Table13[[#This Row],[Unit Cost]]*Table13[[#This Row],[April 2025 - Issued Qty ]]</f>
        <v>90</v>
      </c>
      <c r="AE86" s="219">
        <f>(Table13[[#This Row],[March 2025 - Balance Qty]]-Table13[[#This Row],[April 2025 - Issued Qty ]])+Table13[[#This Row],[Incoming Qty ]]</f>
        <v>25</v>
      </c>
      <c r="AF86" s="207">
        <f>Table13[[#This Row],[April 2025 - Balance Qty]]*Table13[[#This Row],[Unit Cost]]</f>
        <v>750</v>
      </c>
      <c r="AG86" s="207"/>
    </row>
    <row r="87" spans="1:33">
      <c r="A87" t="s">
        <v>77</v>
      </c>
      <c r="B87" t="s">
        <v>148</v>
      </c>
      <c r="C87" t="s">
        <v>55</v>
      </c>
      <c r="D87" t="s">
        <v>32</v>
      </c>
      <c r="E87" s="204">
        <v>15</v>
      </c>
      <c r="F87" s="204">
        <v>42.15</v>
      </c>
      <c r="G87" s="204">
        <f>Table13[[#This Row],[Unit Cost]]*Table13[[#This Row],[Quantity on Hand]]</f>
        <v>632.25</v>
      </c>
      <c r="H87" s="205">
        <f>SUMIF(Table3[Item],Table13[[#This Row],[Decription]],Table3[Quantity Issued])</f>
        <v>1</v>
      </c>
      <c r="I87" s="206">
        <f>Table13[[#This Row],[January 2025 - Issued Qty]]*Table13[[#This Row],[Unit Cost]]</f>
        <v>42.15</v>
      </c>
      <c r="J87" s="95">
        <f>Table13[[#This Row],[Quantity on Hand]]-Table13[[#This Row],[January 2025 - Issued Qty]]</f>
        <v>14</v>
      </c>
      <c r="K87" s="207">
        <f>Table13[[#This Row],[January 2025 - Balance Qty]]*Table13[[#This Row],[Unit Cost]]</f>
        <v>590.1</v>
      </c>
      <c r="L87" s="205">
        <v>0</v>
      </c>
      <c r="M87" s="206">
        <v>0</v>
      </c>
      <c r="N87" s="208">
        <f>Table13[[#This Row],[Incoming Unit Cost]]*Table13[[#This Row],[Incoming Qty]]</f>
        <v>0</v>
      </c>
      <c r="O87" s="206">
        <f>SUMIF(Table32[Item],Table13[[#This Row],[Decription]],Table32[Quantity Issued])</f>
        <v>0</v>
      </c>
      <c r="P87" s="206">
        <f>Table13[[#This Row],[Unit Cost]]*Table13[[#This Row],[February 2025 - Issued Qty]]</f>
        <v>0</v>
      </c>
      <c r="Q87" s="95">
        <f>(Table13[[#This Row],[January 2025 - Balance Qty]]-Table13[[#This Row],[February 2025 - Issued Qty]])+Table13[[#This Row],[Incoming Qty]]</f>
        <v>14</v>
      </c>
      <c r="R87" s="207">
        <f>Table13[[#This Row],[February 2025 - Balance Qty]]*Table13[[#This Row],[Unit Cost]]</f>
        <v>590.1</v>
      </c>
      <c r="S87" s="205">
        <v>0</v>
      </c>
      <c r="T87" s="206">
        <v>0</v>
      </c>
      <c r="U87" s="208">
        <f>Table13[[#This Row],[Incoming Unit Cost]]*Table13[[#This Row],[Incoming Qty]]</f>
        <v>0</v>
      </c>
      <c r="V87" s="206">
        <f>SUMIF(Table3267[Item],Table13[[#This Row],[Decription]],Table3267[Quantity Issued])</f>
        <v>1</v>
      </c>
      <c r="W87" s="206">
        <f>Table13[[#This Row],[Unit Cost]]*Table13[[#This Row],[March 2025 - Issued Qty]]</f>
        <v>42.15</v>
      </c>
      <c r="X87" s="219">
        <f>(Table13[[#This Row],[February 2025 - Balance Qty]]-Table13[[#This Row],[March 2025 - Issued Qty]])+Table13[[#This Row],[Incoming Qty]]</f>
        <v>13</v>
      </c>
      <c r="Y87" s="207">
        <f>Table13[[#This Row],[March 2025 - Balance Qty]]*Table13[[#This Row],[Unit Cost]]</f>
        <v>547.94999999999993</v>
      </c>
      <c r="Z87" s="205">
        <v>0</v>
      </c>
      <c r="AA87" s="206">
        <v>0</v>
      </c>
      <c r="AB87" s="208">
        <f>Table13[[#This Row],[Incoming Unit Cost]]*Table13[[#This Row],[Incoming Qty]]</f>
        <v>0</v>
      </c>
      <c r="AC87" s="206">
        <f>SUMIF(Table326[Item],Table13[[#This Row],[Decription]],Table326[Quantity Issued])</f>
        <v>11</v>
      </c>
      <c r="AD87" s="206">
        <f>Table13[[#This Row],[Unit Cost]]*Table13[[#This Row],[April 2025 - Issued Qty ]]</f>
        <v>463.65</v>
      </c>
      <c r="AE87" s="219">
        <f>(Table13[[#This Row],[March 2025 - Balance Qty]]-Table13[[#This Row],[April 2025 - Issued Qty ]])+Table13[[#This Row],[Incoming Qty ]]</f>
        <v>2</v>
      </c>
      <c r="AF87" s="207">
        <f>Table13[[#This Row],[April 2025 - Balance Qty]]*Table13[[#This Row],[Unit Cost]]</f>
        <v>84.3</v>
      </c>
      <c r="AG87" s="207"/>
    </row>
    <row r="88" spans="1:33">
      <c r="A88" s="196" t="s">
        <v>77</v>
      </c>
      <c r="B88" s="196" t="s">
        <v>148</v>
      </c>
      <c r="C88" s="196" t="s">
        <v>151</v>
      </c>
      <c r="D88" s="196" t="s">
        <v>27</v>
      </c>
      <c r="E88" s="197">
        <v>75</v>
      </c>
      <c r="F88" s="197">
        <v>3.4993899330589922</v>
      </c>
      <c r="G88" s="197">
        <f>Table13[[#This Row],[Unit Cost]]*Table13[[#This Row],[Quantity on Hand]]</f>
        <v>262.4542449794244</v>
      </c>
      <c r="H88" s="198">
        <f>SUMIF(Table3[Item],Table13[[#This Row],[Decription]],Table3[Quantity Issued])</f>
        <v>0</v>
      </c>
      <c r="I88" s="199">
        <f>Table13[[#This Row],[January 2025 - Issued Qty]]*Table13[[#This Row],[Unit Cost]]</f>
        <v>0</v>
      </c>
      <c r="J88" s="200">
        <f>Table13[[#This Row],[Quantity on Hand]]-Table13[[#This Row],[January 2025 - Issued Qty]]</f>
        <v>75</v>
      </c>
      <c r="K88" s="201">
        <f>Table13[[#This Row],[January 2025 - Balance Qty]]*Table13[[#This Row],[Unit Cost]]</f>
        <v>262.4542449794244</v>
      </c>
      <c r="L88" s="198">
        <v>0</v>
      </c>
      <c r="M88" s="199">
        <v>0</v>
      </c>
      <c r="N88" s="203">
        <f>Table13[[#This Row],[Incoming Unit Cost]]*Table13[[#This Row],[Incoming Qty]]</f>
        <v>0</v>
      </c>
      <c r="O88" s="199">
        <f>SUMIF(Table32[Item],Table13[[#This Row],[Decription]],Table32[Quantity Issued])</f>
        <v>75</v>
      </c>
      <c r="P88" s="199">
        <f>Table13[[#This Row],[Unit Cost]]*Table13[[#This Row],[February 2025 - Issued Qty]]</f>
        <v>262.4542449794244</v>
      </c>
      <c r="Q88" s="200">
        <f>(Table13[[#This Row],[January 2025 - Balance Qty]]-Table13[[#This Row],[February 2025 - Issued Qty]])+Table13[[#This Row],[Incoming Qty]]</f>
        <v>0</v>
      </c>
      <c r="R88" s="201">
        <f>Table13[[#This Row],[February 2025 - Balance Qty]]*Table13[[#This Row],[Unit Cost]]</f>
        <v>0</v>
      </c>
      <c r="S88" s="205">
        <v>0</v>
      </c>
      <c r="T88" s="206">
        <v>0</v>
      </c>
      <c r="U88" s="208">
        <f>Table13[[#This Row],[Incoming Unit Cost]]*Table13[[#This Row],[Incoming Qty]]</f>
        <v>0</v>
      </c>
      <c r="V88" s="206">
        <f>SUMIF(Table3267[Item],Table13[[#This Row],[Decription]],Table3267[Quantity Issued])</f>
        <v>0</v>
      </c>
      <c r="W88" s="206">
        <f>Table13[[#This Row],[Unit Cost]]*Table13[[#This Row],[March 2025 - Issued Qty]]</f>
        <v>0</v>
      </c>
      <c r="X88" s="219">
        <f>(Table13[[#This Row],[February 2025 - Balance Qty]]-Table13[[#This Row],[March 2025 - Issued Qty]])+Table13[[#This Row],[Incoming Qty]]</f>
        <v>0</v>
      </c>
      <c r="Y88" s="207">
        <f>Table13[[#This Row],[March 2025 - Balance Qty]]*Table13[[#This Row],[Unit Cost]]</f>
        <v>0</v>
      </c>
      <c r="Z88" s="205">
        <v>0</v>
      </c>
      <c r="AA88" s="206">
        <v>0</v>
      </c>
      <c r="AB88" s="208">
        <f>Table13[[#This Row],[Incoming Unit Cost]]*Table13[[#This Row],[Incoming Qty]]</f>
        <v>0</v>
      </c>
      <c r="AC88" s="206">
        <f>SUMIF(Table326[Item],Table13[[#This Row],[Decription]],Table326[Quantity Issued])</f>
        <v>0</v>
      </c>
      <c r="AD88" s="206">
        <f>Table13[[#This Row],[Unit Cost]]*Table13[[#This Row],[April 2025 - Issued Qty ]]</f>
        <v>0</v>
      </c>
      <c r="AE88" s="219">
        <f>(Table13[[#This Row],[March 2025 - Balance Qty]]-Table13[[#This Row],[April 2025 - Issued Qty ]])+Table13[[#This Row],[Incoming Qty ]]</f>
        <v>0</v>
      </c>
      <c r="AF88" s="207">
        <f>Table13[[#This Row],[April 2025 - Balance Qty]]*Table13[[#This Row],[Unit Cost]]</f>
        <v>0</v>
      </c>
      <c r="AG88" s="207"/>
    </row>
    <row r="89" spans="1:33">
      <c r="A89" t="s">
        <v>77</v>
      </c>
      <c r="B89" t="s">
        <v>148</v>
      </c>
      <c r="C89" t="s">
        <v>152</v>
      </c>
      <c r="D89" t="s">
        <v>32</v>
      </c>
      <c r="E89" s="204">
        <v>24</v>
      </c>
      <c r="F89" s="204">
        <v>28.72</v>
      </c>
      <c r="G89" s="204">
        <f>Table13[[#This Row],[Unit Cost]]*Table13[[#This Row],[Quantity on Hand]]</f>
        <v>689.28</v>
      </c>
      <c r="H89" s="205">
        <f>SUMIF(Table3[Item],Table13[[#This Row],[Decription]],Table3[Quantity Issued])</f>
        <v>0</v>
      </c>
      <c r="I89" s="206">
        <f>Table13[[#This Row],[January 2025 - Issued Qty]]*Table13[[#This Row],[Unit Cost]]</f>
        <v>0</v>
      </c>
      <c r="J89" s="95">
        <f>Table13[[#This Row],[Quantity on Hand]]-Table13[[#This Row],[January 2025 - Issued Qty]]</f>
        <v>24</v>
      </c>
      <c r="K89" s="207">
        <f>Table13[[#This Row],[January 2025 - Balance Qty]]*Table13[[#This Row],[Unit Cost]]</f>
        <v>689.28</v>
      </c>
      <c r="L89" s="205">
        <v>0</v>
      </c>
      <c r="M89" s="206">
        <v>0</v>
      </c>
      <c r="N89" s="208">
        <f>Table13[[#This Row],[Incoming Unit Cost]]*Table13[[#This Row],[Incoming Qty]]</f>
        <v>0</v>
      </c>
      <c r="O89" s="206">
        <f>SUMIF(Table32[Item],Table13[[#This Row],[Decription]],Table32[Quantity Issued])</f>
        <v>5</v>
      </c>
      <c r="P89" s="206">
        <f>Table13[[#This Row],[Unit Cost]]*Table13[[#This Row],[February 2025 - Issued Qty]]</f>
        <v>143.6</v>
      </c>
      <c r="Q89" s="95">
        <f>(Table13[[#This Row],[January 2025 - Balance Qty]]-Table13[[#This Row],[February 2025 - Issued Qty]])+Table13[[#This Row],[Incoming Qty]]</f>
        <v>19</v>
      </c>
      <c r="R89" s="207">
        <f>Table13[[#This Row],[February 2025 - Balance Qty]]*Table13[[#This Row],[Unit Cost]]</f>
        <v>545.67999999999995</v>
      </c>
      <c r="S89" s="205">
        <v>0</v>
      </c>
      <c r="T89" s="206">
        <v>0</v>
      </c>
      <c r="U89" s="208">
        <f>Table13[[#This Row],[Incoming Unit Cost]]*Table13[[#This Row],[Incoming Qty]]</f>
        <v>0</v>
      </c>
      <c r="V89" s="206">
        <f>SUMIF(Table3267[Item],Table13[[#This Row],[Decription]],Table3267[Quantity Issued])</f>
        <v>5</v>
      </c>
      <c r="W89" s="206">
        <f>Table13[[#This Row],[Unit Cost]]*Table13[[#This Row],[March 2025 - Issued Qty]]</f>
        <v>143.6</v>
      </c>
      <c r="X89" s="219">
        <f>(Table13[[#This Row],[February 2025 - Balance Qty]]-Table13[[#This Row],[March 2025 - Issued Qty]])+Table13[[#This Row],[Incoming Qty]]</f>
        <v>14</v>
      </c>
      <c r="Y89" s="207">
        <f>Table13[[#This Row],[March 2025 - Balance Qty]]*Table13[[#This Row],[Unit Cost]]</f>
        <v>402.08</v>
      </c>
      <c r="Z89" s="205">
        <v>0</v>
      </c>
      <c r="AA89" s="206">
        <v>0</v>
      </c>
      <c r="AB89" s="208">
        <f>Table13[[#This Row],[Incoming Unit Cost]]*Table13[[#This Row],[Incoming Qty]]</f>
        <v>0</v>
      </c>
      <c r="AC89" s="206">
        <f>SUMIF(Table326[Item],Table13[[#This Row],[Decription]],Table326[Quantity Issued])</f>
        <v>10</v>
      </c>
      <c r="AD89" s="206">
        <f>Table13[[#This Row],[Unit Cost]]*Table13[[#This Row],[April 2025 - Issued Qty ]]</f>
        <v>287.2</v>
      </c>
      <c r="AE89" s="219">
        <f>(Table13[[#This Row],[March 2025 - Balance Qty]]-Table13[[#This Row],[April 2025 - Issued Qty ]])+Table13[[#This Row],[Incoming Qty ]]</f>
        <v>4</v>
      </c>
      <c r="AF89" s="207">
        <f>Table13[[#This Row],[April 2025 - Balance Qty]]*Table13[[#This Row],[Unit Cost]]</f>
        <v>114.88</v>
      </c>
      <c r="AG89" s="207"/>
    </row>
    <row r="90" spans="1:33">
      <c r="A90" t="s">
        <v>77</v>
      </c>
      <c r="B90" t="s">
        <v>148</v>
      </c>
      <c r="C90" t="s">
        <v>153</v>
      </c>
      <c r="D90" t="s">
        <v>32</v>
      </c>
      <c r="E90" s="204">
        <v>15</v>
      </c>
      <c r="F90" s="204">
        <v>63.56</v>
      </c>
      <c r="G90" s="204">
        <f>Table13[[#This Row],[Unit Cost]]*Table13[[#This Row],[Quantity on Hand]]</f>
        <v>953.40000000000009</v>
      </c>
      <c r="H90" s="205">
        <f>SUMIF(Table3[Item],Table13[[#This Row],[Decription]],Table3[Quantity Issued])</f>
        <v>0</v>
      </c>
      <c r="I90" s="206">
        <f>Table13[[#This Row],[January 2025 - Issued Qty]]*Table13[[#This Row],[Unit Cost]]</f>
        <v>0</v>
      </c>
      <c r="J90" s="95">
        <f>Table13[[#This Row],[Quantity on Hand]]-Table13[[#This Row],[January 2025 - Issued Qty]]</f>
        <v>15</v>
      </c>
      <c r="K90" s="207">
        <f>Table13[[#This Row],[January 2025 - Balance Qty]]*Table13[[#This Row],[Unit Cost]]</f>
        <v>953.40000000000009</v>
      </c>
      <c r="L90" s="205">
        <v>0</v>
      </c>
      <c r="M90" s="206">
        <v>0</v>
      </c>
      <c r="N90" s="208">
        <f>Table13[[#This Row],[Incoming Unit Cost]]*Table13[[#This Row],[Incoming Qty]]</f>
        <v>0</v>
      </c>
      <c r="O90" s="206">
        <f>SUMIF(Table32[Item],Table13[[#This Row],[Decription]],Table32[Quantity Issued])</f>
        <v>0</v>
      </c>
      <c r="P90" s="206">
        <f>Table13[[#This Row],[Unit Cost]]*Table13[[#This Row],[February 2025 - Issued Qty]]</f>
        <v>0</v>
      </c>
      <c r="Q90" s="95">
        <f>(Table13[[#This Row],[January 2025 - Balance Qty]]-Table13[[#This Row],[February 2025 - Issued Qty]])+Table13[[#This Row],[Incoming Qty]]</f>
        <v>15</v>
      </c>
      <c r="R90" s="207">
        <f>Table13[[#This Row],[February 2025 - Balance Qty]]*Table13[[#This Row],[Unit Cost]]</f>
        <v>953.40000000000009</v>
      </c>
      <c r="S90" s="205">
        <v>0</v>
      </c>
      <c r="T90" s="206">
        <v>0</v>
      </c>
      <c r="U90" s="208">
        <f>Table13[[#This Row],[Incoming Unit Cost]]*Table13[[#This Row],[Incoming Qty]]</f>
        <v>0</v>
      </c>
      <c r="V90" s="206">
        <f>SUMIF(Table3267[Item],Table13[[#This Row],[Decription]],Table3267[Quantity Issued])</f>
        <v>0</v>
      </c>
      <c r="W90" s="206">
        <f>Table13[[#This Row],[Unit Cost]]*Table13[[#This Row],[March 2025 - Issued Qty]]</f>
        <v>0</v>
      </c>
      <c r="X90" s="219">
        <f>(Table13[[#This Row],[February 2025 - Balance Qty]]-Table13[[#This Row],[March 2025 - Issued Qty]])+Table13[[#This Row],[Incoming Qty]]</f>
        <v>15</v>
      </c>
      <c r="Y90" s="207">
        <f>Table13[[#This Row],[March 2025 - Balance Qty]]*Table13[[#This Row],[Unit Cost]]</f>
        <v>953.40000000000009</v>
      </c>
      <c r="Z90" s="205">
        <v>0</v>
      </c>
      <c r="AA90" s="206">
        <v>0</v>
      </c>
      <c r="AB90" s="208">
        <f>Table13[[#This Row],[Incoming Unit Cost]]*Table13[[#This Row],[Incoming Qty]]</f>
        <v>0</v>
      </c>
      <c r="AC90" s="206">
        <f>SUMIF(Table326[Item],Table13[[#This Row],[Decription]],Table326[Quantity Issued])</f>
        <v>15</v>
      </c>
      <c r="AD90" s="206">
        <f>Table13[[#This Row],[Unit Cost]]*Table13[[#This Row],[April 2025 - Issued Qty ]]</f>
        <v>953.40000000000009</v>
      </c>
      <c r="AE90" s="219">
        <f>(Table13[[#This Row],[March 2025 - Balance Qty]]-Table13[[#This Row],[April 2025 - Issued Qty ]])+Table13[[#This Row],[Incoming Qty ]]</f>
        <v>0</v>
      </c>
      <c r="AF90" s="207">
        <f>Table13[[#This Row],[April 2025 - Balance Qty]]*Table13[[#This Row],[Unit Cost]]</f>
        <v>0</v>
      </c>
      <c r="AG90" s="207"/>
    </row>
    <row r="91" spans="1:33">
      <c r="A91" t="s">
        <v>77</v>
      </c>
      <c r="B91" t="s">
        <v>148</v>
      </c>
      <c r="C91" t="s">
        <v>154</v>
      </c>
      <c r="D91" t="s">
        <v>27</v>
      </c>
      <c r="E91" s="204">
        <v>0</v>
      </c>
      <c r="F91" s="204">
        <v>130</v>
      </c>
      <c r="G91" s="204">
        <f>Table13[[#This Row],[Unit Cost]]*Table13[[#This Row],[Quantity on Hand]]</f>
        <v>0</v>
      </c>
      <c r="H91" s="205">
        <f>SUMIF(Table3[Item],Table13[[#This Row],[Decription]],Table3[Quantity Issued])</f>
        <v>0</v>
      </c>
      <c r="I91" s="206">
        <f>Table13[[#This Row],[January 2025 - Issued Qty]]*Table13[[#This Row],[Unit Cost]]</f>
        <v>0</v>
      </c>
      <c r="J91" s="95">
        <f>Table13[[#This Row],[Quantity on Hand]]-Table13[[#This Row],[January 2025 - Issued Qty]]</f>
        <v>0</v>
      </c>
      <c r="K91" s="207">
        <f>Table13[[#This Row],[January 2025 - Balance Qty]]*Table13[[#This Row],[Unit Cost]]</f>
        <v>0</v>
      </c>
      <c r="L91" s="205">
        <v>0</v>
      </c>
      <c r="M91" s="206">
        <v>0</v>
      </c>
      <c r="N91" s="208">
        <f>Table13[[#This Row],[Incoming Unit Cost]]*Table13[[#This Row],[Incoming Qty]]</f>
        <v>0</v>
      </c>
      <c r="O91" s="206">
        <f>SUMIF(Table32[Item],Table13[[#This Row],[Decription]],Table32[Quantity Issued])</f>
        <v>0</v>
      </c>
      <c r="P91" s="206">
        <f>Table13[[#This Row],[Unit Cost]]*Table13[[#This Row],[February 2025 - Issued Qty]]</f>
        <v>0</v>
      </c>
      <c r="Q91" s="95">
        <f>(Table13[[#This Row],[January 2025 - Balance Qty]]-Table13[[#This Row],[February 2025 - Issued Qty]])+Table13[[#This Row],[Incoming Qty]]</f>
        <v>0</v>
      </c>
      <c r="R91" s="207">
        <f>Table13[[#This Row],[February 2025 - Balance Qty]]*Table13[[#This Row],[Unit Cost]]</f>
        <v>0</v>
      </c>
      <c r="S91" s="205">
        <v>0</v>
      </c>
      <c r="T91" s="206">
        <v>0</v>
      </c>
      <c r="U91" s="208">
        <f>Table13[[#This Row],[Incoming Unit Cost]]*Table13[[#This Row],[Incoming Qty]]</f>
        <v>0</v>
      </c>
      <c r="V91" s="206">
        <f>SUMIF(Table3267[Item],Table13[[#This Row],[Decription]],Table3267[Quantity Issued])</f>
        <v>0</v>
      </c>
      <c r="W91" s="206">
        <f>Table13[[#This Row],[Unit Cost]]*Table13[[#This Row],[March 2025 - Issued Qty]]</f>
        <v>0</v>
      </c>
      <c r="X91" s="219">
        <f>(Table13[[#This Row],[February 2025 - Balance Qty]]-Table13[[#This Row],[March 2025 - Issued Qty]])+Table13[[#This Row],[Incoming Qty]]</f>
        <v>0</v>
      </c>
      <c r="Y91" s="207">
        <f>Table13[[#This Row],[March 2025 - Balance Qty]]*Table13[[#This Row],[Unit Cost]]</f>
        <v>0</v>
      </c>
      <c r="Z91" s="205">
        <v>0</v>
      </c>
      <c r="AA91" s="206">
        <v>0</v>
      </c>
      <c r="AB91" s="208">
        <f>Table13[[#This Row],[Incoming Unit Cost]]*Table13[[#This Row],[Incoming Qty]]</f>
        <v>0</v>
      </c>
      <c r="AC91" s="206">
        <f>SUMIF(Table326[Item],Table13[[#This Row],[Decription]],Table326[Quantity Issued])</f>
        <v>0</v>
      </c>
      <c r="AD91" s="206">
        <f>Table13[[#This Row],[Unit Cost]]*Table13[[#This Row],[April 2025 - Issued Qty ]]</f>
        <v>0</v>
      </c>
      <c r="AE91" s="219">
        <f>(Table13[[#This Row],[March 2025 - Balance Qty]]-Table13[[#This Row],[April 2025 - Issued Qty ]])+Table13[[#This Row],[Incoming Qty ]]</f>
        <v>0</v>
      </c>
      <c r="AF91" s="207">
        <f>Table13[[#This Row],[April 2025 - Balance Qty]]*Table13[[#This Row],[Unit Cost]]</f>
        <v>0</v>
      </c>
      <c r="AG91" s="207"/>
    </row>
    <row r="92" spans="1:33">
      <c r="A92" t="s">
        <v>77</v>
      </c>
      <c r="B92" t="s">
        <v>148</v>
      </c>
      <c r="C92" t="s">
        <v>155</v>
      </c>
      <c r="D92" t="s">
        <v>34</v>
      </c>
      <c r="E92" s="204">
        <v>11</v>
      </c>
      <c r="F92" s="204">
        <v>65</v>
      </c>
      <c r="G92" s="204">
        <f>Table13[[#This Row],[Unit Cost]]*Table13[[#This Row],[Quantity on Hand]]</f>
        <v>715</v>
      </c>
      <c r="H92" s="205">
        <f>SUMIF(Table3[Item],Table13[[#This Row],[Decription]],Table3[Quantity Issued])</f>
        <v>0</v>
      </c>
      <c r="I92" s="206">
        <f>Table13[[#This Row],[January 2025 - Issued Qty]]*Table13[[#This Row],[Unit Cost]]</f>
        <v>0</v>
      </c>
      <c r="J92" s="95">
        <f>Table13[[#This Row],[Quantity on Hand]]-Table13[[#This Row],[January 2025 - Issued Qty]]</f>
        <v>11</v>
      </c>
      <c r="K92" s="207">
        <f>Table13[[#This Row],[January 2025 - Balance Qty]]*Table13[[#This Row],[Unit Cost]]</f>
        <v>715</v>
      </c>
      <c r="L92" s="205">
        <v>0</v>
      </c>
      <c r="M92" s="206">
        <v>0</v>
      </c>
      <c r="N92" s="208">
        <f>Table13[[#This Row],[Incoming Unit Cost]]*Table13[[#This Row],[Incoming Qty]]</f>
        <v>0</v>
      </c>
      <c r="O92" s="206">
        <f>SUMIF(Table32[Item],Table13[[#This Row],[Decription]],Table32[Quantity Issued])</f>
        <v>1</v>
      </c>
      <c r="P92" s="206">
        <f>Table13[[#This Row],[Unit Cost]]*Table13[[#This Row],[February 2025 - Issued Qty]]</f>
        <v>65</v>
      </c>
      <c r="Q92" s="95">
        <f>(Table13[[#This Row],[January 2025 - Balance Qty]]-Table13[[#This Row],[February 2025 - Issued Qty]])+Table13[[#This Row],[Incoming Qty]]</f>
        <v>10</v>
      </c>
      <c r="R92" s="207">
        <f>Table13[[#This Row],[February 2025 - Balance Qty]]*Table13[[#This Row],[Unit Cost]]</f>
        <v>650</v>
      </c>
      <c r="S92" s="205">
        <v>0</v>
      </c>
      <c r="T92" s="206">
        <v>0</v>
      </c>
      <c r="U92" s="208">
        <f>Table13[[#This Row],[Incoming Unit Cost]]*Table13[[#This Row],[Incoming Qty]]</f>
        <v>0</v>
      </c>
      <c r="V92" s="206">
        <f>SUMIF(Table3267[Item],Table13[[#This Row],[Decription]],Table3267[Quantity Issued])</f>
        <v>4</v>
      </c>
      <c r="W92" s="206">
        <f>Table13[[#This Row],[Unit Cost]]*Table13[[#This Row],[March 2025 - Issued Qty]]</f>
        <v>260</v>
      </c>
      <c r="X92" s="219">
        <f>(Table13[[#This Row],[February 2025 - Balance Qty]]-Table13[[#This Row],[March 2025 - Issued Qty]])+Table13[[#This Row],[Incoming Qty]]</f>
        <v>6</v>
      </c>
      <c r="Y92" s="207">
        <f>Table13[[#This Row],[March 2025 - Balance Qty]]*Table13[[#This Row],[Unit Cost]]</f>
        <v>390</v>
      </c>
      <c r="Z92" s="205">
        <v>0</v>
      </c>
      <c r="AA92" s="206">
        <v>0</v>
      </c>
      <c r="AB92" s="208">
        <f>Table13[[#This Row],[Incoming Unit Cost]]*Table13[[#This Row],[Incoming Qty]]</f>
        <v>0</v>
      </c>
      <c r="AC92" s="206">
        <f>SUMIF(Table326[Item],Table13[[#This Row],[Decription]],Table326[Quantity Issued])</f>
        <v>0</v>
      </c>
      <c r="AD92" s="206">
        <f>Table13[[#This Row],[Unit Cost]]*Table13[[#This Row],[April 2025 - Issued Qty ]]</f>
        <v>0</v>
      </c>
      <c r="AE92" s="219">
        <f>(Table13[[#This Row],[March 2025 - Balance Qty]]-Table13[[#This Row],[April 2025 - Issued Qty ]])+Table13[[#This Row],[Incoming Qty ]]</f>
        <v>6</v>
      </c>
      <c r="AF92" s="207">
        <f>Table13[[#This Row],[April 2025 - Balance Qty]]*Table13[[#This Row],[Unit Cost]]</f>
        <v>390</v>
      </c>
      <c r="AG92" s="207"/>
    </row>
    <row r="93" spans="1:33">
      <c r="A93" t="s">
        <v>77</v>
      </c>
      <c r="B93" t="s">
        <v>156</v>
      </c>
      <c r="C93" t="s">
        <v>157</v>
      </c>
      <c r="D93" t="s">
        <v>27</v>
      </c>
      <c r="E93" s="204">
        <v>67</v>
      </c>
      <c r="F93" s="204">
        <v>8.4</v>
      </c>
      <c r="G93" s="204">
        <f>Table13[[#This Row],[Unit Cost]]*Table13[[#This Row],[Quantity on Hand]]</f>
        <v>562.80000000000007</v>
      </c>
      <c r="H93" s="205">
        <f>SUMIF(Table3[Item],Table13[[#This Row],[Decription]],Table3[Quantity Issued])</f>
        <v>0</v>
      </c>
      <c r="I93" s="206">
        <f>Table13[[#This Row],[January 2025 - Issued Qty]]*Table13[[#This Row],[Unit Cost]]</f>
        <v>0</v>
      </c>
      <c r="J93" s="95">
        <f>Table13[[#This Row],[Quantity on Hand]]-Table13[[#This Row],[January 2025 - Issued Qty]]</f>
        <v>67</v>
      </c>
      <c r="K93" s="207">
        <f>Table13[[#This Row],[January 2025 - Balance Qty]]*Table13[[#This Row],[Unit Cost]]</f>
        <v>562.80000000000007</v>
      </c>
      <c r="L93" s="205">
        <v>0</v>
      </c>
      <c r="M93" s="206">
        <v>0</v>
      </c>
      <c r="N93" s="208">
        <f>Table13[[#This Row],[Incoming Unit Cost]]*Table13[[#This Row],[Incoming Qty]]</f>
        <v>0</v>
      </c>
      <c r="O93" s="206">
        <f>SUMIF(Table32[Item],Table13[[#This Row],[Decription]],Table32[Quantity Issued])</f>
        <v>5</v>
      </c>
      <c r="P93" s="206">
        <f>Table13[[#This Row],[Unit Cost]]*Table13[[#This Row],[February 2025 - Issued Qty]]</f>
        <v>42</v>
      </c>
      <c r="Q93" s="95">
        <f>(Table13[[#This Row],[January 2025 - Balance Qty]]-Table13[[#This Row],[February 2025 - Issued Qty]])+Table13[[#This Row],[Incoming Qty]]</f>
        <v>62</v>
      </c>
      <c r="R93" s="207">
        <f>Table13[[#This Row],[February 2025 - Balance Qty]]*Table13[[#This Row],[Unit Cost]]</f>
        <v>520.80000000000007</v>
      </c>
      <c r="S93" s="205">
        <v>0</v>
      </c>
      <c r="T93" s="206">
        <v>0</v>
      </c>
      <c r="U93" s="208">
        <f>Table13[[#This Row],[Incoming Unit Cost]]*Table13[[#This Row],[Incoming Qty]]</f>
        <v>0</v>
      </c>
      <c r="V93" s="206">
        <f>SUMIF(Table3267[Item],Table13[[#This Row],[Decription]],Table3267[Quantity Issued])</f>
        <v>2</v>
      </c>
      <c r="W93" s="206">
        <f>Table13[[#This Row],[Unit Cost]]*Table13[[#This Row],[March 2025 - Issued Qty]]</f>
        <v>16.8</v>
      </c>
      <c r="X93" s="219">
        <f>(Table13[[#This Row],[February 2025 - Balance Qty]]-Table13[[#This Row],[March 2025 - Issued Qty]])+Table13[[#This Row],[Incoming Qty]]</f>
        <v>60</v>
      </c>
      <c r="Y93" s="207">
        <f>Table13[[#This Row],[March 2025 - Balance Qty]]*Table13[[#This Row],[Unit Cost]]</f>
        <v>504</v>
      </c>
      <c r="Z93" s="205">
        <v>0</v>
      </c>
      <c r="AA93" s="206">
        <v>0</v>
      </c>
      <c r="AB93" s="208">
        <f>Table13[[#This Row],[Incoming Unit Cost]]*Table13[[#This Row],[Incoming Qty]]</f>
        <v>0</v>
      </c>
      <c r="AC93" s="206">
        <f>SUMIF(Table326[Item],Table13[[#This Row],[Decription]],Table326[Quantity Issued])</f>
        <v>4</v>
      </c>
      <c r="AD93" s="206">
        <f>Table13[[#This Row],[Unit Cost]]*Table13[[#This Row],[April 2025 - Issued Qty ]]</f>
        <v>33.6</v>
      </c>
      <c r="AE93" s="219">
        <f>(Table13[[#This Row],[March 2025 - Balance Qty]]-Table13[[#This Row],[April 2025 - Issued Qty ]])+Table13[[#This Row],[Incoming Qty ]]</f>
        <v>56</v>
      </c>
      <c r="AF93" s="207">
        <f>Table13[[#This Row],[April 2025 - Balance Qty]]*Table13[[#This Row],[Unit Cost]]</f>
        <v>470.40000000000003</v>
      </c>
      <c r="AG93" s="207"/>
    </row>
    <row r="94" spans="1:33">
      <c r="A94" t="s">
        <v>77</v>
      </c>
      <c r="B94" t="s">
        <v>156</v>
      </c>
      <c r="C94" t="s">
        <v>158</v>
      </c>
      <c r="D94" t="s">
        <v>27</v>
      </c>
      <c r="E94" s="204">
        <v>1</v>
      </c>
      <c r="F94" s="204">
        <v>3.4791666666666599</v>
      </c>
      <c r="G94" s="204">
        <f>Table13[[#This Row],[Unit Cost]]*Table13[[#This Row],[Quantity on Hand]]</f>
        <v>3.4791666666666599</v>
      </c>
      <c r="H94" s="205">
        <f>SUMIF(Table3[Item],Table13[[#This Row],[Decription]],Table3[Quantity Issued])</f>
        <v>0</v>
      </c>
      <c r="I94" s="206">
        <f>Table13[[#This Row],[January 2025 - Issued Qty]]*Table13[[#This Row],[Unit Cost]]</f>
        <v>0</v>
      </c>
      <c r="J94" s="95">
        <f>Table13[[#This Row],[Quantity on Hand]]-Table13[[#This Row],[January 2025 - Issued Qty]]</f>
        <v>1</v>
      </c>
      <c r="K94" s="207">
        <f>Table13[[#This Row],[January 2025 - Balance Qty]]*Table13[[#This Row],[Unit Cost]]</f>
        <v>3.4791666666666599</v>
      </c>
      <c r="L94" s="205">
        <v>0</v>
      </c>
      <c r="M94" s="206">
        <v>0</v>
      </c>
      <c r="N94" s="208">
        <f>Table13[[#This Row],[Incoming Unit Cost]]*Table13[[#This Row],[Incoming Qty]]</f>
        <v>0</v>
      </c>
      <c r="O94" s="206">
        <f>SUMIF(Table32[Item],Table13[[#This Row],[Decription]],Table32[Quantity Issued])</f>
        <v>0</v>
      </c>
      <c r="P94" s="206">
        <f>Table13[[#This Row],[Unit Cost]]*Table13[[#This Row],[February 2025 - Issued Qty]]</f>
        <v>0</v>
      </c>
      <c r="Q94" s="95">
        <f>(Table13[[#This Row],[January 2025 - Balance Qty]]-Table13[[#This Row],[February 2025 - Issued Qty]])+Table13[[#This Row],[Incoming Qty]]</f>
        <v>1</v>
      </c>
      <c r="R94" s="207">
        <f>Table13[[#This Row],[February 2025 - Balance Qty]]*Table13[[#This Row],[Unit Cost]]</f>
        <v>3.4791666666666599</v>
      </c>
      <c r="S94" s="205">
        <v>0</v>
      </c>
      <c r="T94" s="206">
        <v>0</v>
      </c>
      <c r="U94" s="208">
        <f>Table13[[#This Row],[Incoming Unit Cost]]*Table13[[#This Row],[Incoming Qty]]</f>
        <v>0</v>
      </c>
      <c r="V94" s="206">
        <f>SUMIF(Table3267[Item],Table13[[#This Row],[Decription]],Table3267[Quantity Issued])</f>
        <v>1</v>
      </c>
      <c r="W94" s="206">
        <f>Table13[[#This Row],[Unit Cost]]*Table13[[#This Row],[March 2025 - Issued Qty]]</f>
        <v>3.4791666666666599</v>
      </c>
      <c r="X94" s="219">
        <f>(Table13[[#This Row],[February 2025 - Balance Qty]]-Table13[[#This Row],[March 2025 - Issued Qty]])+Table13[[#This Row],[Incoming Qty]]</f>
        <v>0</v>
      </c>
      <c r="Y94" s="207">
        <f>Table13[[#This Row],[March 2025 - Balance Qty]]*Table13[[#This Row],[Unit Cost]]</f>
        <v>0</v>
      </c>
      <c r="Z94" s="205">
        <v>0</v>
      </c>
      <c r="AA94" s="206">
        <v>0</v>
      </c>
      <c r="AB94" s="208">
        <f>Table13[[#This Row],[Incoming Unit Cost]]*Table13[[#This Row],[Incoming Qty]]</f>
        <v>0</v>
      </c>
      <c r="AC94" s="206">
        <f>SUMIF(Table326[Item],Table13[[#This Row],[Decription]],Table326[Quantity Issued])</f>
        <v>0</v>
      </c>
      <c r="AD94" s="206">
        <f>Table13[[#This Row],[Unit Cost]]*Table13[[#This Row],[April 2025 - Issued Qty ]]</f>
        <v>0</v>
      </c>
      <c r="AE94" s="219">
        <f>(Table13[[#This Row],[March 2025 - Balance Qty]]-Table13[[#This Row],[April 2025 - Issued Qty ]])+Table13[[#This Row],[Incoming Qty ]]</f>
        <v>0</v>
      </c>
      <c r="AF94" s="207">
        <f>Table13[[#This Row],[April 2025 - Balance Qty]]*Table13[[#This Row],[Unit Cost]]</f>
        <v>0</v>
      </c>
      <c r="AG94" s="207"/>
    </row>
    <row r="95" spans="1:33">
      <c r="A95" t="s">
        <v>77</v>
      </c>
      <c r="B95" t="s">
        <v>156</v>
      </c>
      <c r="C95" t="s">
        <v>159</v>
      </c>
      <c r="D95" t="s">
        <v>100</v>
      </c>
      <c r="E95" s="204">
        <v>15</v>
      </c>
      <c r="F95" s="204">
        <v>44</v>
      </c>
      <c r="G95" s="204">
        <f>Table13[[#This Row],[Unit Cost]]*Table13[[#This Row],[Quantity on Hand]]</f>
        <v>660</v>
      </c>
      <c r="H95" s="205">
        <f>SUMIF(Table3[Item],Table13[[#This Row],[Decription]],Table3[Quantity Issued])</f>
        <v>0</v>
      </c>
      <c r="I95" s="206">
        <f>Table13[[#This Row],[January 2025 - Issued Qty]]*Table13[[#This Row],[Unit Cost]]</f>
        <v>0</v>
      </c>
      <c r="J95" s="95">
        <f>Table13[[#This Row],[Quantity on Hand]]-Table13[[#This Row],[January 2025 - Issued Qty]]</f>
        <v>15</v>
      </c>
      <c r="K95" s="207">
        <f>Table13[[#This Row],[January 2025 - Balance Qty]]*Table13[[#This Row],[Unit Cost]]</f>
        <v>660</v>
      </c>
      <c r="L95" s="205">
        <v>0</v>
      </c>
      <c r="M95" s="206">
        <v>0</v>
      </c>
      <c r="N95" s="208">
        <f>Table13[[#This Row],[Incoming Unit Cost]]*Table13[[#This Row],[Incoming Qty]]</f>
        <v>0</v>
      </c>
      <c r="O95" s="206">
        <f>SUMIF(Table32[Item],Table13[[#This Row],[Decription]],Table32[Quantity Issued])</f>
        <v>3</v>
      </c>
      <c r="P95" s="206">
        <f>Table13[[#This Row],[Unit Cost]]*Table13[[#This Row],[February 2025 - Issued Qty]]</f>
        <v>132</v>
      </c>
      <c r="Q95" s="95">
        <f>(Table13[[#This Row],[January 2025 - Balance Qty]]-Table13[[#This Row],[February 2025 - Issued Qty]])+Table13[[#This Row],[Incoming Qty]]</f>
        <v>12</v>
      </c>
      <c r="R95" s="207">
        <f>Table13[[#This Row],[February 2025 - Balance Qty]]*Table13[[#This Row],[Unit Cost]]</f>
        <v>528</v>
      </c>
      <c r="S95" s="205">
        <v>0</v>
      </c>
      <c r="T95" s="206">
        <v>0</v>
      </c>
      <c r="U95" s="208">
        <f>Table13[[#This Row],[Incoming Unit Cost]]*Table13[[#This Row],[Incoming Qty]]</f>
        <v>0</v>
      </c>
      <c r="V95" s="206">
        <f>SUMIF(Table3267[Item],Table13[[#This Row],[Decription]],Table3267[Quantity Issued])</f>
        <v>12</v>
      </c>
      <c r="W95" s="206">
        <f>Table13[[#This Row],[Unit Cost]]*Table13[[#This Row],[March 2025 - Issued Qty]]</f>
        <v>528</v>
      </c>
      <c r="X95" s="219">
        <f>(Table13[[#This Row],[February 2025 - Balance Qty]]-Table13[[#This Row],[March 2025 - Issued Qty]])+Table13[[#This Row],[Incoming Qty]]</f>
        <v>0</v>
      </c>
      <c r="Y95" s="207">
        <f>Table13[[#This Row],[March 2025 - Balance Qty]]*Table13[[#This Row],[Unit Cost]]</f>
        <v>0</v>
      </c>
      <c r="Z95" s="205">
        <v>0</v>
      </c>
      <c r="AA95" s="206">
        <v>0</v>
      </c>
      <c r="AB95" s="208">
        <f>Table13[[#This Row],[Incoming Unit Cost]]*Table13[[#This Row],[Incoming Qty]]</f>
        <v>0</v>
      </c>
      <c r="AC95" s="206">
        <f>SUMIF(Table326[Item],Table13[[#This Row],[Decription]],Table326[Quantity Issued])</f>
        <v>0</v>
      </c>
      <c r="AD95" s="206">
        <f>Table13[[#This Row],[Unit Cost]]*Table13[[#This Row],[April 2025 - Issued Qty ]]</f>
        <v>0</v>
      </c>
      <c r="AE95" s="219">
        <f>(Table13[[#This Row],[March 2025 - Balance Qty]]-Table13[[#This Row],[April 2025 - Issued Qty ]])+Table13[[#This Row],[Incoming Qty ]]</f>
        <v>0</v>
      </c>
      <c r="AF95" s="207">
        <f>Table13[[#This Row],[April 2025 - Balance Qty]]*Table13[[#This Row],[Unit Cost]]</f>
        <v>0</v>
      </c>
      <c r="AG95" s="207"/>
    </row>
    <row r="96" spans="1:33">
      <c r="A96" t="s">
        <v>77</v>
      </c>
      <c r="B96" t="s">
        <v>156</v>
      </c>
      <c r="C96" t="s">
        <v>160</v>
      </c>
      <c r="D96" t="s">
        <v>27</v>
      </c>
      <c r="E96" s="204">
        <v>3</v>
      </c>
      <c r="F96" s="204">
        <v>83</v>
      </c>
      <c r="G96" s="204">
        <f>Table13[[#This Row],[Unit Cost]]*Table13[[#This Row],[Quantity on Hand]]</f>
        <v>249</v>
      </c>
      <c r="H96" s="205">
        <f>SUMIF(Table3[Item],Table13[[#This Row],[Decription]],Table3[Quantity Issued])</f>
        <v>0</v>
      </c>
      <c r="I96" s="206">
        <f>Table13[[#This Row],[January 2025 - Issued Qty]]*Table13[[#This Row],[Unit Cost]]</f>
        <v>0</v>
      </c>
      <c r="J96" s="95">
        <f>Table13[[#This Row],[Quantity on Hand]]-Table13[[#This Row],[January 2025 - Issued Qty]]</f>
        <v>3</v>
      </c>
      <c r="K96" s="207">
        <f>Table13[[#This Row],[January 2025 - Balance Qty]]*Table13[[#This Row],[Unit Cost]]</f>
        <v>249</v>
      </c>
      <c r="L96" s="205">
        <v>0</v>
      </c>
      <c r="M96" s="206">
        <v>0</v>
      </c>
      <c r="N96" s="208">
        <f>Table13[[#This Row],[Incoming Unit Cost]]*Table13[[#This Row],[Incoming Qty]]</f>
        <v>0</v>
      </c>
      <c r="O96" s="206">
        <f>SUMIF(Table32[Item],Table13[[#This Row],[Decription]],Table32[Quantity Issued])</f>
        <v>0</v>
      </c>
      <c r="P96" s="206">
        <f>Table13[[#This Row],[Unit Cost]]*Table13[[#This Row],[February 2025 - Issued Qty]]</f>
        <v>0</v>
      </c>
      <c r="Q96" s="95">
        <f>(Table13[[#This Row],[January 2025 - Balance Qty]]-Table13[[#This Row],[February 2025 - Issued Qty]])+Table13[[#This Row],[Incoming Qty]]</f>
        <v>3</v>
      </c>
      <c r="R96" s="207">
        <f>Table13[[#This Row],[February 2025 - Balance Qty]]*Table13[[#This Row],[Unit Cost]]</f>
        <v>249</v>
      </c>
      <c r="S96" s="205">
        <v>0</v>
      </c>
      <c r="T96" s="206">
        <v>0</v>
      </c>
      <c r="U96" s="208">
        <f>Table13[[#This Row],[Incoming Unit Cost]]*Table13[[#This Row],[Incoming Qty]]</f>
        <v>0</v>
      </c>
      <c r="V96" s="206">
        <f>SUMIF(Table3267[Item],Table13[[#This Row],[Decription]],Table3267[Quantity Issued])</f>
        <v>3</v>
      </c>
      <c r="W96" s="206">
        <f>Table13[[#This Row],[Unit Cost]]*Table13[[#This Row],[March 2025 - Issued Qty]]</f>
        <v>249</v>
      </c>
      <c r="X96" s="219">
        <f>(Table13[[#This Row],[February 2025 - Balance Qty]]-Table13[[#This Row],[March 2025 - Issued Qty]])+Table13[[#This Row],[Incoming Qty]]</f>
        <v>0</v>
      </c>
      <c r="Y96" s="207">
        <f>Table13[[#This Row],[March 2025 - Balance Qty]]*Table13[[#This Row],[Unit Cost]]</f>
        <v>0</v>
      </c>
      <c r="Z96" s="205">
        <v>0</v>
      </c>
      <c r="AA96" s="206">
        <v>0</v>
      </c>
      <c r="AB96" s="208">
        <f>Table13[[#This Row],[Incoming Unit Cost]]*Table13[[#This Row],[Incoming Qty]]</f>
        <v>0</v>
      </c>
      <c r="AC96" s="206">
        <f>SUMIF(Table326[Item],Table13[[#This Row],[Decription]],Table326[Quantity Issued])</f>
        <v>0</v>
      </c>
      <c r="AD96" s="206">
        <f>Table13[[#This Row],[Unit Cost]]*Table13[[#This Row],[April 2025 - Issued Qty ]]</f>
        <v>0</v>
      </c>
      <c r="AE96" s="219">
        <f>(Table13[[#This Row],[March 2025 - Balance Qty]]-Table13[[#This Row],[April 2025 - Issued Qty ]])+Table13[[#This Row],[Incoming Qty ]]</f>
        <v>0</v>
      </c>
      <c r="AF96" s="207">
        <f>Table13[[#This Row],[April 2025 - Balance Qty]]*Table13[[#This Row],[Unit Cost]]</f>
        <v>0</v>
      </c>
      <c r="AG96" s="207"/>
    </row>
    <row r="97" spans="1:33">
      <c r="A97" t="s">
        <v>77</v>
      </c>
      <c r="B97" t="s">
        <v>156</v>
      </c>
      <c r="C97" t="s">
        <v>161</v>
      </c>
      <c r="D97" t="s">
        <v>27</v>
      </c>
      <c r="E97" s="204">
        <v>80</v>
      </c>
      <c r="F97" s="204">
        <v>80.540000000000006</v>
      </c>
      <c r="G97" s="204">
        <f>Table13[[#This Row],[Unit Cost]]*Table13[[#This Row],[Quantity on Hand]]</f>
        <v>6443.2000000000007</v>
      </c>
      <c r="H97" s="205">
        <f>SUMIF(Table3[Item],Table13[[#This Row],[Decription]],Table3[Quantity Issued])</f>
        <v>0</v>
      </c>
      <c r="I97" s="206">
        <f>Table13[[#This Row],[January 2025 - Issued Qty]]*Table13[[#This Row],[Unit Cost]]</f>
        <v>0</v>
      </c>
      <c r="J97" s="95">
        <f>Table13[[#This Row],[Quantity on Hand]]-Table13[[#This Row],[January 2025 - Issued Qty]]</f>
        <v>80</v>
      </c>
      <c r="K97" s="207">
        <f>Table13[[#This Row],[January 2025 - Balance Qty]]*Table13[[#This Row],[Unit Cost]]</f>
        <v>6443.2000000000007</v>
      </c>
      <c r="L97" s="205">
        <v>0</v>
      </c>
      <c r="M97" s="206">
        <v>0</v>
      </c>
      <c r="N97" s="208">
        <f>Table13[[#This Row],[Incoming Unit Cost]]*Table13[[#This Row],[Incoming Qty]]</f>
        <v>0</v>
      </c>
      <c r="O97" s="206">
        <f>SUMIF(Table32[Item],Table13[[#This Row],[Decription]],Table32[Quantity Issued])</f>
        <v>16</v>
      </c>
      <c r="P97" s="206">
        <f>Table13[[#This Row],[Unit Cost]]*Table13[[#This Row],[February 2025 - Issued Qty]]</f>
        <v>1288.6400000000001</v>
      </c>
      <c r="Q97" s="95">
        <f>(Table13[[#This Row],[January 2025 - Balance Qty]]-Table13[[#This Row],[February 2025 - Issued Qty]])+Table13[[#This Row],[Incoming Qty]]</f>
        <v>64</v>
      </c>
      <c r="R97" s="207">
        <f>Table13[[#This Row],[February 2025 - Balance Qty]]*Table13[[#This Row],[Unit Cost]]</f>
        <v>5154.5600000000004</v>
      </c>
      <c r="S97" s="205">
        <v>0</v>
      </c>
      <c r="T97" s="206">
        <v>0</v>
      </c>
      <c r="U97" s="208">
        <f>Table13[[#This Row],[Incoming Unit Cost]]*Table13[[#This Row],[Incoming Qty]]</f>
        <v>0</v>
      </c>
      <c r="V97" s="206">
        <f>SUMIF(Table3267[Item],Table13[[#This Row],[Decription]],Table3267[Quantity Issued])</f>
        <v>12</v>
      </c>
      <c r="W97" s="206">
        <f>Table13[[#This Row],[Unit Cost]]*Table13[[#This Row],[March 2025 - Issued Qty]]</f>
        <v>966.48</v>
      </c>
      <c r="X97" s="219">
        <f>(Table13[[#This Row],[February 2025 - Balance Qty]]-Table13[[#This Row],[March 2025 - Issued Qty]])+Table13[[#This Row],[Incoming Qty]]</f>
        <v>52</v>
      </c>
      <c r="Y97" s="207">
        <f>Table13[[#This Row],[March 2025 - Balance Qty]]*Table13[[#This Row],[Unit Cost]]</f>
        <v>4188.08</v>
      </c>
      <c r="Z97" s="205">
        <v>0</v>
      </c>
      <c r="AA97" s="206">
        <v>0</v>
      </c>
      <c r="AB97" s="208">
        <f>Table13[[#This Row],[Incoming Unit Cost]]*Table13[[#This Row],[Incoming Qty]]</f>
        <v>0</v>
      </c>
      <c r="AC97" s="206">
        <f>SUMIF(Table326[Item],Table13[[#This Row],[Decription]],Table326[Quantity Issued])</f>
        <v>5</v>
      </c>
      <c r="AD97" s="206">
        <f>Table13[[#This Row],[Unit Cost]]*Table13[[#This Row],[April 2025 - Issued Qty ]]</f>
        <v>402.70000000000005</v>
      </c>
      <c r="AE97" s="219">
        <f>(Table13[[#This Row],[March 2025 - Balance Qty]]-Table13[[#This Row],[April 2025 - Issued Qty ]])+Table13[[#This Row],[Incoming Qty ]]</f>
        <v>47</v>
      </c>
      <c r="AF97" s="207">
        <f>Table13[[#This Row],[April 2025 - Balance Qty]]*Table13[[#This Row],[Unit Cost]]</f>
        <v>3785.38</v>
      </c>
      <c r="AG97" s="207"/>
    </row>
    <row r="98" spans="1:33">
      <c r="A98" t="s">
        <v>77</v>
      </c>
      <c r="B98" t="s">
        <v>156</v>
      </c>
      <c r="C98" t="s">
        <v>66</v>
      </c>
      <c r="D98" t="s">
        <v>27</v>
      </c>
      <c r="E98" s="204">
        <v>6</v>
      </c>
      <c r="F98" s="204">
        <v>84</v>
      </c>
      <c r="G98" s="204">
        <f>Table13[[#This Row],[Unit Cost]]*Table13[[#This Row],[Quantity on Hand]]</f>
        <v>504</v>
      </c>
      <c r="H98" s="205">
        <f>SUMIF(Table3[Item],Table13[[#This Row],[Decription]],Table3[Quantity Issued])</f>
        <v>3</v>
      </c>
      <c r="I98" s="206">
        <f>Table13[[#This Row],[January 2025 - Issued Qty]]*Table13[[#This Row],[Unit Cost]]</f>
        <v>252</v>
      </c>
      <c r="J98" s="95">
        <f>Table13[[#This Row],[Quantity on Hand]]-Table13[[#This Row],[January 2025 - Issued Qty]]</f>
        <v>3</v>
      </c>
      <c r="K98" s="207">
        <f>Table13[[#This Row],[January 2025 - Balance Qty]]*Table13[[#This Row],[Unit Cost]]</f>
        <v>252</v>
      </c>
      <c r="L98" s="205">
        <v>0</v>
      </c>
      <c r="M98" s="206">
        <v>0</v>
      </c>
      <c r="N98" s="208">
        <f>Table13[[#This Row],[Incoming Unit Cost]]*Table13[[#This Row],[Incoming Qty]]</f>
        <v>0</v>
      </c>
      <c r="O98" s="206">
        <f>SUMIF(Table32[Item],Table13[[#This Row],[Decription]],Table32[Quantity Issued])</f>
        <v>0</v>
      </c>
      <c r="P98" s="206">
        <f>Table13[[#This Row],[Unit Cost]]*Table13[[#This Row],[February 2025 - Issued Qty]]</f>
        <v>0</v>
      </c>
      <c r="Q98" s="95">
        <f>(Table13[[#This Row],[January 2025 - Balance Qty]]-Table13[[#This Row],[February 2025 - Issued Qty]])+Table13[[#This Row],[Incoming Qty]]</f>
        <v>3</v>
      </c>
      <c r="R98" s="207">
        <f>Table13[[#This Row],[February 2025 - Balance Qty]]*Table13[[#This Row],[Unit Cost]]</f>
        <v>252</v>
      </c>
      <c r="S98" s="205">
        <v>0</v>
      </c>
      <c r="T98" s="206">
        <v>0</v>
      </c>
      <c r="U98" s="208">
        <f>Table13[[#This Row],[Incoming Unit Cost]]*Table13[[#This Row],[Incoming Qty]]</f>
        <v>0</v>
      </c>
      <c r="V98" s="206">
        <f>SUMIF(Table3267[Item],Table13[[#This Row],[Decription]],Table3267[Quantity Issued])</f>
        <v>3</v>
      </c>
      <c r="W98" s="206">
        <f>Table13[[#This Row],[Unit Cost]]*Table13[[#This Row],[March 2025 - Issued Qty]]</f>
        <v>252</v>
      </c>
      <c r="X98" s="219">
        <f>(Table13[[#This Row],[February 2025 - Balance Qty]]-Table13[[#This Row],[March 2025 - Issued Qty]])+Table13[[#This Row],[Incoming Qty]]</f>
        <v>0</v>
      </c>
      <c r="Y98" s="207">
        <f>Table13[[#This Row],[March 2025 - Balance Qty]]*Table13[[#This Row],[Unit Cost]]</f>
        <v>0</v>
      </c>
      <c r="Z98" s="205">
        <v>0</v>
      </c>
      <c r="AA98" s="206">
        <v>0</v>
      </c>
      <c r="AB98" s="208">
        <f>Table13[[#This Row],[Incoming Unit Cost]]*Table13[[#This Row],[Incoming Qty]]</f>
        <v>0</v>
      </c>
      <c r="AC98" s="206">
        <f>SUMIF(Table326[Item],Table13[[#This Row],[Decription]],Table326[Quantity Issued])</f>
        <v>0</v>
      </c>
      <c r="AD98" s="206">
        <f>Table13[[#This Row],[Unit Cost]]*Table13[[#This Row],[April 2025 - Issued Qty ]]</f>
        <v>0</v>
      </c>
      <c r="AE98" s="219">
        <f>(Table13[[#This Row],[March 2025 - Balance Qty]]-Table13[[#This Row],[April 2025 - Issued Qty ]])+Table13[[#This Row],[Incoming Qty ]]</f>
        <v>0</v>
      </c>
      <c r="AF98" s="207">
        <f>Table13[[#This Row],[April 2025 - Balance Qty]]*Table13[[#This Row],[Unit Cost]]</f>
        <v>0</v>
      </c>
      <c r="AG98" s="207"/>
    </row>
    <row r="99" spans="1:33">
      <c r="A99" t="s">
        <v>77</v>
      </c>
      <c r="B99" t="s">
        <v>156</v>
      </c>
      <c r="C99" t="s">
        <v>162</v>
      </c>
      <c r="D99" t="s">
        <v>27</v>
      </c>
      <c r="E99" s="204">
        <v>10</v>
      </c>
      <c r="F99" s="204">
        <v>80</v>
      </c>
      <c r="G99" s="204">
        <f>Table13[[#This Row],[Unit Cost]]*Table13[[#This Row],[Quantity on Hand]]</f>
        <v>800</v>
      </c>
      <c r="H99" s="205">
        <f>SUMIF(Table3[Item],Table13[[#This Row],[Decription]],Table3[Quantity Issued])</f>
        <v>0</v>
      </c>
      <c r="I99" s="206">
        <f>Table13[[#This Row],[January 2025 - Issued Qty]]*Table13[[#This Row],[Unit Cost]]</f>
        <v>0</v>
      </c>
      <c r="J99" s="95">
        <f>Table13[[#This Row],[Quantity on Hand]]-Table13[[#This Row],[January 2025 - Issued Qty]]</f>
        <v>10</v>
      </c>
      <c r="K99" s="207">
        <f>Table13[[#This Row],[January 2025 - Balance Qty]]*Table13[[#This Row],[Unit Cost]]</f>
        <v>800</v>
      </c>
      <c r="L99" s="205">
        <v>0</v>
      </c>
      <c r="M99" s="206">
        <v>0</v>
      </c>
      <c r="N99" s="208">
        <f>Table13[[#This Row],[Incoming Unit Cost]]*Table13[[#This Row],[Incoming Qty]]</f>
        <v>0</v>
      </c>
      <c r="O99" s="206">
        <f>SUMIF(Table32[Item],Table13[[#This Row],[Decription]],Table32[Quantity Issued])</f>
        <v>0</v>
      </c>
      <c r="P99" s="206">
        <f>Table13[[#This Row],[Unit Cost]]*Table13[[#This Row],[February 2025 - Issued Qty]]</f>
        <v>0</v>
      </c>
      <c r="Q99" s="95">
        <f>(Table13[[#This Row],[January 2025 - Balance Qty]]-Table13[[#This Row],[February 2025 - Issued Qty]])+Table13[[#This Row],[Incoming Qty]]</f>
        <v>10</v>
      </c>
      <c r="R99" s="207">
        <f>Table13[[#This Row],[February 2025 - Balance Qty]]*Table13[[#This Row],[Unit Cost]]</f>
        <v>800</v>
      </c>
      <c r="S99" s="205">
        <v>0</v>
      </c>
      <c r="T99" s="206">
        <v>0</v>
      </c>
      <c r="U99" s="208">
        <f>Table13[[#This Row],[Incoming Unit Cost]]*Table13[[#This Row],[Incoming Qty]]</f>
        <v>0</v>
      </c>
      <c r="V99" s="206">
        <f>SUMIF(Table3267[Item],Table13[[#This Row],[Decription]],Table3267[Quantity Issued])</f>
        <v>0</v>
      </c>
      <c r="W99" s="206">
        <f>Table13[[#This Row],[Unit Cost]]*Table13[[#This Row],[March 2025 - Issued Qty]]</f>
        <v>0</v>
      </c>
      <c r="X99" s="219">
        <f>(Table13[[#This Row],[February 2025 - Balance Qty]]-Table13[[#This Row],[March 2025 - Issued Qty]])+Table13[[#This Row],[Incoming Qty]]</f>
        <v>10</v>
      </c>
      <c r="Y99" s="207">
        <f>Table13[[#This Row],[March 2025 - Balance Qty]]*Table13[[#This Row],[Unit Cost]]</f>
        <v>800</v>
      </c>
      <c r="Z99" s="205">
        <v>0</v>
      </c>
      <c r="AA99" s="206">
        <v>0</v>
      </c>
      <c r="AB99" s="208">
        <f>Table13[[#This Row],[Incoming Unit Cost]]*Table13[[#This Row],[Incoming Qty]]</f>
        <v>0</v>
      </c>
      <c r="AC99" s="206">
        <f>SUMIF(Table326[Item],Table13[[#This Row],[Decription]],Table326[Quantity Issued])</f>
        <v>0</v>
      </c>
      <c r="AD99" s="206">
        <f>Table13[[#This Row],[Unit Cost]]*Table13[[#This Row],[April 2025 - Issued Qty ]]</f>
        <v>0</v>
      </c>
      <c r="AE99" s="219">
        <f>(Table13[[#This Row],[March 2025 - Balance Qty]]-Table13[[#This Row],[April 2025 - Issued Qty ]])+Table13[[#This Row],[Incoming Qty ]]</f>
        <v>10</v>
      </c>
      <c r="AF99" s="207">
        <f>Table13[[#This Row],[April 2025 - Balance Qty]]*Table13[[#This Row],[Unit Cost]]</f>
        <v>800</v>
      </c>
      <c r="AG99" s="207"/>
    </row>
    <row r="100" spans="1:33">
      <c r="A100" t="s">
        <v>78</v>
      </c>
      <c r="B100" t="s">
        <v>163</v>
      </c>
      <c r="C100" t="s">
        <v>164</v>
      </c>
      <c r="D100" t="s">
        <v>165</v>
      </c>
      <c r="E100" s="204">
        <v>12</v>
      </c>
      <c r="F100" s="204">
        <v>289.68</v>
      </c>
      <c r="G100" s="204">
        <f>Table13[[#This Row],[Unit Cost]]*Table13[[#This Row],[Quantity on Hand]]</f>
        <v>3476.16</v>
      </c>
      <c r="H100" s="205">
        <f>SUMIF(Table3[Item],Table13[[#This Row],[Decription]],Table3[Quantity Issued])</f>
        <v>0</v>
      </c>
      <c r="I100" s="206">
        <f>Table13[[#This Row],[January 2025 - Issued Qty]]*Table13[[#This Row],[Unit Cost]]</f>
        <v>0</v>
      </c>
      <c r="J100" s="95">
        <f>Table13[[#This Row],[Quantity on Hand]]-Table13[[#This Row],[January 2025 - Issued Qty]]</f>
        <v>12</v>
      </c>
      <c r="K100" s="207">
        <f>Table13[[#This Row],[January 2025 - Balance Qty]]*Table13[[#This Row],[Unit Cost]]</f>
        <v>3476.16</v>
      </c>
      <c r="L100" s="205">
        <v>0</v>
      </c>
      <c r="M100" s="206">
        <v>0</v>
      </c>
      <c r="N100" s="208">
        <f>Table13[[#This Row],[Incoming Unit Cost]]*Table13[[#This Row],[Incoming Qty]]</f>
        <v>0</v>
      </c>
      <c r="O100" s="206">
        <f>SUMIF(Table32[Item],Table13[[#This Row],[Decription]],Table32[Quantity Issued])</f>
        <v>7</v>
      </c>
      <c r="P100" s="206">
        <f>Table13[[#This Row],[Unit Cost]]*Table13[[#This Row],[February 2025 - Issued Qty]]</f>
        <v>2027.76</v>
      </c>
      <c r="Q100" s="95">
        <f>(Table13[[#This Row],[January 2025 - Balance Qty]]-Table13[[#This Row],[February 2025 - Issued Qty]])+Table13[[#This Row],[Incoming Qty]]</f>
        <v>5</v>
      </c>
      <c r="R100" s="207">
        <f>Table13[[#This Row],[February 2025 - Balance Qty]]*Table13[[#This Row],[Unit Cost]]</f>
        <v>1448.4</v>
      </c>
      <c r="S100" s="205">
        <v>0</v>
      </c>
      <c r="T100" s="206">
        <v>0</v>
      </c>
      <c r="U100" s="208">
        <f>Table13[[#This Row],[Incoming Unit Cost]]*Table13[[#This Row],[Incoming Qty]]</f>
        <v>0</v>
      </c>
      <c r="V100" s="206">
        <f>SUMIF(Table3267[Item],Table13[[#This Row],[Decription]],Table3267[Quantity Issued])</f>
        <v>5</v>
      </c>
      <c r="W100" s="206">
        <f>Table13[[#This Row],[Unit Cost]]*Table13[[#This Row],[March 2025 - Issued Qty]]</f>
        <v>1448.4</v>
      </c>
      <c r="X100" s="219">
        <f>(Table13[[#This Row],[February 2025 - Balance Qty]]-Table13[[#This Row],[March 2025 - Issued Qty]])+Table13[[#This Row],[Incoming Qty]]</f>
        <v>0</v>
      </c>
      <c r="Y100" s="207">
        <f>Table13[[#This Row],[March 2025 - Balance Qty]]*Table13[[#This Row],[Unit Cost]]</f>
        <v>0</v>
      </c>
      <c r="Z100" s="205">
        <v>0</v>
      </c>
      <c r="AA100" s="206">
        <v>0</v>
      </c>
      <c r="AB100" s="208">
        <f>Table13[[#This Row],[Incoming Unit Cost]]*Table13[[#This Row],[Incoming Qty]]</f>
        <v>0</v>
      </c>
      <c r="AC100" s="206">
        <f>SUMIF(Table326[Item],Table13[[#This Row],[Decription]],Table326[Quantity Issued])</f>
        <v>0</v>
      </c>
      <c r="AD100" s="206">
        <f>Table13[[#This Row],[Unit Cost]]*Table13[[#This Row],[April 2025 - Issued Qty ]]</f>
        <v>0</v>
      </c>
      <c r="AE100" s="219">
        <f>(Table13[[#This Row],[March 2025 - Balance Qty]]-Table13[[#This Row],[April 2025 - Issued Qty ]])+Table13[[#This Row],[Incoming Qty ]]</f>
        <v>0</v>
      </c>
      <c r="AF100" s="207">
        <f>Table13[[#This Row],[April 2025 - Balance Qty]]*Table13[[#This Row],[Unit Cost]]</f>
        <v>0</v>
      </c>
      <c r="AG100" s="207"/>
    </row>
    <row r="101" spans="1:33">
      <c r="A101" t="s">
        <v>78</v>
      </c>
      <c r="B101" t="s">
        <v>163</v>
      </c>
      <c r="C101" t="s">
        <v>75</v>
      </c>
      <c r="D101" t="s">
        <v>27</v>
      </c>
      <c r="E101" s="204">
        <v>41</v>
      </c>
      <c r="F101" s="204">
        <v>90.07</v>
      </c>
      <c r="G101" s="204">
        <f>Table13[[#This Row],[Unit Cost]]*Table13[[#This Row],[Quantity on Hand]]</f>
        <v>3692.87</v>
      </c>
      <c r="H101" s="205">
        <f>SUMIF(Table3[Item],Table13[[#This Row],[Decription]],Table3[Quantity Issued])</f>
        <v>15</v>
      </c>
      <c r="I101" s="206">
        <f>Table13[[#This Row],[January 2025 - Issued Qty]]*Table13[[#This Row],[Unit Cost]]</f>
        <v>1351.05</v>
      </c>
      <c r="J101" s="95">
        <f>Table13[[#This Row],[Quantity on Hand]]-Table13[[#This Row],[January 2025 - Issued Qty]]</f>
        <v>26</v>
      </c>
      <c r="K101" s="207">
        <f>Table13[[#This Row],[January 2025 - Balance Qty]]*Table13[[#This Row],[Unit Cost]]</f>
        <v>2341.8199999999997</v>
      </c>
      <c r="L101" s="205">
        <v>0</v>
      </c>
      <c r="M101" s="206">
        <v>0</v>
      </c>
      <c r="N101" s="208">
        <f>Table13[[#This Row],[Incoming Unit Cost]]*Table13[[#This Row],[Incoming Qty]]</f>
        <v>0</v>
      </c>
      <c r="O101" s="206">
        <f>SUMIF(Table32[Item],Table13[[#This Row],[Decription]],Table32[Quantity Issued])</f>
        <v>12</v>
      </c>
      <c r="P101" s="206">
        <f>Table13[[#This Row],[Unit Cost]]*Table13[[#This Row],[February 2025 - Issued Qty]]</f>
        <v>1080.8399999999999</v>
      </c>
      <c r="Q101" s="95">
        <f>(Table13[[#This Row],[January 2025 - Balance Qty]]-Table13[[#This Row],[February 2025 - Issued Qty]])+Table13[[#This Row],[Incoming Qty]]</f>
        <v>14</v>
      </c>
      <c r="R101" s="207">
        <f>Table13[[#This Row],[February 2025 - Balance Qty]]*Table13[[#This Row],[Unit Cost]]</f>
        <v>1260.98</v>
      </c>
      <c r="S101" s="205">
        <v>0</v>
      </c>
      <c r="T101" s="206">
        <v>0</v>
      </c>
      <c r="U101" s="208">
        <f>Table13[[#This Row],[Incoming Unit Cost]]*Table13[[#This Row],[Incoming Qty]]</f>
        <v>0</v>
      </c>
      <c r="V101" s="206">
        <f>SUMIF(Table3267[Item],Table13[[#This Row],[Decription]],Table3267[Quantity Issued])</f>
        <v>5</v>
      </c>
      <c r="W101" s="206">
        <f>Table13[[#This Row],[Unit Cost]]*Table13[[#This Row],[March 2025 - Issued Qty]]</f>
        <v>450.34999999999997</v>
      </c>
      <c r="X101" s="219">
        <f>(Table13[[#This Row],[February 2025 - Balance Qty]]-Table13[[#This Row],[March 2025 - Issued Qty]])+Table13[[#This Row],[Incoming Qty]]</f>
        <v>9</v>
      </c>
      <c r="Y101" s="207">
        <f>Table13[[#This Row],[March 2025 - Balance Qty]]*Table13[[#This Row],[Unit Cost]]</f>
        <v>810.62999999999988</v>
      </c>
      <c r="Z101" s="205">
        <v>0</v>
      </c>
      <c r="AA101" s="206">
        <v>0</v>
      </c>
      <c r="AB101" s="208">
        <f>Table13[[#This Row],[Incoming Unit Cost]]*Table13[[#This Row],[Incoming Qty]]</f>
        <v>0</v>
      </c>
      <c r="AC101" s="206">
        <f>SUMIF(Table326[Item],Table13[[#This Row],[Decription]],Table326[Quantity Issued])</f>
        <v>2</v>
      </c>
      <c r="AD101" s="206">
        <f>Table13[[#This Row],[Unit Cost]]*Table13[[#This Row],[April 2025 - Issued Qty ]]</f>
        <v>180.14</v>
      </c>
      <c r="AE101" s="219">
        <f>(Table13[[#This Row],[March 2025 - Balance Qty]]-Table13[[#This Row],[April 2025 - Issued Qty ]])+Table13[[#This Row],[Incoming Qty ]]</f>
        <v>7</v>
      </c>
      <c r="AF101" s="207">
        <f>Table13[[#This Row],[April 2025 - Balance Qty]]*Table13[[#This Row],[Unit Cost]]</f>
        <v>630.49</v>
      </c>
      <c r="AG101" s="207"/>
    </row>
    <row r="102" spans="1:33">
      <c r="A102" t="s">
        <v>78</v>
      </c>
      <c r="B102" t="s">
        <v>163</v>
      </c>
      <c r="C102" t="s">
        <v>71</v>
      </c>
      <c r="D102" t="s">
        <v>32</v>
      </c>
      <c r="E102" s="204">
        <v>144</v>
      </c>
      <c r="F102" s="204">
        <v>28.75</v>
      </c>
      <c r="G102" s="204">
        <f>Table13[[#This Row],[Unit Cost]]*Table13[[#This Row],[Quantity on Hand]]</f>
        <v>4140</v>
      </c>
      <c r="H102" s="205">
        <f>SUMIF(Table3[Item],Table13[[#This Row],[Decription]],Table3[Quantity Issued])</f>
        <v>10</v>
      </c>
      <c r="I102" s="206">
        <f>Table13[[#This Row],[January 2025 - Issued Qty]]*Table13[[#This Row],[Unit Cost]]</f>
        <v>287.5</v>
      </c>
      <c r="J102" s="95">
        <f>Table13[[#This Row],[Quantity on Hand]]-Table13[[#This Row],[January 2025 - Issued Qty]]</f>
        <v>134</v>
      </c>
      <c r="K102" s="207">
        <f>Table13[[#This Row],[January 2025 - Balance Qty]]*Table13[[#This Row],[Unit Cost]]</f>
        <v>3852.5</v>
      </c>
      <c r="L102" s="205">
        <v>0</v>
      </c>
      <c r="M102" s="206">
        <v>0</v>
      </c>
      <c r="N102" s="208">
        <f>Table13[[#This Row],[Incoming Unit Cost]]*Table13[[#This Row],[Incoming Qty]]</f>
        <v>0</v>
      </c>
      <c r="O102" s="206">
        <f>SUMIF(Table32[Item],Table13[[#This Row],[Decription]],Table32[Quantity Issued])</f>
        <v>39</v>
      </c>
      <c r="P102" s="206">
        <f>Table13[[#This Row],[Unit Cost]]*Table13[[#This Row],[February 2025 - Issued Qty]]</f>
        <v>1121.25</v>
      </c>
      <c r="Q102" s="95">
        <f>(Table13[[#This Row],[January 2025 - Balance Qty]]-Table13[[#This Row],[February 2025 - Issued Qty]])+Table13[[#This Row],[Incoming Qty]]</f>
        <v>95</v>
      </c>
      <c r="R102" s="207">
        <f>Table13[[#This Row],[February 2025 - Balance Qty]]*Table13[[#This Row],[Unit Cost]]</f>
        <v>2731.25</v>
      </c>
      <c r="S102" s="205">
        <v>0</v>
      </c>
      <c r="T102" s="206">
        <v>0</v>
      </c>
      <c r="U102" s="208">
        <f>Table13[[#This Row],[Incoming Unit Cost]]*Table13[[#This Row],[Incoming Qty]]</f>
        <v>0</v>
      </c>
      <c r="V102" s="206">
        <f>SUMIF(Table3267[Item],Table13[[#This Row],[Decription]],Table3267[Quantity Issued])</f>
        <v>65</v>
      </c>
      <c r="W102" s="206">
        <f>Table13[[#This Row],[Unit Cost]]*Table13[[#This Row],[March 2025 - Issued Qty]]</f>
        <v>1868.75</v>
      </c>
      <c r="X102" s="219">
        <f>(Table13[[#This Row],[February 2025 - Balance Qty]]-Table13[[#This Row],[March 2025 - Issued Qty]])+Table13[[#This Row],[Incoming Qty]]</f>
        <v>30</v>
      </c>
      <c r="Y102" s="207">
        <f>Table13[[#This Row],[March 2025 - Balance Qty]]*Table13[[#This Row],[Unit Cost]]</f>
        <v>862.5</v>
      </c>
      <c r="Z102" s="205">
        <v>0</v>
      </c>
      <c r="AA102" s="206">
        <v>0</v>
      </c>
      <c r="AB102" s="208">
        <f>Table13[[#This Row],[Incoming Unit Cost]]*Table13[[#This Row],[Incoming Qty]]</f>
        <v>0</v>
      </c>
      <c r="AC102" s="206">
        <f>SUMIF(Table326[Item],Table13[[#This Row],[Decription]],Table326[Quantity Issued])</f>
        <v>12</v>
      </c>
      <c r="AD102" s="206">
        <f>Table13[[#This Row],[Unit Cost]]*Table13[[#This Row],[April 2025 - Issued Qty ]]</f>
        <v>345</v>
      </c>
      <c r="AE102" s="219">
        <f>(Table13[[#This Row],[March 2025 - Balance Qty]]-Table13[[#This Row],[April 2025 - Issued Qty ]])+Table13[[#This Row],[Incoming Qty ]]</f>
        <v>18</v>
      </c>
      <c r="AF102" s="207">
        <f>Table13[[#This Row],[April 2025 - Balance Qty]]*Table13[[#This Row],[Unit Cost]]</f>
        <v>517.5</v>
      </c>
      <c r="AG102" s="207"/>
    </row>
    <row r="103" spans="1:33">
      <c r="A103" t="s">
        <v>78</v>
      </c>
      <c r="B103" t="s">
        <v>163</v>
      </c>
      <c r="C103" t="s">
        <v>166</v>
      </c>
      <c r="D103" t="s">
        <v>165</v>
      </c>
      <c r="E103" s="204">
        <v>16</v>
      </c>
      <c r="F103" s="204">
        <v>572.76</v>
      </c>
      <c r="G103" s="204">
        <f>Table13[[#This Row],[Unit Cost]]*Table13[[#This Row],[Quantity on Hand]]</f>
        <v>9164.16</v>
      </c>
      <c r="H103" s="205">
        <f>SUMIF(Table3[Item],Table13[[#This Row],[Decription]],Table3[Quantity Issued])</f>
        <v>0</v>
      </c>
      <c r="I103" s="206">
        <f>Table13[[#This Row],[January 2025 - Issued Qty]]*Table13[[#This Row],[Unit Cost]]</f>
        <v>0</v>
      </c>
      <c r="J103" s="95">
        <f>Table13[[#This Row],[Quantity on Hand]]-Table13[[#This Row],[January 2025 - Issued Qty]]</f>
        <v>16</v>
      </c>
      <c r="K103" s="207">
        <f>Table13[[#This Row],[January 2025 - Balance Qty]]*Table13[[#This Row],[Unit Cost]]</f>
        <v>9164.16</v>
      </c>
      <c r="L103" s="205">
        <v>0</v>
      </c>
      <c r="M103" s="206">
        <v>0</v>
      </c>
      <c r="N103" s="208">
        <f>Table13[[#This Row],[Incoming Unit Cost]]*Table13[[#This Row],[Incoming Qty]]</f>
        <v>0</v>
      </c>
      <c r="O103" s="206">
        <f>SUMIF(Table32[Item],Table13[[#This Row],[Decription]],Table32[Quantity Issued])</f>
        <v>8</v>
      </c>
      <c r="P103" s="206">
        <f>Table13[[#This Row],[Unit Cost]]*Table13[[#This Row],[February 2025 - Issued Qty]]</f>
        <v>4582.08</v>
      </c>
      <c r="Q103" s="95">
        <f>(Table13[[#This Row],[January 2025 - Balance Qty]]-Table13[[#This Row],[February 2025 - Issued Qty]])+Table13[[#This Row],[Incoming Qty]]</f>
        <v>8</v>
      </c>
      <c r="R103" s="207">
        <f>Table13[[#This Row],[February 2025 - Balance Qty]]*Table13[[#This Row],[Unit Cost]]</f>
        <v>4582.08</v>
      </c>
      <c r="S103" s="205">
        <v>0</v>
      </c>
      <c r="T103" s="206">
        <v>0</v>
      </c>
      <c r="U103" s="208">
        <f>Table13[[#This Row],[Incoming Unit Cost]]*Table13[[#This Row],[Incoming Qty]]</f>
        <v>0</v>
      </c>
      <c r="V103" s="206">
        <f>SUMIF(Table3267[Item],Table13[[#This Row],[Decription]],Table3267[Quantity Issued])</f>
        <v>5</v>
      </c>
      <c r="W103" s="206">
        <f>Table13[[#This Row],[Unit Cost]]*Table13[[#This Row],[March 2025 - Issued Qty]]</f>
        <v>2863.8</v>
      </c>
      <c r="X103" s="219">
        <f>(Table13[[#This Row],[February 2025 - Balance Qty]]-Table13[[#This Row],[March 2025 - Issued Qty]])+Table13[[#This Row],[Incoming Qty]]</f>
        <v>3</v>
      </c>
      <c r="Y103" s="207">
        <f>Table13[[#This Row],[March 2025 - Balance Qty]]*Table13[[#This Row],[Unit Cost]]</f>
        <v>1718.28</v>
      </c>
      <c r="Z103" s="205">
        <v>0</v>
      </c>
      <c r="AA103" s="206">
        <v>0</v>
      </c>
      <c r="AB103" s="208">
        <f>Table13[[#This Row],[Incoming Unit Cost]]*Table13[[#This Row],[Incoming Qty]]</f>
        <v>0</v>
      </c>
      <c r="AC103" s="206">
        <f>SUMIF(Table326[Item],Table13[[#This Row],[Decription]],Table326[Quantity Issued])</f>
        <v>1</v>
      </c>
      <c r="AD103" s="206">
        <f>Table13[[#This Row],[Unit Cost]]*Table13[[#This Row],[April 2025 - Issued Qty ]]</f>
        <v>572.76</v>
      </c>
      <c r="AE103" s="219">
        <f>(Table13[[#This Row],[March 2025 - Balance Qty]]-Table13[[#This Row],[April 2025 - Issued Qty ]])+Table13[[#This Row],[Incoming Qty ]]</f>
        <v>2</v>
      </c>
      <c r="AF103" s="207">
        <f>Table13[[#This Row],[April 2025 - Balance Qty]]*Table13[[#This Row],[Unit Cost]]</f>
        <v>1145.52</v>
      </c>
      <c r="AG103" s="207"/>
    </row>
    <row r="104" spans="1:33">
      <c r="A104" t="s">
        <v>78</v>
      </c>
      <c r="B104" t="s">
        <v>163</v>
      </c>
      <c r="C104" t="s">
        <v>167</v>
      </c>
      <c r="D104" t="s">
        <v>27</v>
      </c>
      <c r="E104" s="204">
        <v>1</v>
      </c>
      <c r="F104" s="204">
        <v>230</v>
      </c>
      <c r="G104" s="204">
        <f>Table13[[#This Row],[Unit Cost]]*Table13[[#This Row],[Quantity on Hand]]</f>
        <v>230</v>
      </c>
      <c r="H104" s="205">
        <f>SUMIF(Table3[Item],Table13[[#This Row],[Decription]],Table3[Quantity Issued])</f>
        <v>1</v>
      </c>
      <c r="I104" s="206">
        <f>Table13[[#This Row],[January 2025 - Issued Qty]]*Table13[[#This Row],[Unit Cost]]</f>
        <v>230</v>
      </c>
      <c r="J104" s="95">
        <f>Table13[[#This Row],[Quantity on Hand]]-Table13[[#This Row],[January 2025 - Issued Qty]]</f>
        <v>0</v>
      </c>
      <c r="K104" s="207">
        <f>Table13[[#This Row],[January 2025 - Balance Qty]]*Table13[[#This Row],[Unit Cost]]</f>
        <v>0</v>
      </c>
      <c r="L104" s="205">
        <v>0</v>
      </c>
      <c r="M104" s="206">
        <v>0</v>
      </c>
      <c r="N104" s="208">
        <f>Table13[[#This Row],[Incoming Unit Cost]]*Table13[[#This Row],[Incoming Qty]]</f>
        <v>0</v>
      </c>
      <c r="O104" s="206">
        <f>SUMIF(Table32[Item],Table13[[#This Row],[Decription]],Table32[Quantity Issued])</f>
        <v>0</v>
      </c>
      <c r="P104" s="206">
        <f>Table13[[#This Row],[Unit Cost]]*Table13[[#This Row],[February 2025 - Issued Qty]]</f>
        <v>0</v>
      </c>
      <c r="Q104" s="95">
        <f>(Table13[[#This Row],[January 2025 - Balance Qty]]-Table13[[#This Row],[February 2025 - Issued Qty]])+Table13[[#This Row],[Incoming Qty]]</f>
        <v>0</v>
      </c>
      <c r="R104" s="207">
        <f>Table13[[#This Row],[February 2025 - Balance Qty]]*Table13[[#This Row],[Unit Cost]]</f>
        <v>0</v>
      </c>
      <c r="S104" s="205">
        <v>0</v>
      </c>
      <c r="T104" s="206">
        <v>0</v>
      </c>
      <c r="U104" s="208">
        <f>Table13[[#This Row],[Incoming Unit Cost]]*Table13[[#This Row],[Incoming Qty]]</f>
        <v>0</v>
      </c>
      <c r="V104" s="206">
        <f>SUMIF(Table3267[Item],Table13[[#This Row],[Decription]],Table3267[Quantity Issued])</f>
        <v>0</v>
      </c>
      <c r="W104" s="206">
        <f>Table13[[#This Row],[Unit Cost]]*Table13[[#This Row],[March 2025 - Issued Qty]]</f>
        <v>0</v>
      </c>
      <c r="X104" s="219">
        <f>(Table13[[#This Row],[February 2025 - Balance Qty]]-Table13[[#This Row],[March 2025 - Issued Qty]])+Table13[[#This Row],[Incoming Qty]]</f>
        <v>0</v>
      </c>
      <c r="Y104" s="207">
        <f>Table13[[#This Row],[March 2025 - Balance Qty]]*Table13[[#This Row],[Unit Cost]]</f>
        <v>0</v>
      </c>
      <c r="Z104" s="205">
        <v>0</v>
      </c>
      <c r="AA104" s="206">
        <v>0</v>
      </c>
      <c r="AB104" s="208">
        <f>Table13[[#This Row],[Incoming Unit Cost]]*Table13[[#This Row],[Incoming Qty]]</f>
        <v>0</v>
      </c>
      <c r="AC104" s="206">
        <f>SUMIF(Table326[Item],Table13[[#This Row],[Decription]],Table326[Quantity Issued])</f>
        <v>0</v>
      </c>
      <c r="AD104" s="206">
        <f>Table13[[#This Row],[Unit Cost]]*Table13[[#This Row],[April 2025 - Issued Qty ]]</f>
        <v>0</v>
      </c>
      <c r="AE104" s="219">
        <f>(Table13[[#This Row],[March 2025 - Balance Qty]]-Table13[[#This Row],[April 2025 - Issued Qty ]])+Table13[[#This Row],[Incoming Qty ]]</f>
        <v>0</v>
      </c>
      <c r="AF104" s="207">
        <f>Table13[[#This Row],[April 2025 - Balance Qty]]*Table13[[#This Row],[Unit Cost]]</f>
        <v>0</v>
      </c>
      <c r="AG104" s="207"/>
    </row>
    <row r="105" spans="1:33">
      <c r="A105" t="s">
        <v>2</v>
      </c>
      <c r="B105" t="s">
        <v>163</v>
      </c>
      <c r="C105" t="s">
        <v>168</v>
      </c>
      <c r="D105" t="s">
        <v>27</v>
      </c>
      <c r="E105" s="204">
        <v>4</v>
      </c>
      <c r="F105" s="204">
        <v>32</v>
      </c>
      <c r="G105" s="204">
        <f>Table13[[#This Row],[Unit Cost]]*Table13[[#This Row],[Quantity on Hand]]</f>
        <v>128</v>
      </c>
      <c r="H105" s="205">
        <f>SUMIF(Table3[Item],Table13[[#This Row],[Decription]],Table3[Quantity Issued])</f>
        <v>0</v>
      </c>
      <c r="I105" s="206">
        <f>Table13[[#This Row],[January 2025 - Issued Qty]]*Table13[[#This Row],[Unit Cost]]</f>
        <v>0</v>
      </c>
      <c r="J105" s="95">
        <f>Table13[[#This Row],[Quantity on Hand]]-Table13[[#This Row],[January 2025 - Issued Qty]]</f>
        <v>4</v>
      </c>
      <c r="K105" s="207">
        <f>Table13[[#This Row],[January 2025 - Balance Qty]]*Table13[[#This Row],[Unit Cost]]</f>
        <v>128</v>
      </c>
      <c r="L105" s="205">
        <v>0</v>
      </c>
      <c r="M105" s="206">
        <v>0</v>
      </c>
      <c r="N105" s="208">
        <f>Table13[[#This Row],[Incoming Unit Cost]]*Table13[[#This Row],[Incoming Qty]]</f>
        <v>0</v>
      </c>
      <c r="O105" s="206">
        <f>SUMIF(Table32[Item],Table13[[#This Row],[Decription]],Table32[Quantity Issued])</f>
        <v>0</v>
      </c>
      <c r="P105" s="206">
        <f>Table13[[#This Row],[Unit Cost]]*Table13[[#This Row],[February 2025 - Issued Qty]]</f>
        <v>0</v>
      </c>
      <c r="Q105" s="95">
        <f>(Table13[[#This Row],[January 2025 - Balance Qty]]-Table13[[#This Row],[February 2025 - Issued Qty]])+Table13[[#This Row],[Incoming Qty]]</f>
        <v>4</v>
      </c>
      <c r="R105" s="207">
        <f>Table13[[#This Row],[February 2025 - Balance Qty]]*Table13[[#This Row],[Unit Cost]]</f>
        <v>128</v>
      </c>
      <c r="S105" s="205">
        <v>0</v>
      </c>
      <c r="T105" s="206">
        <v>0</v>
      </c>
      <c r="U105" s="208">
        <f>Table13[[#This Row],[Incoming Unit Cost]]*Table13[[#This Row],[Incoming Qty]]</f>
        <v>0</v>
      </c>
      <c r="V105" s="206">
        <f>SUMIF(Table3267[Item],Table13[[#This Row],[Decription]],Table3267[Quantity Issued])</f>
        <v>0</v>
      </c>
      <c r="W105" s="206">
        <f>Table13[[#This Row],[Unit Cost]]*Table13[[#This Row],[March 2025 - Issued Qty]]</f>
        <v>0</v>
      </c>
      <c r="X105" s="219">
        <f>(Table13[[#This Row],[February 2025 - Balance Qty]]-Table13[[#This Row],[March 2025 - Issued Qty]])+Table13[[#This Row],[Incoming Qty]]</f>
        <v>4</v>
      </c>
      <c r="Y105" s="207">
        <f>Table13[[#This Row],[March 2025 - Balance Qty]]*Table13[[#This Row],[Unit Cost]]</f>
        <v>128</v>
      </c>
      <c r="Z105" s="205">
        <v>0</v>
      </c>
      <c r="AA105" s="206">
        <v>0</v>
      </c>
      <c r="AB105" s="208">
        <f>Table13[[#This Row],[Incoming Unit Cost]]*Table13[[#This Row],[Incoming Qty]]</f>
        <v>0</v>
      </c>
      <c r="AC105" s="206">
        <f>SUMIF(Table326[Item],Table13[[#This Row],[Decription]],Table326[Quantity Issued])</f>
        <v>3</v>
      </c>
      <c r="AD105" s="206">
        <f>Table13[[#This Row],[Unit Cost]]*Table13[[#This Row],[April 2025 - Issued Qty ]]</f>
        <v>96</v>
      </c>
      <c r="AE105" s="219">
        <f>(Table13[[#This Row],[March 2025 - Balance Qty]]-Table13[[#This Row],[April 2025 - Issued Qty ]])+Table13[[#This Row],[Incoming Qty ]]</f>
        <v>1</v>
      </c>
      <c r="AF105" s="207">
        <f>Table13[[#This Row],[April 2025 - Balance Qty]]*Table13[[#This Row],[Unit Cost]]</f>
        <v>32</v>
      </c>
      <c r="AG105" s="207"/>
    </row>
    <row r="106" spans="1:33">
      <c r="A106" t="s">
        <v>78</v>
      </c>
      <c r="B106" t="s">
        <v>163</v>
      </c>
      <c r="C106" t="s">
        <v>169</v>
      </c>
      <c r="D106" t="s">
        <v>27</v>
      </c>
      <c r="E106" s="204">
        <v>5</v>
      </c>
      <c r="F106" s="204">
        <v>75</v>
      </c>
      <c r="G106" s="204">
        <f>Table13[[#This Row],[Unit Cost]]*Table13[[#This Row],[Quantity on Hand]]</f>
        <v>375</v>
      </c>
      <c r="H106" s="205">
        <f>SUMIF(Table3[Item],Table13[[#This Row],[Decription]],Table3[Quantity Issued])</f>
        <v>0</v>
      </c>
      <c r="I106" s="206">
        <f>Table13[[#This Row],[January 2025 - Issued Qty]]*Table13[[#This Row],[Unit Cost]]</f>
        <v>0</v>
      </c>
      <c r="J106" s="95">
        <f>Table13[[#This Row],[Quantity on Hand]]-Table13[[#This Row],[January 2025 - Issued Qty]]</f>
        <v>5</v>
      </c>
      <c r="K106" s="207">
        <f>Table13[[#This Row],[January 2025 - Balance Qty]]*Table13[[#This Row],[Unit Cost]]</f>
        <v>375</v>
      </c>
      <c r="L106" s="205">
        <v>0</v>
      </c>
      <c r="M106" s="206">
        <v>0</v>
      </c>
      <c r="N106" s="208">
        <f>Table13[[#This Row],[Incoming Unit Cost]]*Table13[[#This Row],[Incoming Qty]]</f>
        <v>0</v>
      </c>
      <c r="O106" s="206">
        <f>SUMIF(Table32[Item],Table13[[#This Row],[Decription]],Table32[Quantity Issued])</f>
        <v>0</v>
      </c>
      <c r="P106" s="206">
        <f>Table13[[#This Row],[Unit Cost]]*Table13[[#This Row],[February 2025 - Issued Qty]]</f>
        <v>0</v>
      </c>
      <c r="Q106" s="95">
        <f>(Table13[[#This Row],[January 2025 - Balance Qty]]-Table13[[#This Row],[February 2025 - Issued Qty]])+Table13[[#This Row],[Incoming Qty]]</f>
        <v>5</v>
      </c>
      <c r="R106" s="207">
        <f>Table13[[#This Row],[February 2025 - Balance Qty]]*Table13[[#This Row],[Unit Cost]]</f>
        <v>375</v>
      </c>
      <c r="S106" s="205">
        <v>0</v>
      </c>
      <c r="T106" s="206">
        <v>0</v>
      </c>
      <c r="U106" s="208">
        <f>Table13[[#This Row],[Incoming Unit Cost]]*Table13[[#This Row],[Incoming Qty]]</f>
        <v>0</v>
      </c>
      <c r="V106" s="206">
        <f>SUMIF(Table3267[Item],Table13[[#This Row],[Decription]],Table3267[Quantity Issued])</f>
        <v>0</v>
      </c>
      <c r="W106" s="206">
        <f>Table13[[#This Row],[Unit Cost]]*Table13[[#This Row],[March 2025 - Issued Qty]]</f>
        <v>0</v>
      </c>
      <c r="X106" s="219">
        <f>(Table13[[#This Row],[February 2025 - Balance Qty]]-Table13[[#This Row],[March 2025 - Issued Qty]])+Table13[[#This Row],[Incoming Qty]]</f>
        <v>5</v>
      </c>
      <c r="Y106" s="207">
        <f>Table13[[#This Row],[March 2025 - Balance Qty]]*Table13[[#This Row],[Unit Cost]]</f>
        <v>375</v>
      </c>
      <c r="Z106" s="205">
        <v>0</v>
      </c>
      <c r="AA106" s="206">
        <v>0</v>
      </c>
      <c r="AB106" s="208">
        <f>Table13[[#This Row],[Incoming Unit Cost]]*Table13[[#This Row],[Incoming Qty]]</f>
        <v>0</v>
      </c>
      <c r="AC106" s="206">
        <f>SUMIF(Table326[Item],Table13[[#This Row],[Decription]],Table326[Quantity Issued])</f>
        <v>0</v>
      </c>
      <c r="AD106" s="206">
        <f>Table13[[#This Row],[Unit Cost]]*Table13[[#This Row],[April 2025 - Issued Qty ]]</f>
        <v>0</v>
      </c>
      <c r="AE106" s="219">
        <f>(Table13[[#This Row],[March 2025 - Balance Qty]]-Table13[[#This Row],[April 2025 - Issued Qty ]])+Table13[[#This Row],[Incoming Qty ]]</f>
        <v>5</v>
      </c>
      <c r="AF106" s="207">
        <f>Table13[[#This Row],[April 2025 - Balance Qty]]*Table13[[#This Row],[Unit Cost]]</f>
        <v>375</v>
      </c>
      <c r="AG106" s="207"/>
    </row>
    <row r="107" spans="1:33">
      <c r="A107" t="s">
        <v>78</v>
      </c>
      <c r="B107" t="s">
        <v>163</v>
      </c>
      <c r="C107" t="s">
        <v>76</v>
      </c>
      <c r="D107" t="s">
        <v>34</v>
      </c>
      <c r="E107" s="204">
        <v>23</v>
      </c>
      <c r="F107" s="204">
        <v>432.5</v>
      </c>
      <c r="G107" s="204">
        <f>Table13[[#This Row],[Unit Cost]]*Table13[[#This Row],[Quantity on Hand]]</f>
        <v>9947.5</v>
      </c>
      <c r="H107" s="205">
        <f>SUMIF(Table3[Item],Table13[[#This Row],[Decription]],Table3[Quantity Issued])</f>
        <v>1</v>
      </c>
      <c r="I107" s="206">
        <f>Table13[[#This Row],[January 2025 - Issued Qty]]*Table13[[#This Row],[Unit Cost]]</f>
        <v>432.5</v>
      </c>
      <c r="J107" s="95">
        <f>Table13[[#This Row],[Quantity on Hand]]-Table13[[#This Row],[January 2025 - Issued Qty]]</f>
        <v>22</v>
      </c>
      <c r="K107" s="207">
        <f>Table13[[#This Row],[January 2025 - Balance Qty]]*Table13[[#This Row],[Unit Cost]]</f>
        <v>9515</v>
      </c>
      <c r="L107" s="205">
        <v>0</v>
      </c>
      <c r="M107" s="206">
        <v>0</v>
      </c>
      <c r="N107" s="208">
        <f>Table13[[#This Row],[Incoming Unit Cost]]*Table13[[#This Row],[Incoming Qty]]</f>
        <v>0</v>
      </c>
      <c r="O107" s="206">
        <f>SUMIF(Table32[Item],Table13[[#This Row],[Decription]],Table32[Quantity Issued])</f>
        <v>4</v>
      </c>
      <c r="P107" s="206">
        <f>Table13[[#This Row],[Unit Cost]]*Table13[[#This Row],[February 2025 - Issued Qty]]</f>
        <v>1730</v>
      </c>
      <c r="Q107" s="95">
        <f>(Table13[[#This Row],[January 2025 - Balance Qty]]-Table13[[#This Row],[February 2025 - Issued Qty]])+Table13[[#This Row],[Incoming Qty]]</f>
        <v>18</v>
      </c>
      <c r="R107" s="207">
        <f>Table13[[#This Row],[February 2025 - Balance Qty]]*Table13[[#This Row],[Unit Cost]]</f>
        <v>7785</v>
      </c>
      <c r="S107" s="205">
        <v>0</v>
      </c>
      <c r="T107" s="206">
        <v>0</v>
      </c>
      <c r="U107" s="208">
        <f>Table13[[#This Row],[Incoming Unit Cost]]*Table13[[#This Row],[Incoming Qty]]</f>
        <v>0</v>
      </c>
      <c r="V107" s="206">
        <f>SUMIF(Table3267[Item],Table13[[#This Row],[Decription]],Table3267[Quantity Issued])</f>
        <v>18</v>
      </c>
      <c r="W107" s="206">
        <f>Table13[[#This Row],[Unit Cost]]*Table13[[#This Row],[March 2025 - Issued Qty]]</f>
        <v>7785</v>
      </c>
      <c r="X107" s="219">
        <f>(Table13[[#This Row],[February 2025 - Balance Qty]]-Table13[[#This Row],[March 2025 - Issued Qty]])+Table13[[#This Row],[Incoming Qty]]</f>
        <v>0</v>
      </c>
      <c r="Y107" s="207">
        <f>Table13[[#This Row],[March 2025 - Balance Qty]]*Table13[[#This Row],[Unit Cost]]</f>
        <v>0</v>
      </c>
      <c r="Z107" s="205">
        <v>0</v>
      </c>
      <c r="AA107" s="206">
        <v>0</v>
      </c>
      <c r="AB107" s="208">
        <f>Table13[[#This Row],[Incoming Unit Cost]]*Table13[[#This Row],[Incoming Qty]]</f>
        <v>0</v>
      </c>
      <c r="AC107" s="206">
        <f>SUMIF(Table326[Item],Table13[[#This Row],[Decription]],Table326[Quantity Issued])</f>
        <v>0</v>
      </c>
      <c r="AD107" s="206">
        <f>Table13[[#This Row],[Unit Cost]]*Table13[[#This Row],[April 2025 - Issued Qty ]]</f>
        <v>0</v>
      </c>
      <c r="AE107" s="219">
        <f>(Table13[[#This Row],[March 2025 - Balance Qty]]-Table13[[#This Row],[April 2025 - Issued Qty ]])+Table13[[#This Row],[Incoming Qty ]]</f>
        <v>0</v>
      </c>
      <c r="AF107" s="207">
        <f>Table13[[#This Row],[April 2025 - Balance Qty]]*Table13[[#This Row],[Unit Cost]]</f>
        <v>0</v>
      </c>
      <c r="AG107" s="207"/>
    </row>
    <row r="108" spans="1:33">
      <c r="A108" t="s">
        <v>78</v>
      </c>
      <c r="B108" t="s">
        <v>163</v>
      </c>
      <c r="C108" t="s">
        <v>170</v>
      </c>
      <c r="D108" t="s">
        <v>165</v>
      </c>
      <c r="E108" s="204">
        <v>13</v>
      </c>
      <c r="F108" s="204">
        <v>798.58</v>
      </c>
      <c r="G108" s="204">
        <f>Table13[[#This Row],[Unit Cost]]*Table13[[#This Row],[Quantity on Hand]]</f>
        <v>10381.540000000001</v>
      </c>
      <c r="H108" s="205">
        <f>SUMIF(Table3[Item],Table13[[#This Row],[Decription]],Table3[Quantity Issued])</f>
        <v>0</v>
      </c>
      <c r="I108" s="206">
        <f>Table13[[#This Row],[January 2025 - Issued Qty]]*Table13[[#This Row],[Unit Cost]]</f>
        <v>0</v>
      </c>
      <c r="J108" s="95">
        <f>Table13[[#This Row],[Quantity on Hand]]-Table13[[#This Row],[January 2025 - Issued Qty]]</f>
        <v>13</v>
      </c>
      <c r="K108" s="207">
        <f>Table13[[#This Row],[January 2025 - Balance Qty]]*Table13[[#This Row],[Unit Cost]]</f>
        <v>10381.540000000001</v>
      </c>
      <c r="L108" s="205">
        <v>0</v>
      </c>
      <c r="M108" s="206">
        <v>0</v>
      </c>
      <c r="N108" s="208">
        <f>Table13[[#This Row],[Incoming Unit Cost]]*Table13[[#This Row],[Incoming Qty]]</f>
        <v>0</v>
      </c>
      <c r="O108" s="206">
        <f>SUMIF(Table32[Item],Table13[[#This Row],[Decription]],Table32[Quantity Issued])</f>
        <v>0</v>
      </c>
      <c r="P108" s="206">
        <f>Table13[[#This Row],[Unit Cost]]*Table13[[#This Row],[February 2025 - Issued Qty]]</f>
        <v>0</v>
      </c>
      <c r="Q108" s="95">
        <f>(Table13[[#This Row],[January 2025 - Balance Qty]]-Table13[[#This Row],[February 2025 - Issued Qty]])+Table13[[#This Row],[Incoming Qty]]</f>
        <v>13</v>
      </c>
      <c r="R108" s="207">
        <f>Table13[[#This Row],[February 2025 - Balance Qty]]*Table13[[#This Row],[Unit Cost]]</f>
        <v>10381.540000000001</v>
      </c>
      <c r="S108" s="205">
        <v>0</v>
      </c>
      <c r="T108" s="206">
        <v>0</v>
      </c>
      <c r="U108" s="208">
        <f>Table13[[#This Row],[Incoming Unit Cost]]*Table13[[#This Row],[Incoming Qty]]</f>
        <v>0</v>
      </c>
      <c r="V108" s="206">
        <f>SUMIF(Table3267[Item],Table13[[#This Row],[Decription]],Table3267[Quantity Issued])</f>
        <v>9</v>
      </c>
      <c r="W108" s="206">
        <f>Table13[[#This Row],[Unit Cost]]*Table13[[#This Row],[March 2025 - Issued Qty]]</f>
        <v>7187.22</v>
      </c>
      <c r="X108" s="219">
        <f>(Table13[[#This Row],[February 2025 - Balance Qty]]-Table13[[#This Row],[March 2025 - Issued Qty]])+Table13[[#This Row],[Incoming Qty]]</f>
        <v>4</v>
      </c>
      <c r="Y108" s="207">
        <f>Table13[[#This Row],[March 2025 - Balance Qty]]*Table13[[#This Row],[Unit Cost]]</f>
        <v>3194.32</v>
      </c>
      <c r="Z108" s="205">
        <v>0</v>
      </c>
      <c r="AA108" s="206">
        <v>0</v>
      </c>
      <c r="AB108" s="208">
        <f>Table13[[#This Row],[Incoming Unit Cost]]*Table13[[#This Row],[Incoming Qty]]</f>
        <v>0</v>
      </c>
      <c r="AC108" s="206">
        <f>SUMIF(Table326[Item],Table13[[#This Row],[Decription]],Table326[Quantity Issued])</f>
        <v>0</v>
      </c>
      <c r="AD108" s="206">
        <f>Table13[[#This Row],[Unit Cost]]*Table13[[#This Row],[April 2025 - Issued Qty ]]</f>
        <v>0</v>
      </c>
      <c r="AE108" s="219">
        <f>(Table13[[#This Row],[March 2025 - Balance Qty]]-Table13[[#This Row],[April 2025 - Issued Qty ]])+Table13[[#This Row],[Incoming Qty ]]</f>
        <v>4</v>
      </c>
      <c r="AF108" s="207">
        <f>Table13[[#This Row],[April 2025 - Balance Qty]]*Table13[[#This Row],[Unit Cost]]</f>
        <v>3194.32</v>
      </c>
      <c r="AG108" s="207"/>
    </row>
    <row r="109" spans="1:33">
      <c r="A109" t="s">
        <v>78</v>
      </c>
      <c r="B109" t="s">
        <v>163</v>
      </c>
      <c r="C109" t="s">
        <v>171</v>
      </c>
      <c r="D109" t="s">
        <v>34</v>
      </c>
      <c r="E109" s="204">
        <v>9</v>
      </c>
      <c r="F109" s="204">
        <v>395</v>
      </c>
      <c r="G109" s="204">
        <f>Table13[[#This Row],[Unit Cost]]*Table13[[#This Row],[Quantity on Hand]]</f>
        <v>3555</v>
      </c>
      <c r="H109" s="205">
        <f>SUMIF(Table3[Item],Table13[[#This Row],[Decription]],Table3[Quantity Issued])</f>
        <v>0</v>
      </c>
      <c r="I109" s="206">
        <f>Table13[[#This Row],[January 2025 - Issued Qty]]*Table13[[#This Row],[Unit Cost]]</f>
        <v>0</v>
      </c>
      <c r="J109" s="95">
        <f>Table13[[#This Row],[Quantity on Hand]]-Table13[[#This Row],[January 2025 - Issued Qty]]</f>
        <v>9</v>
      </c>
      <c r="K109" s="207">
        <f>Table13[[#This Row],[January 2025 - Balance Qty]]*Table13[[#This Row],[Unit Cost]]</f>
        <v>3555</v>
      </c>
      <c r="L109" s="205">
        <v>0</v>
      </c>
      <c r="M109" s="206">
        <v>0</v>
      </c>
      <c r="N109" s="208">
        <f>Table13[[#This Row],[Incoming Unit Cost]]*Table13[[#This Row],[Incoming Qty]]</f>
        <v>0</v>
      </c>
      <c r="O109" s="206">
        <f>SUMIF(Table32[Item],Table13[[#This Row],[Decription]],Table32[Quantity Issued])</f>
        <v>4</v>
      </c>
      <c r="P109" s="206">
        <f>Table13[[#This Row],[Unit Cost]]*Table13[[#This Row],[February 2025 - Issued Qty]]</f>
        <v>1580</v>
      </c>
      <c r="Q109" s="95">
        <f>(Table13[[#This Row],[January 2025 - Balance Qty]]-Table13[[#This Row],[February 2025 - Issued Qty]])+Table13[[#This Row],[Incoming Qty]]</f>
        <v>5</v>
      </c>
      <c r="R109" s="207">
        <f>Table13[[#This Row],[February 2025 - Balance Qty]]*Table13[[#This Row],[Unit Cost]]</f>
        <v>1975</v>
      </c>
      <c r="S109" s="205">
        <v>0</v>
      </c>
      <c r="T109" s="206">
        <v>0</v>
      </c>
      <c r="U109" s="208">
        <f>Table13[[#This Row],[Incoming Unit Cost]]*Table13[[#This Row],[Incoming Qty]]</f>
        <v>0</v>
      </c>
      <c r="V109" s="206">
        <f>SUMIF(Table3267[Item],Table13[[#This Row],[Decription]],Table3267[Quantity Issued])</f>
        <v>0</v>
      </c>
      <c r="W109" s="206">
        <f>Table13[[#This Row],[Unit Cost]]*Table13[[#This Row],[March 2025 - Issued Qty]]</f>
        <v>0</v>
      </c>
      <c r="X109" s="219">
        <f>(Table13[[#This Row],[February 2025 - Balance Qty]]-Table13[[#This Row],[March 2025 - Issued Qty]])+Table13[[#This Row],[Incoming Qty]]</f>
        <v>5</v>
      </c>
      <c r="Y109" s="207">
        <f>Table13[[#This Row],[March 2025 - Balance Qty]]*Table13[[#This Row],[Unit Cost]]</f>
        <v>1975</v>
      </c>
      <c r="Z109" s="205">
        <v>0</v>
      </c>
      <c r="AA109" s="206">
        <v>0</v>
      </c>
      <c r="AB109" s="208">
        <f>Table13[[#This Row],[Incoming Unit Cost]]*Table13[[#This Row],[Incoming Qty]]</f>
        <v>0</v>
      </c>
      <c r="AC109" s="206">
        <f>SUMIF(Table326[Item],Table13[[#This Row],[Decription]],Table326[Quantity Issued])</f>
        <v>0</v>
      </c>
      <c r="AD109" s="206">
        <f>Table13[[#This Row],[Unit Cost]]*Table13[[#This Row],[April 2025 - Issued Qty ]]</f>
        <v>0</v>
      </c>
      <c r="AE109" s="219">
        <f>(Table13[[#This Row],[March 2025 - Balance Qty]]-Table13[[#This Row],[April 2025 - Issued Qty ]])+Table13[[#This Row],[Incoming Qty ]]</f>
        <v>5</v>
      </c>
      <c r="AF109" s="207">
        <f>Table13[[#This Row],[April 2025 - Balance Qty]]*Table13[[#This Row],[Unit Cost]]</f>
        <v>1975</v>
      </c>
      <c r="AG109" s="207"/>
    </row>
    <row r="110" spans="1:33">
      <c r="A110" t="s">
        <v>78</v>
      </c>
      <c r="B110" t="s">
        <v>163</v>
      </c>
      <c r="C110" t="s">
        <v>172</v>
      </c>
      <c r="D110" t="s">
        <v>27</v>
      </c>
      <c r="E110" s="204">
        <v>6</v>
      </c>
      <c r="F110" s="204">
        <v>78.75</v>
      </c>
      <c r="G110" s="204">
        <f>Table13[[#This Row],[Unit Cost]]*Table13[[#This Row],[Quantity on Hand]]</f>
        <v>472.5</v>
      </c>
      <c r="H110" s="205">
        <f>SUMIF(Table3[Item],Table13[[#This Row],[Decription]],Table3[Quantity Issued])</f>
        <v>0</v>
      </c>
      <c r="I110" s="206">
        <f>Table13[[#This Row],[January 2025 - Issued Qty]]*Table13[[#This Row],[Unit Cost]]</f>
        <v>0</v>
      </c>
      <c r="J110" s="95">
        <f>Table13[[#This Row],[Quantity on Hand]]-Table13[[#This Row],[January 2025 - Issued Qty]]</f>
        <v>6</v>
      </c>
      <c r="K110" s="207">
        <f>Table13[[#This Row],[January 2025 - Balance Qty]]*Table13[[#This Row],[Unit Cost]]</f>
        <v>472.5</v>
      </c>
      <c r="L110" s="205">
        <v>0</v>
      </c>
      <c r="M110" s="206">
        <v>0</v>
      </c>
      <c r="N110" s="208">
        <f>Table13[[#This Row],[Incoming Unit Cost]]*Table13[[#This Row],[Incoming Qty]]</f>
        <v>0</v>
      </c>
      <c r="O110" s="206">
        <f>SUMIF(Table32[Item],Table13[[#This Row],[Decription]],Table32[Quantity Issued])</f>
        <v>0</v>
      </c>
      <c r="P110" s="206">
        <f>Table13[[#This Row],[Unit Cost]]*Table13[[#This Row],[February 2025 - Issued Qty]]</f>
        <v>0</v>
      </c>
      <c r="Q110" s="95">
        <f>(Table13[[#This Row],[January 2025 - Balance Qty]]-Table13[[#This Row],[February 2025 - Issued Qty]])+Table13[[#This Row],[Incoming Qty]]</f>
        <v>6</v>
      </c>
      <c r="R110" s="207">
        <f>Table13[[#This Row],[February 2025 - Balance Qty]]*Table13[[#This Row],[Unit Cost]]</f>
        <v>472.5</v>
      </c>
      <c r="S110" s="205">
        <v>0</v>
      </c>
      <c r="T110" s="206">
        <v>0</v>
      </c>
      <c r="U110" s="208">
        <f>Table13[[#This Row],[Incoming Unit Cost]]*Table13[[#This Row],[Incoming Qty]]</f>
        <v>0</v>
      </c>
      <c r="V110" s="206">
        <f>SUMIF(Table3267[Item],Table13[[#This Row],[Decription]],Table3267[Quantity Issued])</f>
        <v>4</v>
      </c>
      <c r="W110" s="206">
        <f>Table13[[#This Row],[Unit Cost]]*Table13[[#This Row],[March 2025 - Issued Qty]]</f>
        <v>315</v>
      </c>
      <c r="X110" s="219">
        <f>(Table13[[#This Row],[February 2025 - Balance Qty]]-Table13[[#This Row],[March 2025 - Issued Qty]])+Table13[[#This Row],[Incoming Qty]]</f>
        <v>2</v>
      </c>
      <c r="Y110" s="207">
        <f>Table13[[#This Row],[March 2025 - Balance Qty]]*Table13[[#This Row],[Unit Cost]]</f>
        <v>157.5</v>
      </c>
      <c r="Z110" s="205">
        <v>0</v>
      </c>
      <c r="AA110" s="206">
        <v>0</v>
      </c>
      <c r="AB110" s="208">
        <f>Table13[[#This Row],[Incoming Unit Cost]]*Table13[[#This Row],[Incoming Qty]]</f>
        <v>0</v>
      </c>
      <c r="AC110" s="206">
        <f>SUMIF(Table326[Item],Table13[[#This Row],[Decription]],Table326[Quantity Issued])</f>
        <v>0</v>
      </c>
      <c r="AD110" s="206">
        <f>Table13[[#This Row],[Unit Cost]]*Table13[[#This Row],[April 2025 - Issued Qty ]]</f>
        <v>0</v>
      </c>
      <c r="AE110" s="219">
        <f>(Table13[[#This Row],[March 2025 - Balance Qty]]-Table13[[#This Row],[April 2025 - Issued Qty ]])+Table13[[#This Row],[Incoming Qty ]]</f>
        <v>2</v>
      </c>
      <c r="AF110" s="207">
        <f>Table13[[#This Row],[April 2025 - Balance Qty]]*Table13[[#This Row],[Unit Cost]]</f>
        <v>157.5</v>
      </c>
      <c r="AG110" s="207"/>
    </row>
    <row r="111" spans="1:33">
      <c r="A111" t="s">
        <v>78</v>
      </c>
      <c r="B111" t="s">
        <v>163</v>
      </c>
      <c r="C111" t="s">
        <v>74</v>
      </c>
      <c r="D111" t="s">
        <v>38</v>
      </c>
      <c r="E111" s="204">
        <v>38</v>
      </c>
      <c r="F111" s="204">
        <v>30</v>
      </c>
      <c r="G111" s="204">
        <f>Table13[[#This Row],[Unit Cost]]*Table13[[#This Row],[Quantity on Hand]]</f>
        <v>1140</v>
      </c>
      <c r="H111" s="205">
        <f>SUMIF(Table3[Item],Table13[[#This Row],[Decription]],Table3[Quantity Issued])</f>
        <v>6</v>
      </c>
      <c r="I111" s="206">
        <f>Table13[[#This Row],[January 2025 - Issued Qty]]*Table13[[#This Row],[Unit Cost]]</f>
        <v>180</v>
      </c>
      <c r="J111" s="95">
        <f>Table13[[#This Row],[Quantity on Hand]]-Table13[[#This Row],[January 2025 - Issued Qty]]</f>
        <v>32</v>
      </c>
      <c r="K111" s="207">
        <f>Table13[[#This Row],[January 2025 - Balance Qty]]*Table13[[#This Row],[Unit Cost]]</f>
        <v>960</v>
      </c>
      <c r="L111" s="205">
        <v>0</v>
      </c>
      <c r="M111" s="206">
        <v>0</v>
      </c>
      <c r="N111" s="208">
        <f>Table13[[#This Row],[Incoming Unit Cost]]*Table13[[#This Row],[Incoming Qty]]</f>
        <v>0</v>
      </c>
      <c r="O111" s="206">
        <f>SUMIF(Table32[Item],Table13[[#This Row],[Decription]],Table32[Quantity Issued])</f>
        <v>12</v>
      </c>
      <c r="P111" s="206">
        <f>Table13[[#This Row],[Unit Cost]]*Table13[[#This Row],[February 2025 - Issued Qty]]</f>
        <v>360</v>
      </c>
      <c r="Q111" s="95">
        <f>(Table13[[#This Row],[January 2025 - Balance Qty]]-Table13[[#This Row],[February 2025 - Issued Qty]])+Table13[[#This Row],[Incoming Qty]]</f>
        <v>20</v>
      </c>
      <c r="R111" s="207">
        <f>Table13[[#This Row],[February 2025 - Balance Qty]]*Table13[[#This Row],[Unit Cost]]</f>
        <v>600</v>
      </c>
      <c r="S111" s="205">
        <v>0</v>
      </c>
      <c r="T111" s="206">
        <v>0</v>
      </c>
      <c r="U111" s="208">
        <f>Table13[[#This Row],[Incoming Unit Cost]]*Table13[[#This Row],[Incoming Qty]]</f>
        <v>0</v>
      </c>
      <c r="V111" s="206">
        <f>SUMIF(Table3267[Item],Table13[[#This Row],[Decription]],Table3267[Quantity Issued])</f>
        <v>0</v>
      </c>
      <c r="W111" s="206">
        <f>Table13[[#This Row],[Unit Cost]]*Table13[[#This Row],[March 2025 - Issued Qty]]</f>
        <v>0</v>
      </c>
      <c r="X111" s="219">
        <f>(Table13[[#This Row],[February 2025 - Balance Qty]]-Table13[[#This Row],[March 2025 - Issued Qty]])+Table13[[#This Row],[Incoming Qty]]</f>
        <v>20</v>
      </c>
      <c r="Y111" s="207">
        <f>Table13[[#This Row],[March 2025 - Balance Qty]]*Table13[[#This Row],[Unit Cost]]</f>
        <v>600</v>
      </c>
      <c r="Z111" s="205">
        <v>0</v>
      </c>
      <c r="AA111" s="206">
        <v>0</v>
      </c>
      <c r="AB111" s="208">
        <f>Table13[[#This Row],[Incoming Unit Cost]]*Table13[[#This Row],[Incoming Qty]]</f>
        <v>0</v>
      </c>
      <c r="AC111" s="206">
        <f>SUMIF(Table326[Item],Table13[[#This Row],[Decription]],Table326[Quantity Issued])</f>
        <v>20</v>
      </c>
      <c r="AD111" s="206">
        <f>Table13[[#This Row],[Unit Cost]]*Table13[[#This Row],[April 2025 - Issued Qty ]]</f>
        <v>600</v>
      </c>
      <c r="AE111" s="219">
        <f>(Table13[[#This Row],[March 2025 - Balance Qty]]-Table13[[#This Row],[April 2025 - Issued Qty ]])+Table13[[#This Row],[Incoming Qty ]]</f>
        <v>0</v>
      </c>
      <c r="AF111" s="207">
        <f>Table13[[#This Row],[April 2025 - Balance Qty]]*Table13[[#This Row],[Unit Cost]]</f>
        <v>0</v>
      </c>
      <c r="AG111" s="207"/>
    </row>
    <row r="112" spans="1:33">
      <c r="A112" t="s">
        <v>78</v>
      </c>
      <c r="B112" t="s">
        <v>163</v>
      </c>
      <c r="C112" t="s">
        <v>173</v>
      </c>
      <c r="D112" t="s">
        <v>29</v>
      </c>
      <c r="E112" s="204">
        <v>8</v>
      </c>
      <c r="F112" s="204">
        <v>238</v>
      </c>
      <c r="G112" s="204">
        <f>Table13[[#This Row],[Unit Cost]]*Table13[[#This Row],[Quantity on Hand]]</f>
        <v>1904</v>
      </c>
      <c r="H112" s="205">
        <f>SUMIF(Table3[Item],Table13[[#This Row],[Decription]],Table3[Quantity Issued])</f>
        <v>0</v>
      </c>
      <c r="I112" s="206">
        <f>Table13[[#This Row],[January 2025 - Issued Qty]]*Table13[[#This Row],[Unit Cost]]</f>
        <v>0</v>
      </c>
      <c r="J112" s="95">
        <f>Table13[[#This Row],[Quantity on Hand]]-Table13[[#This Row],[January 2025 - Issued Qty]]</f>
        <v>8</v>
      </c>
      <c r="K112" s="207">
        <f>Table13[[#This Row],[January 2025 - Balance Qty]]*Table13[[#This Row],[Unit Cost]]</f>
        <v>1904</v>
      </c>
      <c r="L112" s="205">
        <v>0</v>
      </c>
      <c r="M112" s="206">
        <v>0</v>
      </c>
      <c r="N112" s="208">
        <f>Table13[[#This Row],[Incoming Unit Cost]]*Table13[[#This Row],[Incoming Qty]]</f>
        <v>0</v>
      </c>
      <c r="O112" s="206">
        <f>SUMIF(Table32[Item],Table13[[#This Row],[Decription]],Table32[Quantity Issued])</f>
        <v>2</v>
      </c>
      <c r="P112" s="206">
        <f>Table13[[#This Row],[Unit Cost]]*Table13[[#This Row],[February 2025 - Issued Qty]]</f>
        <v>476</v>
      </c>
      <c r="Q112" s="95">
        <f>(Table13[[#This Row],[January 2025 - Balance Qty]]-Table13[[#This Row],[February 2025 - Issued Qty]])+Table13[[#This Row],[Incoming Qty]]</f>
        <v>6</v>
      </c>
      <c r="R112" s="207">
        <f>Table13[[#This Row],[February 2025 - Balance Qty]]*Table13[[#This Row],[Unit Cost]]</f>
        <v>1428</v>
      </c>
      <c r="S112" s="205">
        <v>0</v>
      </c>
      <c r="T112" s="206">
        <v>0</v>
      </c>
      <c r="U112" s="208">
        <f>Table13[[#This Row],[Incoming Unit Cost]]*Table13[[#This Row],[Incoming Qty]]</f>
        <v>0</v>
      </c>
      <c r="V112" s="206">
        <f>SUMIF(Table3267[Item],Table13[[#This Row],[Decription]],Table3267[Quantity Issued])</f>
        <v>3</v>
      </c>
      <c r="W112" s="206">
        <f>Table13[[#This Row],[Unit Cost]]*Table13[[#This Row],[March 2025 - Issued Qty]]</f>
        <v>714</v>
      </c>
      <c r="X112" s="219">
        <f>(Table13[[#This Row],[February 2025 - Balance Qty]]-Table13[[#This Row],[March 2025 - Issued Qty]])+Table13[[#This Row],[Incoming Qty]]</f>
        <v>3</v>
      </c>
      <c r="Y112" s="207">
        <f>Table13[[#This Row],[March 2025 - Balance Qty]]*Table13[[#This Row],[Unit Cost]]</f>
        <v>714</v>
      </c>
      <c r="Z112" s="205">
        <v>0</v>
      </c>
      <c r="AA112" s="206">
        <v>0</v>
      </c>
      <c r="AB112" s="208">
        <f>Table13[[#This Row],[Incoming Unit Cost]]*Table13[[#This Row],[Incoming Qty]]</f>
        <v>0</v>
      </c>
      <c r="AC112" s="206">
        <f>SUMIF(Table326[Item],Table13[[#This Row],[Decription]],Table326[Quantity Issued])</f>
        <v>2</v>
      </c>
      <c r="AD112" s="206">
        <f>Table13[[#This Row],[Unit Cost]]*Table13[[#This Row],[April 2025 - Issued Qty ]]</f>
        <v>476</v>
      </c>
      <c r="AE112" s="219">
        <f>(Table13[[#This Row],[March 2025 - Balance Qty]]-Table13[[#This Row],[April 2025 - Issued Qty ]])+Table13[[#This Row],[Incoming Qty ]]</f>
        <v>1</v>
      </c>
      <c r="AF112" s="207">
        <f>Table13[[#This Row],[April 2025 - Balance Qty]]*Table13[[#This Row],[Unit Cost]]</f>
        <v>238</v>
      </c>
      <c r="AG112" s="207"/>
    </row>
    <row r="113" spans="1:33">
      <c r="A113" t="s">
        <v>78</v>
      </c>
      <c r="B113" t="s">
        <v>163</v>
      </c>
      <c r="C113" t="s">
        <v>174</v>
      </c>
      <c r="D113" t="s">
        <v>27</v>
      </c>
      <c r="E113" s="204">
        <v>2</v>
      </c>
      <c r="F113" s="204">
        <v>285</v>
      </c>
      <c r="G113" s="204">
        <f>Table13[[#This Row],[Unit Cost]]*Table13[[#This Row],[Quantity on Hand]]</f>
        <v>570</v>
      </c>
      <c r="H113" s="205">
        <f>SUMIF(Table3[Item],Table13[[#This Row],[Decription]],Table3[Quantity Issued])</f>
        <v>2</v>
      </c>
      <c r="I113" s="206">
        <f>Table13[[#This Row],[January 2025 - Issued Qty]]*Table13[[#This Row],[Unit Cost]]</f>
        <v>570</v>
      </c>
      <c r="J113" s="95">
        <f>Table13[[#This Row],[Quantity on Hand]]-Table13[[#This Row],[January 2025 - Issued Qty]]</f>
        <v>0</v>
      </c>
      <c r="K113" s="207">
        <f>Table13[[#This Row],[January 2025 - Balance Qty]]*Table13[[#This Row],[Unit Cost]]</f>
        <v>0</v>
      </c>
      <c r="L113" s="205">
        <v>0</v>
      </c>
      <c r="M113" s="206">
        <v>0</v>
      </c>
      <c r="N113" s="208">
        <f>Table13[[#This Row],[Incoming Unit Cost]]*Table13[[#This Row],[Incoming Qty]]</f>
        <v>0</v>
      </c>
      <c r="O113" s="206">
        <f>SUMIF(Table32[Item],Table13[[#This Row],[Decription]],Table32[Quantity Issued])</f>
        <v>0</v>
      </c>
      <c r="P113" s="206">
        <f>Table13[[#This Row],[Unit Cost]]*Table13[[#This Row],[February 2025 - Issued Qty]]</f>
        <v>0</v>
      </c>
      <c r="Q113" s="95">
        <f>(Table13[[#This Row],[January 2025 - Balance Qty]]-Table13[[#This Row],[February 2025 - Issued Qty]])+Table13[[#This Row],[Incoming Qty]]</f>
        <v>0</v>
      </c>
      <c r="R113" s="207">
        <f>Table13[[#This Row],[February 2025 - Balance Qty]]*Table13[[#This Row],[Unit Cost]]</f>
        <v>0</v>
      </c>
      <c r="S113" s="205">
        <v>0</v>
      </c>
      <c r="T113" s="206">
        <v>0</v>
      </c>
      <c r="U113" s="208">
        <f>Table13[[#This Row],[Incoming Unit Cost]]*Table13[[#This Row],[Incoming Qty]]</f>
        <v>0</v>
      </c>
      <c r="V113" s="206">
        <f>SUMIF(Table3267[Item],Table13[[#This Row],[Decription]],Table3267[Quantity Issued])</f>
        <v>0</v>
      </c>
      <c r="W113" s="206">
        <f>Table13[[#This Row],[Unit Cost]]*Table13[[#This Row],[March 2025 - Issued Qty]]</f>
        <v>0</v>
      </c>
      <c r="X113" s="219">
        <f>(Table13[[#This Row],[February 2025 - Balance Qty]]-Table13[[#This Row],[March 2025 - Issued Qty]])+Table13[[#This Row],[Incoming Qty]]</f>
        <v>0</v>
      </c>
      <c r="Y113" s="207">
        <f>Table13[[#This Row],[March 2025 - Balance Qty]]*Table13[[#This Row],[Unit Cost]]</f>
        <v>0</v>
      </c>
      <c r="Z113" s="205">
        <v>0</v>
      </c>
      <c r="AA113" s="206">
        <v>0</v>
      </c>
      <c r="AB113" s="208">
        <f>Table13[[#This Row],[Incoming Unit Cost]]*Table13[[#This Row],[Incoming Qty]]</f>
        <v>0</v>
      </c>
      <c r="AC113" s="206">
        <f>SUMIF(Table326[Item],Table13[[#This Row],[Decription]],Table326[Quantity Issued])</f>
        <v>0</v>
      </c>
      <c r="AD113" s="206">
        <f>Table13[[#This Row],[Unit Cost]]*Table13[[#This Row],[April 2025 - Issued Qty ]]</f>
        <v>0</v>
      </c>
      <c r="AE113" s="219">
        <f>(Table13[[#This Row],[March 2025 - Balance Qty]]-Table13[[#This Row],[April 2025 - Issued Qty ]])+Table13[[#This Row],[Incoming Qty ]]</f>
        <v>0</v>
      </c>
      <c r="AF113" s="207">
        <f>Table13[[#This Row],[April 2025 - Balance Qty]]*Table13[[#This Row],[Unit Cost]]</f>
        <v>0</v>
      </c>
      <c r="AG113" s="207"/>
    </row>
    <row r="114" spans="1:33">
      <c r="A114" t="s">
        <v>78</v>
      </c>
      <c r="B114" t="s">
        <v>163</v>
      </c>
      <c r="C114" t="s">
        <v>175</v>
      </c>
      <c r="D114" t="s">
        <v>165</v>
      </c>
      <c r="E114" s="204">
        <v>10</v>
      </c>
      <c r="F114" s="204">
        <v>165</v>
      </c>
      <c r="G114" s="204">
        <f>Table13[[#This Row],[Unit Cost]]*Table13[[#This Row],[Quantity on Hand]]</f>
        <v>1650</v>
      </c>
      <c r="H114" s="205">
        <f>SUMIF(Table3[Item],Table13[[#This Row],[Decription]],Table3[Quantity Issued])</f>
        <v>0</v>
      </c>
      <c r="I114" s="206">
        <f>Table13[[#This Row],[January 2025 - Issued Qty]]*Table13[[#This Row],[Unit Cost]]</f>
        <v>0</v>
      </c>
      <c r="J114" s="95">
        <f>Table13[[#This Row],[Quantity on Hand]]-Table13[[#This Row],[January 2025 - Issued Qty]]</f>
        <v>10</v>
      </c>
      <c r="K114" s="207">
        <f>Table13[[#This Row],[January 2025 - Balance Qty]]*Table13[[#This Row],[Unit Cost]]</f>
        <v>1650</v>
      </c>
      <c r="L114" s="205">
        <v>0</v>
      </c>
      <c r="M114" s="206">
        <v>0</v>
      </c>
      <c r="N114" s="208">
        <f>Table13[[#This Row],[Incoming Unit Cost]]*Table13[[#This Row],[Incoming Qty]]</f>
        <v>0</v>
      </c>
      <c r="O114" s="206">
        <f>SUMIF(Table32[Item],Table13[[#This Row],[Decription]],Table32[Quantity Issued])</f>
        <v>5</v>
      </c>
      <c r="P114" s="206">
        <f>Table13[[#This Row],[Unit Cost]]*Table13[[#This Row],[February 2025 - Issued Qty]]</f>
        <v>825</v>
      </c>
      <c r="Q114" s="95">
        <f>(Table13[[#This Row],[January 2025 - Balance Qty]]-Table13[[#This Row],[February 2025 - Issued Qty]])+Table13[[#This Row],[Incoming Qty]]</f>
        <v>5</v>
      </c>
      <c r="R114" s="207">
        <f>Table13[[#This Row],[February 2025 - Balance Qty]]*Table13[[#This Row],[Unit Cost]]</f>
        <v>825</v>
      </c>
      <c r="S114" s="205">
        <v>0</v>
      </c>
      <c r="T114" s="206">
        <v>0</v>
      </c>
      <c r="U114" s="208">
        <f>Table13[[#This Row],[Incoming Unit Cost]]*Table13[[#This Row],[Incoming Qty]]</f>
        <v>0</v>
      </c>
      <c r="V114" s="206">
        <f>SUMIF(Table3267[Item],Table13[[#This Row],[Decription]],Table3267[Quantity Issued])</f>
        <v>4</v>
      </c>
      <c r="W114" s="206">
        <f>Table13[[#This Row],[Unit Cost]]*Table13[[#This Row],[March 2025 - Issued Qty]]</f>
        <v>660</v>
      </c>
      <c r="X114" s="219">
        <f>(Table13[[#This Row],[February 2025 - Balance Qty]]-Table13[[#This Row],[March 2025 - Issued Qty]])+Table13[[#This Row],[Incoming Qty]]</f>
        <v>1</v>
      </c>
      <c r="Y114" s="207">
        <f>Table13[[#This Row],[March 2025 - Balance Qty]]*Table13[[#This Row],[Unit Cost]]</f>
        <v>165</v>
      </c>
      <c r="Z114" s="205">
        <v>0</v>
      </c>
      <c r="AA114" s="206">
        <v>0</v>
      </c>
      <c r="AB114" s="208">
        <f>Table13[[#This Row],[Incoming Unit Cost]]*Table13[[#This Row],[Incoming Qty]]</f>
        <v>0</v>
      </c>
      <c r="AC114" s="206">
        <f>SUMIF(Table326[Item],Table13[[#This Row],[Decription]],Table326[Quantity Issued])</f>
        <v>1</v>
      </c>
      <c r="AD114" s="206">
        <f>Table13[[#This Row],[Unit Cost]]*Table13[[#This Row],[April 2025 - Issued Qty ]]</f>
        <v>165</v>
      </c>
      <c r="AE114" s="219">
        <f>(Table13[[#This Row],[March 2025 - Balance Qty]]-Table13[[#This Row],[April 2025 - Issued Qty ]])+Table13[[#This Row],[Incoming Qty ]]</f>
        <v>0</v>
      </c>
      <c r="AF114" s="207">
        <f>Table13[[#This Row],[April 2025 - Balance Qty]]*Table13[[#This Row],[Unit Cost]]</f>
        <v>0</v>
      </c>
      <c r="AG114" s="207"/>
    </row>
    <row r="115" spans="1:33">
      <c r="A115" t="s">
        <v>78</v>
      </c>
      <c r="B115" t="s">
        <v>163</v>
      </c>
      <c r="C115" t="s">
        <v>176</v>
      </c>
      <c r="D115" t="s">
        <v>165</v>
      </c>
      <c r="E115" s="204">
        <v>1</v>
      </c>
      <c r="F115" s="204">
        <v>200</v>
      </c>
      <c r="G115" s="204">
        <f>Table13[[#This Row],[Unit Cost]]*Table13[[#This Row],[Quantity on Hand]]</f>
        <v>200</v>
      </c>
      <c r="H115" s="205">
        <f>SUMIF(Table3[Item],Table13[[#This Row],[Decription]],Table3[Quantity Issued])</f>
        <v>0</v>
      </c>
      <c r="I115" s="206">
        <f>Table13[[#This Row],[January 2025 - Issued Qty]]*Table13[[#This Row],[Unit Cost]]</f>
        <v>0</v>
      </c>
      <c r="J115" s="95">
        <f>Table13[[#This Row],[Quantity on Hand]]-Table13[[#This Row],[January 2025 - Issued Qty]]</f>
        <v>1</v>
      </c>
      <c r="K115" s="207">
        <f>Table13[[#This Row],[January 2025 - Balance Qty]]*Table13[[#This Row],[Unit Cost]]</f>
        <v>200</v>
      </c>
      <c r="L115" s="205">
        <v>0</v>
      </c>
      <c r="M115" s="206">
        <v>0</v>
      </c>
      <c r="N115" s="208">
        <f>Table13[[#This Row],[Incoming Unit Cost]]*Table13[[#This Row],[Incoming Qty]]</f>
        <v>0</v>
      </c>
      <c r="O115" s="206">
        <f>SUMIF(Table32[Item],Table13[[#This Row],[Decription]],Table32[Quantity Issued])</f>
        <v>1</v>
      </c>
      <c r="P115" s="206">
        <f>Table13[[#This Row],[Unit Cost]]*Table13[[#This Row],[February 2025 - Issued Qty]]</f>
        <v>200</v>
      </c>
      <c r="Q115" s="95">
        <f>(Table13[[#This Row],[January 2025 - Balance Qty]]-Table13[[#This Row],[February 2025 - Issued Qty]])+Table13[[#This Row],[Incoming Qty]]</f>
        <v>0</v>
      </c>
      <c r="R115" s="207">
        <f>Table13[[#This Row],[February 2025 - Balance Qty]]*Table13[[#This Row],[Unit Cost]]</f>
        <v>0</v>
      </c>
      <c r="S115" s="205">
        <v>0</v>
      </c>
      <c r="T115" s="206">
        <v>0</v>
      </c>
      <c r="U115" s="208">
        <f>Table13[[#This Row],[Incoming Unit Cost]]*Table13[[#This Row],[Incoming Qty]]</f>
        <v>0</v>
      </c>
      <c r="V115" s="206">
        <f>SUMIF(Table3267[Item],Table13[[#This Row],[Decription]],Table3267[Quantity Issued])</f>
        <v>0</v>
      </c>
      <c r="W115" s="206">
        <f>Table13[[#This Row],[Unit Cost]]*Table13[[#This Row],[March 2025 - Issued Qty]]</f>
        <v>0</v>
      </c>
      <c r="X115" s="219">
        <f>(Table13[[#This Row],[February 2025 - Balance Qty]]-Table13[[#This Row],[March 2025 - Issued Qty]])+Table13[[#This Row],[Incoming Qty]]</f>
        <v>0</v>
      </c>
      <c r="Y115" s="207">
        <f>Table13[[#This Row],[March 2025 - Balance Qty]]*Table13[[#This Row],[Unit Cost]]</f>
        <v>0</v>
      </c>
      <c r="Z115" s="205">
        <v>0</v>
      </c>
      <c r="AA115" s="206">
        <v>0</v>
      </c>
      <c r="AB115" s="208">
        <f>Table13[[#This Row],[Incoming Unit Cost]]*Table13[[#This Row],[Incoming Qty]]</f>
        <v>0</v>
      </c>
      <c r="AC115" s="206">
        <f>SUMIF(Table326[Item],Table13[[#This Row],[Decription]],Table326[Quantity Issued])</f>
        <v>0</v>
      </c>
      <c r="AD115" s="206">
        <f>Table13[[#This Row],[Unit Cost]]*Table13[[#This Row],[April 2025 - Issued Qty ]]</f>
        <v>0</v>
      </c>
      <c r="AE115" s="219">
        <f>(Table13[[#This Row],[March 2025 - Balance Qty]]-Table13[[#This Row],[April 2025 - Issued Qty ]])+Table13[[#This Row],[Incoming Qty ]]</f>
        <v>0</v>
      </c>
      <c r="AF115" s="207">
        <f>Table13[[#This Row],[April 2025 - Balance Qty]]*Table13[[#This Row],[Unit Cost]]</f>
        <v>0</v>
      </c>
      <c r="AG115" s="207"/>
    </row>
    <row r="116" spans="1:33">
      <c r="A116" t="s">
        <v>78</v>
      </c>
      <c r="B116" t="s">
        <v>163</v>
      </c>
      <c r="C116" t="s">
        <v>72</v>
      </c>
      <c r="D116" t="s">
        <v>38</v>
      </c>
      <c r="E116" s="204">
        <v>27</v>
      </c>
      <c r="F116" s="204">
        <v>383.93</v>
      </c>
      <c r="G116" s="204">
        <f>Table13[[#This Row],[Unit Cost]]*Table13[[#This Row],[Quantity on Hand]]</f>
        <v>10366.11</v>
      </c>
      <c r="H116" s="205">
        <f>SUMIF(Table3[Item],Table13[[#This Row],[Decription]],Table3[Quantity Issued])</f>
        <v>2</v>
      </c>
      <c r="I116" s="206">
        <f>Table13[[#This Row],[January 2025 - Issued Qty]]*Table13[[#This Row],[Unit Cost]]</f>
        <v>767.86</v>
      </c>
      <c r="J116" s="95">
        <f>Table13[[#This Row],[Quantity on Hand]]-Table13[[#This Row],[January 2025 - Issued Qty]]</f>
        <v>25</v>
      </c>
      <c r="K116" s="207">
        <f>Table13[[#This Row],[January 2025 - Balance Qty]]*Table13[[#This Row],[Unit Cost]]</f>
        <v>9598.25</v>
      </c>
      <c r="L116" s="205">
        <v>0</v>
      </c>
      <c r="M116" s="206">
        <v>0</v>
      </c>
      <c r="N116" s="208">
        <f>Table13[[#This Row],[Incoming Unit Cost]]*Table13[[#This Row],[Incoming Qty]]</f>
        <v>0</v>
      </c>
      <c r="O116" s="206">
        <f>SUMIF(Table32[Item],Table13[[#This Row],[Decription]],Table32[Quantity Issued])</f>
        <v>14</v>
      </c>
      <c r="P116" s="206">
        <f>Table13[[#This Row],[Unit Cost]]*Table13[[#This Row],[February 2025 - Issued Qty]]</f>
        <v>5375.02</v>
      </c>
      <c r="Q116" s="95">
        <f>(Table13[[#This Row],[January 2025 - Balance Qty]]-Table13[[#This Row],[February 2025 - Issued Qty]])+Table13[[#This Row],[Incoming Qty]]</f>
        <v>11</v>
      </c>
      <c r="R116" s="207">
        <f>Table13[[#This Row],[February 2025 - Balance Qty]]*Table13[[#This Row],[Unit Cost]]</f>
        <v>4223.2300000000005</v>
      </c>
      <c r="S116" s="205">
        <v>0</v>
      </c>
      <c r="T116" s="206">
        <v>0</v>
      </c>
      <c r="U116" s="208">
        <f>Table13[[#This Row],[Incoming Unit Cost]]*Table13[[#This Row],[Incoming Qty]]</f>
        <v>0</v>
      </c>
      <c r="V116" s="206">
        <f>SUMIF(Table3267[Item],Table13[[#This Row],[Decription]],Table3267[Quantity Issued])</f>
        <v>2</v>
      </c>
      <c r="W116" s="206">
        <f>Table13[[#This Row],[Unit Cost]]*Table13[[#This Row],[March 2025 - Issued Qty]]</f>
        <v>767.86</v>
      </c>
      <c r="X116" s="219">
        <f>(Table13[[#This Row],[February 2025 - Balance Qty]]-Table13[[#This Row],[March 2025 - Issued Qty]])+Table13[[#This Row],[Incoming Qty]]</f>
        <v>9</v>
      </c>
      <c r="Y116" s="207">
        <f>Table13[[#This Row],[March 2025 - Balance Qty]]*Table13[[#This Row],[Unit Cost]]</f>
        <v>3455.37</v>
      </c>
      <c r="Z116" s="205">
        <v>0</v>
      </c>
      <c r="AA116" s="206">
        <v>0</v>
      </c>
      <c r="AB116" s="208">
        <f>Table13[[#This Row],[Incoming Unit Cost]]*Table13[[#This Row],[Incoming Qty]]</f>
        <v>0</v>
      </c>
      <c r="AC116" s="206">
        <f>SUMIF(Table326[Item],Table13[[#This Row],[Decription]],Table326[Quantity Issued])</f>
        <v>3</v>
      </c>
      <c r="AD116" s="206">
        <f>Table13[[#This Row],[Unit Cost]]*Table13[[#This Row],[April 2025 - Issued Qty ]]</f>
        <v>1151.79</v>
      </c>
      <c r="AE116" s="219">
        <f>(Table13[[#This Row],[March 2025 - Balance Qty]]-Table13[[#This Row],[April 2025 - Issued Qty ]])+Table13[[#This Row],[Incoming Qty ]]</f>
        <v>6</v>
      </c>
      <c r="AF116" s="207">
        <f>Table13[[#This Row],[April 2025 - Balance Qty]]*Table13[[#This Row],[Unit Cost]]</f>
        <v>2303.58</v>
      </c>
      <c r="AG116" s="207"/>
    </row>
    <row r="117" spans="1:33">
      <c r="A117" t="s">
        <v>78</v>
      </c>
      <c r="B117" t="s">
        <v>163</v>
      </c>
      <c r="C117" t="s">
        <v>177</v>
      </c>
      <c r="D117" t="s">
        <v>27</v>
      </c>
      <c r="E117" s="204">
        <v>4</v>
      </c>
      <c r="F117" s="204">
        <v>110</v>
      </c>
      <c r="G117" s="204">
        <f>Table13[[#This Row],[Unit Cost]]*Table13[[#This Row],[Quantity on Hand]]</f>
        <v>440</v>
      </c>
      <c r="H117" s="205">
        <f>SUMIF(Table3[Item],Table13[[#This Row],[Decription]],Table3[Quantity Issued])</f>
        <v>2</v>
      </c>
      <c r="I117" s="206">
        <f>Table13[[#This Row],[January 2025 - Issued Qty]]*Table13[[#This Row],[Unit Cost]]</f>
        <v>220</v>
      </c>
      <c r="J117" s="95">
        <f>Table13[[#This Row],[Quantity on Hand]]-Table13[[#This Row],[January 2025 - Issued Qty]]</f>
        <v>2</v>
      </c>
      <c r="K117" s="207">
        <f>Table13[[#This Row],[January 2025 - Balance Qty]]*Table13[[#This Row],[Unit Cost]]</f>
        <v>220</v>
      </c>
      <c r="L117" s="205">
        <v>0</v>
      </c>
      <c r="M117" s="206">
        <v>0</v>
      </c>
      <c r="N117" s="208">
        <f>Table13[[#This Row],[Incoming Unit Cost]]*Table13[[#This Row],[Incoming Qty]]</f>
        <v>0</v>
      </c>
      <c r="O117" s="206">
        <f>SUMIF(Table32[Item],Table13[[#This Row],[Decription]],Table32[Quantity Issued])</f>
        <v>0</v>
      </c>
      <c r="P117" s="206">
        <f>Table13[[#This Row],[Unit Cost]]*Table13[[#This Row],[February 2025 - Issued Qty]]</f>
        <v>0</v>
      </c>
      <c r="Q117" s="95">
        <f>(Table13[[#This Row],[January 2025 - Balance Qty]]-Table13[[#This Row],[February 2025 - Issued Qty]])+Table13[[#This Row],[Incoming Qty]]</f>
        <v>2</v>
      </c>
      <c r="R117" s="207">
        <f>Table13[[#This Row],[February 2025 - Balance Qty]]*Table13[[#This Row],[Unit Cost]]</f>
        <v>220</v>
      </c>
      <c r="S117" s="205">
        <v>0</v>
      </c>
      <c r="T117" s="206">
        <v>0</v>
      </c>
      <c r="U117" s="208">
        <f>Table13[[#This Row],[Incoming Unit Cost]]*Table13[[#This Row],[Incoming Qty]]</f>
        <v>0</v>
      </c>
      <c r="V117" s="206">
        <f>SUMIF(Table3267[Item],Table13[[#This Row],[Decription]],Table3267[Quantity Issued])</f>
        <v>0</v>
      </c>
      <c r="W117" s="206">
        <f>Table13[[#This Row],[Unit Cost]]*Table13[[#This Row],[March 2025 - Issued Qty]]</f>
        <v>0</v>
      </c>
      <c r="X117" s="219">
        <f>(Table13[[#This Row],[February 2025 - Balance Qty]]-Table13[[#This Row],[March 2025 - Issued Qty]])+Table13[[#This Row],[Incoming Qty]]</f>
        <v>2</v>
      </c>
      <c r="Y117" s="207">
        <f>Table13[[#This Row],[March 2025 - Balance Qty]]*Table13[[#This Row],[Unit Cost]]</f>
        <v>220</v>
      </c>
      <c r="Z117" s="205">
        <v>0</v>
      </c>
      <c r="AA117" s="206">
        <v>0</v>
      </c>
      <c r="AB117" s="208">
        <f>Table13[[#This Row],[Incoming Unit Cost]]*Table13[[#This Row],[Incoming Qty]]</f>
        <v>0</v>
      </c>
      <c r="AC117" s="206">
        <f>SUMIF(Table326[Item],Table13[[#This Row],[Decription]],Table326[Quantity Issued])</f>
        <v>0</v>
      </c>
      <c r="AD117" s="206">
        <f>Table13[[#This Row],[Unit Cost]]*Table13[[#This Row],[April 2025 - Issued Qty ]]</f>
        <v>0</v>
      </c>
      <c r="AE117" s="219">
        <f>(Table13[[#This Row],[March 2025 - Balance Qty]]-Table13[[#This Row],[April 2025 - Issued Qty ]])+Table13[[#This Row],[Incoming Qty ]]</f>
        <v>2</v>
      </c>
      <c r="AF117" s="207">
        <f>Table13[[#This Row],[April 2025 - Balance Qty]]*Table13[[#This Row],[Unit Cost]]</f>
        <v>220</v>
      </c>
      <c r="AG117" s="207"/>
    </row>
    <row r="118" spans="1:33">
      <c r="A118" t="s">
        <v>78</v>
      </c>
      <c r="B118" t="s">
        <v>163</v>
      </c>
      <c r="C118" t="s">
        <v>178</v>
      </c>
      <c r="D118" t="s">
        <v>27</v>
      </c>
      <c r="E118" s="204">
        <v>2</v>
      </c>
      <c r="F118" s="204">
        <v>210</v>
      </c>
      <c r="G118" s="204">
        <f>Table13[[#This Row],[Unit Cost]]*Table13[[#This Row],[Quantity on Hand]]</f>
        <v>420</v>
      </c>
      <c r="H118" s="205">
        <f>SUMIF(Table3[Item],Table13[[#This Row],[Decription]],Table3[Quantity Issued])</f>
        <v>2</v>
      </c>
      <c r="I118" s="206">
        <f>Table13[[#This Row],[January 2025 - Issued Qty]]*Table13[[#This Row],[Unit Cost]]</f>
        <v>420</v>
      </c>
      <c r="J118" s="95">
        <f>Table13[[#This Row],[Quantity on Hand]]-Table13[[#This Row],[January 2025 - Issued Qty]]</f>
        <v>0</v>
      </c>
      <c r="K118" s="207">
        <f>Table13[[#This Row],[January 2025 - Balance Qty]]*Table13[[#This Row],[Unit Cost]]</f>
        <v>0</v>
      </c>
      <c r="L118" s="205">
        <v>0</v>
      </c>
      <c r="M118" s="206">
        <v>0</v>
      </c>
      <c r="N118" s="208">
        <f>Table13[[#This Row],[Incoming Unit Cost]]*Table13[[#This Row],[Incoming Qty]]</f>
        <v>0</v>
      </c>
      <c r="O118" s="206">
        <f>SUMIF(Table32[Item],Table13[[#This Row],[Decription]],Table32[Quantity Issued])</f>
        <v>0</v>
      </c>
      <c r="P118" s="206">
        <f>Table13[[#This Row],[Unit Cost]]*Table13[[#This Row],[February 2025 - Issued Qty]]</f>
        <v>0</v>
      </c>
      <c r="Q118" s="95">
        <f>(Table13[[#This Row],[January 2025 - Balance Qty]]-Table13[[#This Row],[February 2025 - Issued Qty]])+Table13[[#This Row],[Incoming Qty]]</f>
        <v>0</v>
      </c>
      <c r="R118" s="207">
        <f>Table13[[#This Row],[February 2025 - Balance Qty]]*Table13[[#This Row],[Unit Cost]]</f>
        <v>0</v>
      </c>
      <c r="S118" s="205">
        <v>0</v>
      </c>
      <c r="T118" s="206">
        <v>0</v>
      </c>
      <c r="U118" s="208">
        <f>Table13[[#This Row],[Incoming Unit Cost]]*Table13[[#This Row],[Incoming Qty]]</f>
        <v>0</v>
      </c>
      <c r="V118" s="206">
        <f>SUMIF(Table3267[Item],Table13[[#This Row],[Decription]],Table3267[Quantity Issued])</f>
        <v>0</v>
      </c>
      <c r="W118" s="206">
        <f>Table13[[#This Row],[Unit Cost]]*Table13[[#This Row],[March 2025 - Issued Qty]]</f>
        <v>0</v>
      </c>
      <c r="X118" s="219">
        <f>(Table13[[#This Row],[February 2025 - Balance Qty]]-Table13[[#This Row],[March 2025 - Issued Qty]])+Table13[[#This Row],[Incoming Qty]]</f>
        <v>0</v>
      </c>
      <c r="Y118" s="207">
        <f>Table13[[#This Row],[March 2025 - Balance Qty]]*Table13[[#This Row],[Unit Cost]]</f>
        <v>0</v>
      </c>
      <c r="Z118" s="205">
        <v>0</v>
      </c>
      <c r="AA118" s="206">
        <v>0</v>
      </c>
      <c r="AB118" s="208">
        <f>Table13[[#This Row],[Incoming Unit Cost]]*Table13[[#This Row],[Incoming Qty]]</f>
        <v>0</v>
      </c>
      <c r="AC118" s="206">
        <f>SUMIF(Table326[Item],Table13[[#This Row],[Decription]],Table326[Quantity Issued])</f>
        <v>0</v>
      </c>
      <c r="AD118" s="206">
        <f>Table13[[#This Row],[Unit Cost]]*Table13[[#This Row],[April 2025 - Issued Qty ]]</f>
        <v>0</v>
      </c>
      <c r="AE118" s="219">
        <f>(Table13[[#This Row],[March 2025 - Balance Qty]]-Table13[[#This Row],[April 2025 - Issued Qty ]])+Table13[[#This Row],[Incoming Qty ]]</f>
        <v>0</v>
      </c>
      <c r="AF118" s="207">
        <f>Table13[[#This Row],[April 2025 - Balance Qty]]*Table13[[#This Row],[Unit Cost]]</f>
        <v>0</v>
      </c>
      <c r="AG118" s="207"/>
    </row>
    <row r="119" spans="1:33">
      <c r="A119" t="s">
        <v>78</v>
      </c>
      <c r="B119" t="s">
        <v>163</v>
      </c>
      <c r="C119" t="s">
        <v>179</v>
      </c>
      <c r="D119" t="s">
        <v>27</v>
      </c>
      <c r="E119" s="204">
        <v>3</v>
      </c>
      <c r="F119" s="204">
        <v>3800</v>
      </c>
      <c r="G119" s="204">
        <f>Table13[[#This Row],[Unit Cost]]*Table13[[#This Row],[Quantity on Hand]]</f>
        <v>11400</v>
      </c>
      <c r="H119" s="205">
        <f>SUMIF(Table3[Item],Table13[[#This Row],[Decription]],Table3[Quantity Issued])</f>
        <v>2</v>
      </c>
      <c r="I119" s="206">
        <f>Table13[[#This Row],[January 2025 - Issued Qty]]*Table13[[#This Row],[Unit Cost]]</f>
        <v>7600</v>
      </c>
      <c r="J119" s="95">
        <f>Table13[[#This Row],[Quantity on Hand]]-Table13[[#This Row],[January 2025 - Issued Qty]]</f>
        <v>1</v>
      </c>
      <c r="K119" s="207">
        <f>Table13[[#This Row],[January 2025 - Balance Qty]]*Table13[[#This Row],[Unit Cost]]</f>
        <v>3800</v>
      </c>
      <c r="L119" s="205">
        <v>0</v>
      </c>
      <c r="M119" s="206">
        <v>0</v>
      </c>
      <c r="N119" s="208">
        <f>Table13[[#This Row],[Incoming Unit Cost]]*Table13[[#This Row],[Incoming Qty]]</f>
        <v>0</v>
      </c>
      <c r="O119" s="206">
        <f>SUMIF(Table32[Item],Table13[[#This Row],[Decription]],Table32[Quantity Issued])</f>
        <v>1</v>
      </c>
      <c r="P119" s="206">
        <f>Table13[[#This Row],[Unit Cost]]*Table13[[#This Row],[February 2025 - Issued Qty]]</f>
        <v>3800</v>
      </c>
      <c r="Q119" s="95">
        <f>(Table13[[#This Row],[January 2025 - Balance Qty]]-Table13[[#This Row],[February 2025 - Issued Qty]])+Table13[[#This Row],[Incoming Qty]]</f>
        <v>0</v>
      </c>
      <c r="R119" s="207">
        <f>Table13[[#This Row],[February 2025 - Balance Qty]]*Table13[[#This Row],[Unit Cost]]</f>
        <v>0</v>
      </c>
      <c r="S119" s="205">
        <v>0</v>
      </c>
      <c r="T119" s="206">
        <v>0</v>
      </c>
      <c r="U119" s="208">
        <f>Table13[[#This Row],[Incoming Unit Cost]]*Table13[[#This Row],[Incoming Qty]]</f>
        <v>0</v>
      </c>
      <c r="V119" s="206">
        <f>SUMIF(Table3267[Item],Table13[[#This Row],[Decription]],Table3267[Quantity Issued])</f>
        <v>0</v>
      </c>
      <c r="W119" s="206">
        <f>Table13[[#This Row],[Unit Cost]]*Table13[[#This Row],[March 2025 - Issued Qty]]</f>
        <v>0</v>
      </c>
      <c r="X119" s="219">
        <f>(Table13[[#This Row],[February 2025 - Balance Qty]]-Table13[[#This Row],[March 2025 - Issued Qty]])+Table13[[#This Row],[Incoming Qty]]</f>
        <v>0</v>
      </c>
      <c r="Y119" s="207">
        <f>Table13[[#This Row],[March 2025 - Balance Qty]]*Table13[[#This Row],[Unit Cost]]</f>
        <v>0</v>
      </c>
      <c r="Z119" s="205">
        <v>0</v>
      </c>
      <c r="AA119" s="206">
        <v>0</v>
      </c>
      <c r="AB119" s="208">
        <f>Table13[[#This Row],[Incoming Unit Cost]]*Table13[[#This Row],[Incoming Qty]]</f>
        <v>0</v>
      </c>
      <c r="AC119" s="206">
        <f>SUMIF(Table326[Item],Table13[[#This Row],[Decription]],Table326[Quantity Issued])</f>
        <v>0</v>
      </c>
      <c r="AD119" s="206">
        <f>Table13[[#This Row],[Unit Cost]]*Table13[[#This Row],[April 2025 - Issued Qty ]]</f>
        <v>0</v>
      </c>
      <c r="AE119" s="219">
        <f>(Table13[[#This Row],[March 2025 - Balance Qty]]-Table13[[#This Row],[April 2025 - Issued Qty ]])+Table13[[#This Row],[Incoming Qty ]]</f>
        <v>0</v>
      </c>
      <c r="AF119" s="207">
        <f>Table13[[#This Row],[April 2025 - Balance Qty]]*Table13[[#This Row],[Unit Cost]]</f>
        <v>0</v>
      </c>
      <c r="AG119" s="207"/>
    </row>
    <row r="120" spans="1:33">
      <c r="A120" t="s">
        <v>78</v>
      </c>
      <c r="B120" t="s">
        <v>163</v>
      </c>
      <c r="C120" t="s">
        <v>180</v>
      </c>
      <c r="D120" t="s">
        <v>27</v>
      </c>
      <c r="E120" s="204">
        <v>32</v>
      </c>
      <c r="F120" s="204">
        <v>18.53</v>
      </c>
      <c r="G120" s="204">
        <f>Table13[[#This Row],[Unit Cost]]*Table13[[#This Row],[Quantity on Hand]]</f>
        <v>592.96</v>
      </c>
      <c r="H120" s="205">
        <f>SUMIF(Table3[Item],Table13[[#This Row],[Decription]],Table3[Quantity Issued])</f>
        <v>0</v>
      </c>
      <c r="I120" s="206">
        <f>Table13[[#This Row],[January 2025 - Issued Qty]]*Table13[[#This Row],[Unit Cost]]</f>
        <v>0</v>
      </c>
      <c r="J120" s="95">
        <f>Table13[[#This Row],[Quantity on Hand]]-Table13[[#This Row],[January 2025 - Issued Qty]]</f>
        <v>32</v>
      </c>
      <c r="K120" s="207">
        <f>Table13[[#This Row],[January 2025 - Balance Qty]]*Table13[[#This Row],[Unit Cost]]</f>
        <v>592.96</v>
      </c>
      <c r="L120" s="205">
        <v>0</v>
      </c>
      <c r="M120" s="206">
        <v>0</v>
      </c>
      <c r="N120" s="208">
        <f>Table13[[#This Row],[Incoming Unit Cost]]*Table13[[#This Row],[Incoming Qty]]</f>
        <v>0</v>
      </c>
      <c r="O120" s="206">
        <f>SUMIF(Table32[Item],Table13[[#This Row],[Decription]],Table32[Quantity Issued])</f>
        <v>5</v>
      </c>
      <c r="P120" s="206">
        <f>Table13[[#This Row],[Unit Cost]]*Table13[[#This Row],[February 2025 - Issued Qty]]</f>
        <v>92.65</v>
      </c>
      <c r="Q120" s="95">
        <f>(Table13[[#This Row],[January 2025 - Balance Qty]]-Table13[[#This Row],[February 2025 - Issued Qty]])+Table13[[#This Row],[Incoming Qty]]</f>
        <v>27</v>
      </c>
      <c r="R120" s="207">
        <f>Table13[[#This Row],[February 2025 - Balance Qty]]*Table13[[#This Row],[Unit Cost]]</f>
        <v>500.31000000000006</v>
      </c>
      <c r="S120" s="205">
        <v>0</v>
      </c>
      <c r="T120" s="206">
        <v>0</v>
      </c>
      <c r="U120" s="208">
        <f>Table13[[#This Row],[Incoming Unit Cost]]*Table13[[#This Row],[Incoming Qty]]</f>
        <v>0</v>
      </c>
      <c r="V120" s="206">
        <f>SUMIF(Table3267[Item],Table13[[#This Row],[Decription]],Table3267[Quantity Issued])</f>
        <v>14</v>
      </c>
      <c r="W120" s="206">
        <f>Table13[[#This Row],[Unit Cost]]*Table13[[#This Row],[March 2025 - Issued Qty]]</f>
        <v>259.42</v>
      </c>
      <c r="X120" s="219">
        <f>(Table13[[#This Row],[February 2025 - Balance Qty]]-Table13[[#This Row],[March 2025 - Issued Qty]])+Table13[[#This Row],[Incoming Qty]]</f>
        <v>13</v>
      </c>
      <c r="Y120" s="207">
        <f>Table13[[#This Row],[March 2025 - Balance Qty]]*Table13[[#This Row],[Unit Cost]]</f>
        <v>240.89000000000001</v>
      </c>
      <c r="Z120" s="205">
        <v>0</v>
      </c>
      <c r="AA120" s="206">
        <v>0</v>
      </c>
      <c r="AB120" s="208">
        <f>Table13[[#This Row],[Incoming Unit Cost]]*Table13[[#This Row],[Incoming Qty]]</f>
        <v>0</v>
      </c>
      <c r="AC120" s="206">
        <f>SUMIF(Table326[Item],Table13[[#This Row],[Decription]],Table326[Quantity Issued])</f>
        <v>13</v>
      </c>
      <c r="AD120" s="206">
        <f>Table13[[#This Row],[Unit Cost]]*Table13[[#This Row],[April 2025 - Issued Qty ]]</f>
        <v>240.89000000000001</v>
      </c>
      <c r="AE120" s="219">
        <f>(Table13[[#This Row],[March 2025 - Balance Qty]]-Table13[[#This Row],[April 2025 - Issued Qty ]])+Table13[[#This Row],[Incoming Qty ]]</f>
        <v>0</v>
      </c>
      <c r="AF120" s="207">
        <f>Table13[[#This Row],[April 2025 - Balance Qty]]*Table13[[#This Row],[Unit Cost]]</f>
        <v>0</v>
      </c>
      <c r="AG120" s="207"/>
    </row>
    <row r="121" spans="1:33">
      <c r="A121" t="s">
        <v>78</v>
      </c>
      <c r="B121" t="s">
        <v>163</v>
      </c>
      <c r="C121" t="s">
        <v>181</v>
      </c>
      <c r="D121" t="s">
        <v>34</v>
      </c>
      <c r="E121" s="204">
        <v>9</v>
      </c>
      <c r="F121" s="204">
        <v>310</v>
      </c>
      <c r="G121" s="204">
        <f>Table13[[#This Row],[Unit Cost]]*Table13[[#This Row],[Quantity on Hand]]</f>
        <v>2790</v>
      </c>
      <c r="H121" s="205">
        <f>SUMIF(Table3[Item],Table13[[#This Row],[Decription]],Table3[Quantity Issued])</f>
        <v>0</v>
      </c>
      <c r="I121" s="206">
        <f>Table13[[#This Row],[January 2025 - Issued Qty]]*Table13[[#This Row],[Unit Cost]]</f>
        <v>0</v>
      </c>
      <c r="J121" s="95">
        <f>Table13[[#This Row],[Quantity on Hand]]-Table13[[#This Row],[January 2025 - Issued Qty]]</f>
        <v>9</v>
      </c>
      <c r="K121" s="207">
        <f>Table13[[#This Row],[January 2025 - Balance Qty]]*Table13[[#This Row],[Unit Cost]]</f>
        <v>2790</v>
      </c>
      <c r="L121" s="205">
        <v>0</v>
      </c>
      <c r="M121" s="206">
        <v>0</v>
      </c>
      <c r="N121" s="208">
        <f>Table13[[#This Row],[Incoming Unit Cost]]*Table13[[#This Row],[Incoming Qty]]</f>
        <v>0</v>
      </c>
      <c r="O121" s="206">
        <f>SUMIF(Table32[Item],Table13[[#This Row],[Decription]],Table32[Quantity Issued])</f>
        <v>4</v>
      </c>
      <c r="P121" s="206">
        <f>Table13[[#This Row],[Unit Cost]]*Table13[[#This Row],[February 2025 - Issued Qty]]</f>
        <v>1240</v>
      </c>
      <c r="Q121" s="95">
        <f>(Table13[[#This Row],[January 2025 - Balance Qty]]-Table13[[#This Row],[February 2025 - Issued Qty]])+Table13[[#This Row],[Incoming Qty]]</f>
        <v>5</v>
      </c>
      <c r="R121" s="207">
        <f>Table13[[#This Row],[February 2025 - Balance Qty]]*Table13[[#This Row],[Unit Cost]]</f>
        <v>1550</v>
      </c>
      <c r="S121" s="205">
        <v>0</v>
      </c>
      <c r="T121" s="206">
        <v>0</v>
      </c>
      <c r="U121" s="208">
        <f>Table13[[#This Row],[Incoming Unit Cost]]*Table13[[#This Row],[Incoming Qty]]</f>
        <v>0</v>
      </c>
      <c r="V121" s="206">
        <f>SUMIF(Table3267[Item],Table13[[#This Row],[Decription]],Table3267[Quantity Issued])</f>
        <v>0</v>
      </c>
      <c r="W121" s="206">
        <f>Table13[[#This Row],[Unit Cost]]*Table13[[#This Row],[March 2025 - Issued Qty]]</f>
        <v>0</v>
      </c>
      <c r="X121" s="219">
        <f>(Table13[[#This Row],[February 2025 - Balance Qty]]-Table13[[#This Row],[March 2025 - Issued Qty]])+Table13[[#This Row],[Incoming Qty]]</f>
        <v>5</v>
      </c>
      <c r="Y121" s="207">
        <f>Table13[[#This Row],[March 2025 - Balance Qty]]*Table13[[#This Row],[Unit Cost]]</f>
        <v>1550</v>
      </c>
      <c r="Z121" s="205">
        <v>0</v>
      </c>
      <c r="AA121" s="206">
        <v>0</v>
      </c>
      <c r="AB121" s="208">
        <f>Table13[[#This Row],[Incoming Unit Cost]]*Table13[[#This Row],[Incoming Qty]]</f>
        <v>0</v>
      </c>
      <c r="AC121" s="206">
        <f>SUMIF(Table326[Item],Table13[[#This Row],[Decription]],Table326[Quantity Issued])</f>
        <v>0</v>
      </c>
      <c r="AD121" s="206">
        <f>Table13[[#This Row],[Unit Cost]]*Table13[[#This Row],[April 2025 - Issued Qty ]]</f>
        <v>0</v>
      </c>
      <c r="AE121" s="219">
        <f>(Table13[[#This Row],[March 2025 - Balance Qty]]-Table13[[#This Row],[April 2025 - Issued Qty ]])+Table13[[#This Row],[Incoming Qty ]]</f>
        <v>5</v>
      </c>
      <c r="AF121" s="207">
        <f>Table13[[#This Row],[April 2025 - Balance Qty]]*Table13[[#This Row],[Unit Cost]]</f>
        <v>1550</v>
      </c>
      <c r="AG121" s="207"/>
    </row>
    <row r="122" spans="1:33">
      <c r="A122" t="s">
        <v>78</v>
      </c>
      <c r="B122" t="s">
        <v>163</v>
      </c>
      <c r="C122" t="s">
        <v>182</v>
      </c>
      <c r="D122" t="s">
        <v>27</v>
      </c>
      <c r="E122" s="204">
        <v>1</v>
      </c>
      <c r="F122" s="204">
        <v>165</v>
      </c>
      <c r="G122" s="204">
        <f>Table13[[#This Row],[Unit Cost]]*Table13[[#This Row],[Quantity on Hand]]</f>
        <v>165</v>
      </c>
      <c r="H122" s="205">
        <f>SUMIF(Table3[Item],Table13[[#This Row],[Decription]],Table3[Quantity Issued])</f>
        <v>1</v>
      </c>
      <c r="I122" s="206">
        <f>Table13[[#This Row],[January 2025 - Issued Qty]]*Table13[[#This Row],[Unit Cost]]</f>
        <v>165</v>
      </c>
      <c r="J122" s="95">
        <f>Table13[[#This Row],[Quantity on Hand]]-Table13[[#This Row],[January 2025 - Issued Qty]]</f>
        <v>0</v>
      </c>
      <c r="K122" s="207">
        <f>Table13[[#This Row],[January 2025 - Balance Qty]]*Table13[[#This Row],[Unit Cost]]</f>
        <v>0</v>
      </c>
      <c r="L122" s="205">
        <v>0</v>
      </c>
      <c r="M122" s="206">
        <v>0</v>
      </c>
      <c r="N122" s="208">
        <f>Table13[[#This Row],[Incoming Unit Cost]]*Table13[[#This Row],[Incoming Qty]]</f>
        <v>0</v>
      </c>
      <c r="O122" s="206">
        <f>SUMIF(Table32[Item],Table13[[#This Row],[Decription]],Table32[Quantity Issued])</f>
        <v>0</v>
      </c>
      <c r="P122" s="206">
        <f>Table13[[#This Row],[Unit Cost]]*Table13[[#This Row],[February 2025 - Issued Qty]]</f>
        <v>0</v>
      </c>
      <c r="Q122" s="95">
        <f>(Table13[[#This Row],[January 2025 - Balance Qty]]-Table13[[#This Row],[February 2025 - Issued Qty]])+Table13[[#This Row],[Incoming Qty]]</f>
        <v>0</v>
      </c>
      <c r="R122" s="207">
        <f>Table13[[#This Row],[February 2025 - Balance Qty]]*Table13[[#This Row],[Unit Cost]]</f>
        <v>0</v>
      </c>
      <c r="S122" s="205">
        <v>0</v>
      </c>
      <c r="T122" s="206">
        <v>0</v>
      </c>
      <c r="U122" s="208">
        <f>Table13[[#This Row],[Incoming Unit Cost]]*Table13[[#This Row],[Incoming Qty]]</f>
        <v>0</v>
      </c>
      <c r="V122" s="206">
        <f>SUMIF(Table3267[Item],Table13[[#This Row],[Decription]],Table3267[Quantity Issued])</f>
        <v>0</v>
      </c>
      <c r="W122" s="206">
        <f>Table13[[#This Row],[Unit Cost]]*Table13[[#This Row],[March 2025 - Issued Qty]]</f>
        <v>0</v>
      </c>
      <c r="X122" s="219">
        <f>(Table13[[#This Row],[February 2025 - Balance Qty]]-Table13[[#This Row],[March 2025 - Issued Qty]])+Table13[[#This Row],[Incoming Qty]]</f>
        <v>0</v>
      </c>
      <c r="Y122" s="207">
        <f>Table13[[#This Row],[March 2025 - Balance Qty]]*Table13[[#This Row],[Unit Cost]]</f>
        <v>0</v>
      </c>
      <c r="Z122" s="205">
        <v>0</v>
      </c>
      <c r="AA122" s="206">
        <v>0</v>
      </c>
      <c r="AB122" s="208">
        <f>Table13[[#This Row],[Incoming Unit Cost]]*Table13[[#This Row],[Incoming Qty]]</f>
        <v>0</v>
      </c>
      <c r="AC122" s="206">
        <f>SUMIF(Table326[Item],Table13[[#This Row],[Decription]],Table326[Quantity Issued])</f>
        <v>0</v>
      </c>
      <c r="AD122" s="206">
        <f>Table13[[#This Row],[Unit Cost]]*Table13[[#This Row],[April 2025 - Issued Qty ]]</f>
        <v>0</v>
      </c>
      <c r="AE122" s="219">
        <f>(Table13[[#This Row],[March 2025 - Balance Qty]]-Table13[[#This Row],[April 2025 - Issued Qty ]])+Table13[[#This Row],[Incoming Qty ]]</f>
        <v>0</v>
      </c>
      <c r="AF122" s="207">
        <f>Table13[[#This Row],[April 2025 - Balance Qty]]*Table13[[#This Row],[Unit Cost]]</f>
        <v>0</v>
      </c>
      <c r="AG122" s="207"/>
    </row>
    <row r="123" spans="1:33">
      <c r="A123" t="s">
        <v>78</v>
      </c>
      <c r="B123" t="s">
        <v>163</v>
      </c>
      <c r="C123" t="s">
        <v>183</v>
      </c>
      <c r="D123" t="s">
        <v>38</v>
      </c>
      <c r="E123" s="204">
        <v>24</v>
      </c>
      <c r="F123" s="204">
        <v>24.93</v>
      </c>
      <c r="G123" s="204">
        <f>Table13[[#This Row],[Unit Cost]]*Table13[[#This Row],[Quantity on Hand]]</f>
        <v>598.31999999999994</v>
      </c>
      <c r="H123" s="205">
        <f>SUMIF(Table3[Item],Table13[[#This Row],[Decription]],Table3[Quantity Issued])</f>
        <v>0</v>
      </c>
      <c r="I123" s="206">
        <f>Table13[[#This Row],[January 2025 - Issued Qty]]*Table13[[#This Row],[Unit Cost]]</f>
        <v>0</v>
      </c>
      <c r="J123" s="95">
        <f>Table13[[#This Row],[Quantity on Hand]]-Table13[[#This Row],[January 2025 - Issued Qty]]</f>
        <v>24</v>
      </c>
      <c r="K123" s="207">
        <f>Table13[[#This Row],[January 2025 - Balance Qty]]*Table13[[#This Row],[Unit Cost]]</f>
        <v>598.31999999999994</v>
      </c>
      <c r="L123" s="205">
        <v>0</v>
      </c>
      <c r="M123" s="206">
        <v>0</v>
      </c>
      <c r="N123" s="208">
        <f>Table13[[#This Row],[Incoming Unit Cost]]*Table13[[#This Row],[Incoming Qty]]</f>
        <v>0</v>
      </c>
      <c r="O123" s="206">
        <f>SUMIF(Table32[Item],Table13[[#This Row],[Decription]],Table32[Quantity Issued])</f>
        <v>0</v>
      </c>
      <c r="P123" s="206">
        <f>Table13[[#This Row],[Unit Cost]]*Table13[[#This Row],[February 2025 - Issued Qty]]</f>
        <v>0</v>
      </c>
      <c r="Q123" s="95">
        <f>(Table13[[#This Row],[January 2025 - Balance Qty]]-Table13[[#This Row],[February 2025 - Issued Qty]])+Table13[[#This Row],[Incoming Qty]]</f>
        <v>24</v>
      </c>
      <c r="R123" s="207">
        <f>Table13[[#This Row],[February 2025 - Balance Qty]]*Table13[[#This Row],[Unit Cost]]</f>
        <v>598.31999999999994</v>
      </c>
      <c r="S123" s="205">
        <v>0</v>
      </c>
      <c r="T123" s="206">
        <v>0</v>
      </c>
      <c r="U123" s="208">
        <f>Table13[[#This Row],[Incoming Unit Cost]]*Table13[[#This Row],[Incoming Qty]]</f>
        <v>0</v>
      </c>
      <c r="V123" s="206">
        <f>SUMIF(Table3267[Item],Table13[[#This Row],[Decription]],Table3267[Quantity Issued])</f>
        <v>16</v>
      </c>
      <c r="W123" s="206">
        <f>Table13[[#This Row],[Unit Cost]]*Table13[[#This Row],[March 2025 - Issued Qty]]</f>
        <v>398.88</v>
      </c>
      <c r="X123" s="219">
        <f>(Table13[[#This Row],[February 2025 - Balance Qty]]-Table13[[#This Row],[March 2025 - Issued Qty]])+Table13[[#This Row],[Incoming Qty]]</f>
        <v>8</v>
      </c>
      <c r="Y123" s="207">
        <f>Table13[[#This Row],[March 2025 - Balance Qty]]*Table13[[#This Row],[Unit Cost]]</f>
        <v>199.44</v>
      </c>
      <c r="Z123" s="205">
        <v>0</v>
      </c>
      <c r="AA123" s="206">
        <v>0</v>
      </c>
      <c r="AB123" s="208">
        <f>Table13[[#This Row],[Incoming Unit Cost]]*Table13[[#This Row],[Incoming Qty]]</f>
        <v>0</v>
      </c>
      <c r="AC123" s="206">
        <f>SUMIF(Table326[Item],Table13[[#This Row],[Decription]],Table326[Quantity Issued])</f>
        <v>8</v>
      </c>
      <c r="AD123" s="206">
        <f>Table13[[#This Row],[Unit Cost]]*Table13[[#This Row],[April 2025 - Issued Qty ]]</f>
        <v>199.44</v>
      </c>
      <c r="AE123" s="219">
        <f>(Table13[[#This Row],[March 2025 - Balance Qty]]-Table13[[#This Row],[April 2025 - Issued Qty ]])+Table13[[#This Row],[Incoming Qty ]]</f>
        <v>0</v>
      </c>
      <c r="AF123" s="207">
        <f>Table13[[#This Row],[April 2025 - Balance Qty]]*Table13[[#This Row],[Unit Cost]]</f>
        <v>0</v>
      </c>
      <c r="AG123" s="207"/>
    </row>
    <row r="124" spans="1:33">
      <c r="A124" t="s">
        <v>78</v>
      </c>
      <c r="B124" t="s">
        <v>163</v>
      </c>
      <c r="C124" t="s">
        <v>73</v>
      </c>
      <c r="D124" t="s">
        <v>38</v>
      </c>
      <c r="E124" s="204">
        <v>50</v>
      </c>
      <c r="F124" s="204">
        <v>25</v>
      </c>
      <c r="G124" s="204">
        <f>Table13[[#This Row],[Unit Cost]]*Table13[[#This Row],[Quantity on Hand]]</f>
        <v>1250</v>
      </c>
      <c r="H124" s="205">
        <f>SUMIF(Table3[Item],Table13[[#This Row],[Decription]],Table3[Quantity Issued])</f>
        <v>2</v>
      </c>
      <c r="I124" s="206">
        <f>Table13[[#This Row],[January 2025 - Issued Qty]]*Table13[[#This Row],[Unit Cost]]</f>
        <v>50</v>
      </c>
      <c r="J124" s="95">
        <f>Table13[[#This Row],[Quantity on Hand]]-Table13[[#This Row],[January 2025 - Issued Qty]]</f>
        <v>48</v>
      </c>
      <c r="K124" s="207">
        <f>Table13[[#This Row],[January 2025 - Balance Qty]]*Table13[[#This Row],[Unit Cost]]</f>
        <v>1200</v>
      </c>
      <c r="L124" s="205">
        <v>0</v>
      </c>
      <c r="M124" s="206">
        <v>0</v>
      </c>
      <c r="N124" s="208">
        <f>Table13[[#This Row],[Incoming Unit Cost]]*Table13[[#This Row],[Incoming Qty]]</f>
        <v>0</v>
      </c>
      <c r="O124" s="206">
        <f>SUMIF(Table32[Item],Table13[[#This Row],[Decription]],Table32[Quantity Issued])</f>
        <v>31</v>
      </c>
      <c r="P124" s="206">
        <f>Table13[[#This Row],[Unit Cost]]*Table13[[#This Row],[February 2025 - Issued Qty]]</f>
        <v>775</v>
      </c>
      <c r="Q124" s="95">
        <f>(Table13[[#This Row],[January 2025 - Balance Qty]]-Table13[[#This Row],[February 2025 - Issued Qty]])+Table13[[#This Row],[Incoming Qty]]</f>
        <v>17</v>
      </c>
      <c r="R124" s="207">
        <f>Table13[[#This Row],[February 2025 - Balance Qty]]*Table13[[#This Row],[Unit Cost]]</f>
        <v>425</v>
      </c>
      <c r="S124" s="205">
        <v>0</v>
      </c>
      <c r="T124" s="206">
        <v>0</v>
      </c>
      <c r="U124" s="208">
        <f>Table13[[#This Row],[Incoming Unit Cost]]*Table13[[#This Row],[Incoming Qty]]</f>
        <v>0</v>
      </c>
      <c r="V124" s="206">
        <f>SUMIF(Table3267[Item],Table13[[#This Row],[Decription]],Table3267[Quantity Issued])</f>
        <v>0</v>
      </c>
      <c r="W124" s="206">
        <f>Table13[[#This Row],[Unit Cost]]*Table13[[#This Row],[March 2025 - Issued Qty]]</f>
        <v>0</v>
      </c>
      <c r="X124" s="219">
        <f>(Table13[[#This Row],[February 2025 - Balance Qty]]-Table13[[#This Row],[March 2025 - Issued Qty]])+Table13[[#This Row],[Incoming Qty]]</f>
        <v>17</v>
      </c>
      <c r="Y124" s="207">
        <f>Table13[[#This Row],[March 2025 - Balance Qty]]*Table13[[#This Row],[Unit Cost]]</f>
        <v>425</v>
      </c>
      <c r="Z124" s="205">
        <v>0</v>
      </c>
      <c r="AA124" s="206">
        <v>0</v>
      </c>
      <c r="AB124" s="208">
        <f>Table13[[#This Row],[Incoming Unit Cost]]*Table13[[#This Row],[Incoming Qty]]</f>
        <v>0</v>
      </c>
      <c r="AC124" s="206">
        <f>SUMIF(Table326[Item],Table13[[#This Row],[Decription]],Table326[Quantity Issued])</f>
        <v>17</v>
      </c>
      <c r="AD124" s="206">
        <f>Table13[[#This Row],[Unit Cost]]*Table13[[#This Row],[April 2025 - Issued Qty ]]</f>
        <v>425</v>
      </c>
      <c r="AE124" s="219">
        <f>(Table13[[#This Row],[March 2025 - Balance Qty]]-Table13[[#This Row],[April 2025 - Issued Qty ]])+Table13[[#This Row],[Incoming Qty ]]</f>
        <v>0</v>
      </c>
      <c r="AF124" s="207">
        <f>Table13[[#This Row],[April 2025 - Balance Qty]]*Table13[[#This Row],[Unit Cost]]</f>
        <v>0</v>
      </c>
      <c r="AG124" s="207"/>
    </row>
    <row r="125" spans="1:33">
      <c r="A125" t="s">
        <v>78</v>
      </c>
      <c r="B125" t="s">
        <v>163</v>
      </c>
      <c r="C125" t="s">
        <v>184</v>
      </c>
      <c r="D125" t="s">
        <v>27</v>
      </c>
      <c r="E125" s="204">
        <v>335</v>
      </c>
      <c r="F125" s="204">
        <v>2.8250149200000001</v>
      </c>
      <c r="G125" s="204">
        <f>Table13[[#This Row],[Unit Cost]]*Table13[[#This Row],[Quantity on Hand]]</f>
        <v>946.37999820000005</v>
      </c>
      <c r="H125" s="205">
        <f>SUMIF(Table3[Item],Table13[[#This Row],[Decription]],Table3[Quantity Issued])</f>
        <v>50</v>
      </c>
      <c r="I125" s="206">
        <f>Table13[[#This Row],[January 2025 - Issued Qty]]*Table13[[#This Row],[Unit Cost]]</f>
        <v>141.25074599999999</v>
      </c>
      <c r="J125" s="95">
        <f>Table13[[#This Row],[Quantity on Hand]]-Table13[[#This Row],[January 2025 - Issued Qty]]</f>
        <v>285</v>
      </c>
      <c r="K125" s="207">
        <f>Table13[[#This Row],[January 2025 - Balance Qty]]*Table13[[#This Row],[Unit Cost]]</f>
        <v>805.1292522</v>
      </c>
      <c r="L125" s="205">
        <v>0</v>
      </c>
      <c r="M125" s="206">
        <v>0</v>
      </c>
      <c r="N125" s="208">
        <f>Table13[[#This Row],[Incoming Unit Cost]]*Table13[[#This Row],[Incoming Qty]]</f>
        <v>0</v>
      </c>
      <c r="O125" s="206">
        <f>SUMIF(Table32[Item],Table13[[#This Row],[Decription]],Table32[Quantity Issued])</f>
        <v>50</v>
      </c>
      <c r="P125" s="206">
        <f>Table13[[#This Row],[Unit Cost]]*Table13[[#This Row],[February 2025 - Issued Qty]]</f>
        <v>141.25074599999999</v>
      </c>
      <c r="Q125" s="95">
        <f>(Table13[[#This Row],[January 2025 - Balance Qty]]-Table13[[#This Row],[February 2025 - Issued Qty]])+Table13[[#This Row],[Incoming Qty]]</f>
        <v>235</v>
      </c>
      <c r="R125" s="207">
        <f>Table13[[#This Row],[February 2025 - Balance Qty]]*Table13[[#This Row],[Unit Cost]]</f>
        <v>663.87850620000006</v>
      </c>
      <c r="S125" s="205">
        <v>0</v>
      </c>
      <c r="T125" s="206">
        <v>0</v>
      </c>
      <c r="U125" s="208">
        <f>Table13[[#This Row],[Incoming Unit Cost]]*Table13[[#This Row],[Incoming Qty]]</f>
        <v>0</v>
      </c>
      <c r="V125" s="206">
        <f>SUMIF(Table3267[Item],Table13[[#This Row],[Decription]],Table3267[Quantity Issued])</f>
        <v>18</v>
      </c>
      <c r="W125" s="206">
        <f>Table13[[#This Row],[Unit Cost]]*Table13[[#This Row],[March 2025 - Issued Qty]]</f>
        <v>50.850268560000004</v>
      </c>
      <c r="X125" s="219">
        <f>(Table13[[#This Row],[February 2025 - Balance Qty]]-Table13[[#This Row],[March 2025 - Issued Qty]])+Table13[[#This Row],[Incoming Qty]]</f>
        <v>217</v>
      </c>
      <c r="Y125" s="207">
        <f>Table13[[#This Row],[March 2025 - Balance Qty]]*Table13[[#This Row],[Unit Cost]]</f>
        <v>613.02823764000004</v>
      </c>
      <c r="Z125" s="205">
        <v>0</v>
      </c>
      <c r="AA125" s="206">
        <v>0</v>
      </c>
      <c r="AB125" s="208">
        <f>Table13[[#This Row],[Incoming Unit Cost]]*Table13[[#This Row],[Incoming Qty]]</f>
        <v>0</v>
      </c>
      <c r="AC125" s="206">
        <f>SUMIF(Table326[Item],Table13[[#This Row],[Decription]],Table326[Quantity Issued])</f>
        <v>9</v>
      </c>
      <c r="AD125" s="206">
        <f>Table13[[#This Row],[Unit Cost]]*Table13[[#This Row],[April 2025 - Issued Qty ]]</f>
        <v>25.425134280000002</v>
      </c>
      <c r="AE125" s="219">
        <f>(Table13[[#This Row],[March 2025 - Balance Qty]]-Table13[[#This Row],[April 2025 - Issued Qty ]])+Table13[[#This Row],[Incoming Qty ]]</f>
        <v>208</v>
      </c>
      <c r="AF125" s="207">
        <f>Table13[[#This Row],[April 2025 - Balance Qty]]*Table13[[#This Row],[Unit Cost]]</f>
        <v>587.60310335999998</v>
      </c>
      <c r="AG125" s="207"/>
    </row>
    <row r="126" spans="1:33">
      <c r="A126" t="s">
        <v>78</v>
      </c>
      <c r="B126" t="s">
        <v>163</v>
      </c>
      <c r="C126" t="s">
        <v>185</v>
      </c>
      <c r="D126" t="s">
        <v>34</v>
      </c>
      <c r="E126" s="204">
        <v>1</v>
      </c>
      <c r="F126" s="204">
        <v>600</v>
      </c>
      <c r="G126" s="204">
        <f>Table13[[#This Row],[Unit Cost]]*Table13[[#This Row],[Quantity on Hand]]</f>
        <v>600</v>
      </c>
      <c r="H126" s="205">
        <f>SUMIF(Table3[Item],Table13[[#This Row],[Decription]],Table3[Quantity Issued])</f>
        <v>0</v>
      </c>
      <c r="I126" s="206">
        <f>Table13[[#This Row],[January 2025 - Issued Qty]]*Table13[[#This Row],[Unit Cost]]</f>
        <v>0</v>
      </c>
      <c r="J126" s="95">
        <f>Table13[[#This Row],[Quantity on Hand]]-Table13[[#This Row],[January 2025 - Issued Qty]]</f>
        <v>1</v>
      </c>
      <c r="K126" s="207">
        <f>Table13[[#This Row],[January 2025 - Balance Qty]]*Table13[[#This Row],[Unit Cost]]</f>
        <v>600</v>
      </c>
      <c r="L126" s="205">
        <v>0</v>
      </c>
      <c r="M126" s="206">
        <v>0</v>
      </c>
      <c r="N126" s="208">
        <f>Table13[[#This Row],[Incoming Unit Cost]]*Table13[[#This Row],[Incoming Qty]]</f>
        <v>0</v>
      </c>
      <c r="O126" s="206">
        <f>SUMIF(Table32[Item],Table13[[#This Row],[Decription]],Table32[Quantity Issued])</f>
        <v>0</v>
      </c>
      <c r="P126" s="206">
        <f>Table13[[#This Row],[Unit Cost]]*Table13[[#This Row],[February 2025 - Issued Qty]]</f>
        <v>0</v>
      </c>
      <c r="Q126" s="95">
        <f>(Table13[[#This Row],[January 2025 - Balance Qty]]-Table13[[#This Row],[February 2025 - Issued Qty]])+Table13[[#This Row],[Incoming Qty]]</f>
        <v>1</v>
      </c>
      <c r="R126" s="207">
        <f>Table13[[#This Row],[February 2025 - Balance Qty]]*Table13[[#This Row],[Unit Cost]]</f>
        <v>600</v>
      </c>
      <c r="S126" s="205">
        <v>0</v>
      </c>
      <c r="T126" s="206">
        <v>0</v>
      </c>
      <c r="U126" s="208">
        <f>Table13[[#This Row],[Incoming Unit Cost]]*Table13[[#This Row],[Incoming Qty]]</f>
        <v>0</v>
      </c>
      <c r="V126" s="206">
        <f>SUMIF(Table3267[Item],Table13[[#This Row],[Decription]],Table3267[Quantity Issued])</f>
        <v>1</v>
      </c>
      <c r="W126" s="206">
        <f>Table13[[#This Row],[Unit Cost]]*Table13[[#This Row],[March 2025 - Issued Qty]]</f>
        <v>600</v>
      </c>
      <c r="X126" s="219">
        <f>(Table13[[#This Row],[February 2025 - Balance Qty]]-Table13[[#This Row],[March 2025 - Issued Qty]])+Table13[[#This Row],[Incoming Qty]]</f>
        <v>0</v>
      </c>
      <c r="Y126" s="207">
        <f>Table13[[#This Row],[March 2025 - Balance Qty]]*Table13[[#This Row],[Unit Cost]]</f>
        <v>0</v>
      </c>
      <c r="Z126" s="205">
        <v>0</v>
      </c>
      <c r="AA126" s="206">
        <v>0</v>
      </c>
      <c r="AB126" s="208">
        <f>Table13[[#This Row],[Incoming Unit Cost]]*Table13[[#This Row],[Incoming Qty]]</f>
        <v>0</v>
      </c>
      <c r="AC126" s="206">
        <f>SUMIF(Table326[Item],Table13[[#This Row],[Decription]],Table326[Quantity Issued])</f>
        <v>0</v>
      </c>
      <c r="AD126" s="206">
        <f>Table13[[#This Row],[Unit Cost]]*Table13[[#This Row],[April 2025 - Issued Qty ]]</f>
        <v>0</v>
      </c>
      <c r="AE126" s="219">
        <f>(Table13[[#This Row],[March 2025 - Balance Qty]]-Table13[[#This Row],[April 2025 - Issued Qty ]])+Table13[[#This Row],[Incoming Qty ]]</f>
        <v>0</v>
      </c>
      <c r="AF126" s="207">
        <f>Table13[[#This Row],[April 2025 - Balance Qty]]*Table13[[#This Row],[Unit Cost]]</f>
        <v>0</v>
      </c>
      <c r="AG126" s="207"/>
    </row>
    <row r="127" spans="1:33">
      <c r="A127" t="s">
        <v>78</v>
      </c>
      <c r="B127" t="s">
        <v>163</v>
      </c>
      <c r="C127" t="s">
        <v>70</v>
      </c>
      <c r="D127" t="s">
        <v>27</v>
      </c>
      <c r="E127" s="204">
        <v>21</v>
      </c>
      <c r="F127" s="204">
        <v>64.67</v>
      </c>
      <c r="G127" s="204">
        <f>Table13[[#This Row],[Unit Cost]]*Table13[[#This Row],[Quantity on Hand]]</f>
        <v>1358.07</v>
      </c>
      <c r="H127" s="205">
        <f>SUMIF(Table3[Item],Table13[[#This Row],[Decription]],Table3[Quantity Issued])</f>
        <v>4</v>
      </c>
      <c r="I127" s="206">
        <f>Table13[[#This Row],[January 2025 - Issued Qty]]*Table13[[#This Row],[Unit Cost]]</f>
        <v>258.68</v>
      </c>
      <c r="J127" s="95">
        <f>Table13[[#This Row],[Quantity on Hand]]-Table13[[#This Row],[January 2025 - Issued Qty]]</f>
        <v>17</v>
      </c>
      <c r="K127" s="207">
        <f>Table13[[#This Row],[January 2025 - Balance Qty]]*Table13[[#This Row],[Unit Cost]]</f>
        <v>1099.3900000000001</v>
      </c>
      <c r="L127" s="205">
        <v>0</v>
      </c>
      <c r="M127" s="206">
        <v>0</v>
      </c>
      <c r="N127" s="208">
        <f>Table13[[#This Row],[Incoming Unit Cost]]*Table13[[#This Row],[Incoming Qty]]</f>
        <v>0</v>
      </c>
      <c r="O127" s="206">
        <f>SUMIF(Table32[Item],Table13[[#This Row],[Decription]],Table32[Quantity Issued])</f>
        <v>9</v>
      </c>
      <c r="P127" s="206">
        <f>Table13[[#This Row],[Unit Cost]]*Table13[[#This Row],[February 2025 - Issued Qty]]</f>
        <v>582.03</v>
      </c>
      <c r="Q127" s="95">
        <f>(Table13[[#This Row],[January 2025 - Balance Qty]]-Table13[[#This Row],[February 2025 - Issued Qty]])+Table13[[#This Row],[Incoming Qty]]</f>
        <v>8</v>
      </c>
      <c r="R127" s="207">
        <f>Table13[[#This Row],[February 2025 - Balance Qty]]*Table13[[#This Row],[Unit Cost]]</f>
        <v>517.36</v>
      </c>
      <c r="S127" s="205">
        <v>0</v>
      </c>
      <c r="T127" s="206">
        <v>0</v>
      </c>
      <c r="U127" s="208">
        <f>Table13[[#This Row],[Incoming Unit Cost]]*Table13[[#This Row],[Incoming Qty]]</f>
        <v>0</v>
      </c>
      <c r="V127" s="206">
        <f>SUMIF(Table3267[Item],Table13[[#This Row],[Decription]],Table3267[Quantity Issued])</f>
        <v>1</v>
      </c>
      <c r="W127" s="206">
        <f>Table13[[#This Row],[Unit Cost]]*Table13[[#This Row],[March 2025 - Issued Qty]]</f>
        <v>64.67</v>
      </c>
      <c r="X127" s="219">
        <f>(Table13[[#This Row],[February 2025 - Balance Qty]]-Table13[[#This Row],[March 2025 - Issued Qty]])+Table13[[#This Row],[Incoming Qty]]</f>
        <v>7</v>
      </c>
      <c r="Y127" s="207">
        <f>Table13[[#This Row],[March 2025 - Balance Qty]]*Table13[[#This Row],[Unit Cost]]</f>
        <v>452.69</v>
      </c>
      <c r="Z127" s="205">
        <v>0</v>
      </c>
      <c r="AA127" s="206">
        <v>0</v>
      </c>
      <c r="AB127" s="208">
        <f>Table13[[#This Row],[Incoming Unit Cost]]*Table13[[#This Row],[Incoming Qty]]</f>
        <v>0</v>
      </c>
      <c r="AC127" s="206">
        <f>SUMIF(Table326[Item],Table13[[#This Row],[Decription]],Table326[Quantity Issued])</f>
        <v>0</v>
      </c>
      <c r="AD127" s="206">
        <f>Table13[[#This Row],[Unit Cost]]*Table13[[#This Row],[April 2025 - Issued Qty ]]</f>
        <v>0</v>
      </c>
      <c r="AE127" s="219">
        <f>(Table13[[#This Row],[March 2025 - Balance Qty]]-Table13[[#This Row],[April 2025 - Issued Qty ]])+Table13[[#This Row],[Incoming Qty ]]</f>
        <v>7</v>
      </c>
      <c r="AF127" s="207">
        <f>Table13[[#This Row],[April 2025 - Balance Qty]]*Table13[[#This Row],[Unit Cost]]</f>
        <v>452.69</v>
      </c>
      <c r="AG127" s="207"/>
    </row>
    <row r="128" spans="1:33">
      <c r="A128" t="s">
        <v>78</v>
      </c>
      <c r="B128" t="s">
        <v>163</v>
      </c>
      <c r="C128" t="s">
        <v>186</v>
      </c>
      <c r="D128" t="s">
        <v>27</v>
      </c>
      <c r="E128" s="204">
        <v>2</v>
      </c>
      <c r="F128" s="204">
        <v>2113.33</v>
      </c>
      <c r="G128" s="204">
        <f>Table13[[#This Row],[Unit Cost]]*Table13[[#This Row],[Quantity on Hand]]</f>
        <v>4226.66</v>
      </c>
      <c r="H128" s="205">
        <f>SUMIF(Table3[Item],Table13[[#This Row],[Decription]],Table3[Quantity Issued])</f>
        <v>2</v>
      </c>
      <c r="I128" s="206">
        <f>Table13[[#This Row],[January 2025 - Issued Qty]]*Table13[[#This Row],[Unit Cost]]</f>
        <v>4226.66</v>
      </c>
      <c r="J128" s="95">
        <f>Table13[[#This Row],[Quantity on Hand]]-Table13[[#This Row],[January 2025 - Issued Qty]]</f>
        <v>0</v>
      </c>
      <c r="K128" s="207">
        <f>Table13[[#This Row],[January 2025 - Balance Qty]]*Table13[[#This Row],[Unit Cost]]</f>
        <v>0</v>
      </c>
      <c r="L128" s="205">
        <v>0</v>
      </c>
      <c r="M128" s="206">
        <v>0</v>
      </c>
      <c r="N128" s="208">
        <f>Table13[[#This Row],[Incoming Unit Cost]]*Table13[[#This Row],[Incoming Qty]]</f>
        <v>0</v>
      </c>
      <c r="O128" s="206">
        <f>SUMIF(Table32[Item],Table13[[#This Row],[Decription]],Table32[Quantity Issued])</f>
        <v>0</v>
      </c>
      <c r="P128" s="206">
        <f>Table13[[#This Row],[Unit Cost]]*Table13[[#This Row],[February 2025 - Issued Qty]]</f>
        <v>0</v>
      </c>
      <c r="Q128" s="95">
        <f>(Table13[[#This Row],[January 2025 - Balance Qty]]-Table13[[#This Row],[February 2025 - Issued Qty]])+Table13[[#This Row],[Incoming Qty]]</f>
        <v>0</v>
      </c>
      <c r="R128" s="207">
        <f>Table13[[#This Row],[February 2025 - Balance Qty]]*Table13[[#This Row],[Unit Cost]]</f>
        <v>0</v>
      </c>
      <c r="S128" s="205">
        <v>0</v>
      </c>
      <c r="T128" s="206">
        <v>0</v>
      </c>
      <c r="U128" s="208">
        <f>Table13[[#This Row],[Incoming Unit Cost]]*Table13[[#This Row],[Incoming Qty]]</f>
        <v>0</v>
      </c>
      <c r="V128" s="206">
        <f>SUMIF(Table3267[Item],Table13[[#This Row],[Decription]],Table3267[Quantity Issued])</f>
        <v>0</v>
      </c>
      <c r="W128" s="206">
        <f>Table13[[#This Row],[Unit Cost]]*Table13[[#This Row],[March 2025 - Issued Qty]]</f>
        <v>0</v>
      </c>
      <c r="X128" s="219">
        <f>(Table13[[#This Row],[February 2025 - Balance Qty]]-Table13[[#This Row],[March 2025 - Issued Qty]])+Table13[[#This Row],[Incoming Qty]]</f>
        <v>0</v>
      </c>
      <c r="Y128" s="207">
        <f>Table13[[#This Row],[March 2025 - Balance Qty]]*Table13[[#This Row],[Unit Cost]]</f>
        <v>0</v>
      </c>
      <c r="Z128" s="205">
        <v>0</v>
      </c>
      <c r="AA128" s="206">
        <v>0</v>
      </c>
      <c r="AB128" s="208">
        <f>Table13[[#This Row],[Incoming Unit Cost]]*Table13[[#This Row],[Incoming Qty]]</f>
        <v>0</v>
      </c>
      <c r="AC128" s="206">
        <f>SUMIF(Table326[Item],Table13[[#This Row],[Decription]],Table326[Quantity Issued])</f>
        <v>0</v>
      </c>
      <c r="AD128" s="206">
        <f>Table13[[#This Row],[Unit Cost]]*Table13[[#This Row],[April 2025 - Issued Qty ]]</f>
        <v>0</v>
      </c>
      <c r="AE128" s="219">
        <f>(Table13[[#This Row],[March 2025 - Balance Qty]]-Table13[[#This Row],[April 2025 - Issued Qty ]])+Table13[[#This Row],[Incoming Qty ]]</f>
        <v>0</v>
      </c>
      <c r="AF128" s="207">
        <f>Table13[[#This Row],[April 2025 - Balance Qty]]*Table13[[#This Row],[Unit Cost]]</f>
        <v>0</v>
      </c>
      <c r="AG128" s="207"/>
    </row>
    <row r="129" spans="1:33">
      <c r="A129" t="s">
        <v>78</v>
      </c>
      <c r="B129" t="s">
        <v>163</v>
      </c>
      <c r="C129" t="s">
        <v>187</v>
      </c>
      <c r="D129" t="s">
        <v>27</v>
      </c>
      <c r="E129" s="204">
        <v>6</v>
      </c>
      <c r="F129" s="204">
        <v>32</v>
      </c>
      <c r="G129" s="204">
        <f>Table13[[#This Row],[Unit Cost]]*Table13[[#This Row],[Quantity on Hand]]</f>
        <v>192</v>
      </c>
      <c r="H129" s="205">
        <f>SUMIF(Table3[Item],Table13[[#This Row],[Decription]],Table3[Quantity Issued])</f>
        <v>0</v>
      </c>
      <c r="I129" s="206">
        <f>Table13[[#This Row],[January 2025 - Issued Qty]]*Table13[[#This Row],[Unit Cost]]</f>
        <v>0</v>
      </c>
      <c r="J129" s="95">
        <f>Table13[[#This Row],[Quantity on Hand]]-Table13[[#This Row],[January 2025 - Issued Qty]]</f>
        <v>6</v>
      </c>
      <c r="K129" s="207">
        <f>Table13[[#This Row],[January 2025 - Balance Qty]]*Table13[[#This Row],[Unit Cost]]</f>
        <v>192</v>
      </c>
      <c r="L129" s="205">
        <v>0</v>
      </c>
      <c r="M129" s="206">
        <v>0</v>
      </c>
      <c r="N129" s="208">
        <f>Table13[[#This Row],[Incoming Unit Cost]]*Table13[[#This Row],[Incoming Qty]]</f>
        <v>0</v>
      </c>
      <c r="O129" s="206">
        <f>SUMIF(Table32[Item],Table13[[#This Row],[Decription]],Table32[Quantity Issued])</f>
        <v>0</v>
      </c>
      <c r="P129" s="206">
        <f>Table13[[#This Row],[Unit Cost]]*Table13[[#This Row],[February 2025 - Issued Qty]]</f>
        <v>0</v>
      </c>
      <c r="Q129" s="95">
        <f>(Table13[[#This Row],[January 2025 - Balance Qty]]-Table13[[#This Row],[February 2025 - Issued Qty]])+Table13[[#This Row],[Incoming Qty]]</f>
        <v>6</v>
      </c>
      <c r="R129" s="207">
        <f>Table13[[#This Row],[February 2025 - Balance Qty]]*Table13[[#This Row],[Unit Cost]]</f>
        <v>192</v>
      </c>
      <c r="S129" s="205">
        <v>0</v>
      </c>
      <c r="T129" s="206">
        <v>0</v>
      </c>
      <c r="U129" s="208">
        <f>Table13[[#This Row],[Incoming Unit Cost]]*Table13[[#This Row],[Incoming Qty]]</f>
        <v>0</v>
      </c>
      <c r="V129" s="206">
        <f>SUMIF(Table3267[Item],Table13[[#This Row],[Decription]],Table3267[Quantity Issued])</f>
        <v>0</v>
      </c>
      <c r="W129" s="206">
        <f>Table13[[#This Row],[Unit Cost]]*Table13[[#This Row],[March 2025 - Issued Qty]]</f>
        <v>0</v>
      </c>
      <c r="X129" s="219">
        <f>(Table13[[#This Row],[February 2025 - Balance Qty]]-Table13[[#This Row],[March 2025 - Issued Qty]])+Table13[[#This Row],[Incoming Qty]]</f>
        <v>6</v>
      </c>
      <c r="Y129" s="207">
        <f>Table13[[#This Row],[March 2025 - Balance Qty]]*Table13[[#This Row],[Unit Cost]]</f>
        <v>192</v>
      </c>
      <c r="Z129" s="205">
        <v>0</v>
      </c>
      <c r="AA129" s="206">
        <v>0</v>
      </c>
      <c r="AB129" s="208">
        <f>Table13[[#This Row],[Incoming Unit Cost]]*Table13[[#This Row],[Incoming Qty]]</f>
        <v>0</v>
      </c>
      <c r="AC129" s="206">
        <f>SUMIF(Table326[Item],Table13[[#This Row],[Decription]],Table326[Quantity Issued])</f>
        <v>1</v>
      </c>
      <c r="AD129" s="206">
        <f>Table13[[#This Row],[Unit Cost]]*Table13[[#This Row],[April 2025 - Issued Qty ]]</f>
        <v>32</v>
      </c>
      <c r="AE129" s="219">
        <f>(Table13[[#This Row],[March 2025 - Balance Qty]]-Table13[[#This Row],[April 2025 - Issued Qty ]])+Table13[[#This Row],[Incoming Qty ]]</f>
        <v>5</v>
      </c>
      <c r="AF129" s="207">
        <f>Table13[[#This Row],[April 2025 - Balance Qty]]*Table13[[#This Row],[Unit Cost]]</f>
        <v>160</v>
      </c>
      <c r="AG129" s="207"/>
    </row>
    <row r="130" spans="1:33">
      <c r="A130" t="s">
        <v>78</v>
      </c>
      <c r="B130" t="s">
        <v>163</v>
      </c>
      <c r="C130" t="s">
        <v>188</v>
      </c>
      <c r="D130" t="s">
        <v>32</v>
      </c>
      <c r="E130" s="204">
        <v>217</v>
      </c>
      <c r="F130" s="204">
        <v>22.27</v>
      </c>
      <c r="G130" s="204">
        <f>Table13[[#This Row],[Unit Cost]]*Table13[[#This Row],[Quantity on Hand]]</f>
        <v>4832.59</v>
      </c>
      <c r="H130" s="205">
        <f>SUMIF(Table3[Item],Table13[[#This Row],[Decription]],Table3[Quantity Issued])</f>
        <v>25</v>
      </c>
      <c r="I130" s="206">
        <f>Table13[[#This Row],[January 2025 - Issued Qty]]*Table13[[#This Row],[Unit Cost]]</f>
        <v>556.75</v>
      </c>
      <c r="J130" s="95">
        <f>Table13[[#This Row],[Quantity on Hand]]-Table13[[#This Row],[January 2025 - Issued Qty]]</f>
        <v>192</v>
      </c>
      <c r="K130" s="207">
        <f>Table13[[#This Row],[January 2025 - Balance Qty]]*Table13[[#This Row],[Unit Cost]]</f>
        <v>4275.84</v>
      </c>
      <c r="L130" s="205">
        <v>0</v>
      </c>
      <c r="M130" s="206">
        <v>0</v>
      </c>
      <c r="N130" s="208">
        <f>Table13[[#This Row],[Incoming Unit Cost]]*Table13[[#This Row],[Incoming Qty]]</f>
        <v>0</v>
      </c>
      <c r="O130" s="206">
        <f>SUMIF(Table32[Item],Table13[[#This Row],[Decription]],Table32[Quantity Issued])</f>
        <v>45</v>
      </c>
      <c r="P130" s="206">
        <f>Table13[[#This Row],[Unit Cost]]*Table13[[#This Row],[February 2025 - Issued Qty]]</f>
        <v>1002.15</v>
      </c>
      <c r="Q130" s="95">
        <f>(Table13[[#This Row],[January 2025 - Balance Qty]]-Table13[[#This Row],[February 2025 - Issued Qty]])+Table13[[#This Row],[Incoming Qty]]</f>
        <v>147</v>
      </c>
      <c r="R130" s="207">
        <f>Table13[[#This Row],[February 2025 - Balance Qty]]*Table13[[#This Row],[Unit Cost]]</f>
        <v>3273.69</v>
      </c>
      <c r="S130" s="205">
        <v>0</v>
      </c>
      <c r="T130" s="206">
        <v>0</v>
      </c>
      <c r="U130" s="208">
        <f>Table13[[#This Row],[Incoming Unit Cost]]*Table13[[#This Row],[Incoming Qty]]</f>
        <v>0</v>
      </c>
      <c r="V130" s="206">
        <f>SUMIF(Table3267[Item],Table13[[#This Row],[Decription]],Table3267[Quantity Issued])</f>
        <v>7</v>
      </c>
      <c r="W130" s="206">
        <f>Table13[[#This Row],[Unit Cost]]*Table13[[#This Row],[March 2025 - Issued Qty]]</f>
        <v>155.88999999999999</v>
      </c>
      <c r="X130" s="219">
        <f>(Table13[[#This Row],[February 2025 - Balance Qty]]-Table13[[#This Row],[March 2025 - Issued Qty]])+Table13[[#This Row],[Incoming Qty]]</f>
        <v>140</v>
      </c>
      <c r="Y130" s="207">
        <f>Table13[[#This Row],[March 2025 - Balance Qty]]*Table13[[#This Row],[Unit Cost]]</f>
        <v>3117.7999999999997</v>
      </c>
      <c r="Z130" s="205">
        <v>0</v>
      </c>
      <c r="AA130" s="206">
        <v>0</v>
      </c>
      <c r="AB130" s="208">
        <f>Table13[[#This Row],[Incoming Unit Cost]]*Table13[[#This Row],[Incoming Qty]]</f>
        <v>0</v>
      </c>
      <c r="AC130" s="206">
        <f>SUMIF(Table326[Item],Table13[[#This Row],[Decription]],Table326[Quantity Issued])</f>
        <v>78</v>
      </c>
      <c r="AD130" s="206">
        <f>Table13[[#This Row],[Unit Cost]]*Table13[[#This Row],[April 2025 - Issued Qty ]]</f>
        <v>1737.06</v>
      </c>
      <c r="AE130" s="219">
        <f>(Table13[[#This Row],[March 2025 - Balance Qty]]-Table13[[#This Row],[April 2025 - Issued Qty ]])+Table13[[#This Row],[Incoming Qty ]]</f>
        <v>62</v>
      </c>
      <c r="AF130" s="207">
        <f>Table13[[#This Row],[April 2025 - Balance Qty]]*Table13[[#This Row],[Unit Cost]]</f>
        <v>1380.74</v>
      </c>
      <c r="AG130" s="207"/>
    </row>
    <row r="131" spans="1:33">
      <c r="A131" t="s">
        <v>78</v>
      </c>
      <c r="B131" t="s">
        <v>163</v>
      </c>
      <c r="C131" t="s">
        <v>189</v>
      </c>
      <c r="D131" t="s">
        <v>32</v>
      </c>
      <c r="E131" s="204">
        <v>14</v>
      </c>
      <c r="F131" s="204">
        <v>40</v>
      </c>
      <c r="G131" s="204">
        <f>Table13[[#This Row],[Unit Cost]]*Table13[[#This Row],[Quantity on Hand]]</f>
        <v>560</v>
      </c>
      <c r="H131" s="205">
        <f>SUMIF(Table3[Item],Table13[[#This Row],[Decription]],Table3[Quantity Issued])</f>
        <v>0</v>
      </c>
      <c r="I131" s="206">
        <f>Table13[[#This Row],[January 2025 - Issued Qty]]*Table13[[#This Row],[Unit Cost]]</f>
        <v>0</v>
      </c>
      <c r="J131" s="95">
        <f>Table13[[#This Row],[Quantity on Hand]]-Table13[[#This Row],[January 2025 - Issued Qty]]</f>
        <v>14</v>
      </c>
      <c r="K131" s="207">
        <f>Table13[[#This Row],[January 2025 - Balance Qty]]*Table13[[#This Row],[Unit Cost]]</f>
        <v>560</v>
      </c>
      <c r="L131" s="205">
        <v>0</v>
      </c>
      <c r="M131" s="206">
        <v>0</v>
      </c>
      <c r="N131" s="208">
        <f>Table13[[#This Row],[Incoming Unit Cost]]*Table13[[#This Row],[Incoming Qty]]</f>
        <v>0</v>
      </c>
      <c r="O131" s="206">
        <f>SUMIF(Table32[Item],Table13[[#This Row],[Decription]],Table32[Quantity Issued])</f>
        <v>5</v>
      </c>
      <c r="P131" s="206">
        <f>Table13[[#This Row],[Unit Cost]]*Table13[[#This Row],[February 2025 - Issued Qty]]</f>
        <v>200</v>
      </c>
      <c r="Q131" s="95">
        <f>(Table13[[#This Row],[January 2025 - Balance Qty]]-Table13[[#This Row],[February 2025 - Issued Qty]])+Table13[[#This Row],[Incoming Qty]]</f>
        <v>9</v>
      </c>
      <c r="R131" s="207">
        <f>Table13[[#This Row],[February 2025 - Balance Qty]]*Table13[[#This Row],[Unit Cost]]</f>
        <v>360</v>
      </c>
      <c r="S131" s="205">
        <v>0</v>
      </c>
      <c r="T131" s="206">
        <v>0</v>
      </c>
      <c r="U131" s="208">
        <f>Table13[[#This Row],[Incoming Unit Cost]]*Table13[[#This Row],[Incoming Qty]]</f>
        <v>0</v>
      </c>
      <c r="V131" s="206">
        <f>SUMIF(Table3267[Item],Table13[[#This Row],[Decription]],Table3267[Quantity Issued])</f>
        <v>0</v>
      </c>
      <c r="W131" s="206">
        <f>Table13[[#This Row],[Unit Cost]]*Table13[[#This Row],[March 2025 - Issued Qty]]</f>
        <v>0</v>
      </c>
      <c r="X131" s="219">
        <f>(Table13[[#This Row],[February 2025 - Balance Qty]]-Table13[[#This Row],[March 2025 - Issued Qty]])+Table13[[#This Row],[Incoming Qty]]</f>
        <v>9</v>
      </c>
      <c r="Y131" s="207">
        <f>Table13[[#This Row],[March 2025 - Balance Qty]]*Table13[[#This Row],[Unit Cost]]</f>
        <v>360</v>
      </c>
      <c r="Z131" s="205">
        <v>0</v>
      </c>
      <c r="AA131" s="206">
        <v>0</v>
      </c>
      <c r="AB131" s="208">
        <f>Table13[[#This Row],[Incoming Unit Cost]]*Table13[[#This Row],[Incoming Qty]]</f>
        <v>0</v>
      </c>
      <c r="AC131" s="206">
        <f>SUMIF(Table326[Item],Table13[[#This Row],[Decription]],Table326[Quantity Issued])</f>
        <v>0</v>
      </c>
      <c r="AD131" s="206">
        <f>Table13[[#This Row],[Unit Cost]]*Table13[[#This Row],[April 2025 - Issued Qty ]]</f>
        <v>0</v>
      </c>
      <c r="AE131" s="219">
        <f>(Table13[[#This Row],[March 2025 - Balance Qty]]-Table13[[#This Row],[April 2025 - Issued Qty ]])+Table13[[#This Row],[Incoming Qty ]]</f>
        <v>9</v>
      </c>
      <c r="AF131" s="207">
        <f>Table13[[#This Row],[April 2025 - Balance Qty]]*Table13[[#This Row],[Unit Cost]]</f>
        <v>360</v>
      </c>
      <c r="AG131" s="207"/>
    </row>
    <row r="132" spans="1:33">
      <c r="A132" t="s">
        <v>78</v>
      </c>
      <c r="B132" t="s">
        <v>163</v>
      </c>
      <c r="C132" t="s">
        <v>190</v>
      </c>
      <c r="D132" t="s">
        <v>32</v>
      </c>
      <c r="E132" s="204">
        <v>215</v>
      </c>
      <c r="F132" s="204">
        <v>23.84</v>
      </c>
      <c r="G132" s="204">
        <f>Table13[[#This Row],[Unit Cost]]*Table13[[#This Row],[Quantity on Hand]]</f>
        <v>5125.6000000000004</v>
      </c>
      <c r="H132" s="205">
        <f>SUMIF(Table3[Item],Table13[[#This Row],[Decription]],Table3[Quantity Issued])</f>
        <v>30</v>
      </c>
      <c r="I132" s="206">
        <f>Table13[[#This Row],[January 2025 - Issued Qty]]*Table13[[#This Row],[Unit Cost]]</f>
        <v>715.2</v>
      </c>
      <c r="J132" s="95">
        <f>Table13[[#This Row],[Quantity on Hand]]-Table13[[#This Row],[January 2025 - Issued Qty]]</f>
        <v>185</v>
      </c>
      <c r="K132" s="207">
        <f>Table13[[#This Row],[January 2025 - Balance Qty]]*Table13[[#This Row],[Unit Cost]]</f>
        <v>4410.3999999999996</v>
      </c>
      <c r="L132" s="205">
        <v>0</v>
      </c>
      <c r="M132" s="206">
        <v>0</v>
      </c>
      <c r="N132" s="208">
        <f>Table13[[#This Row],[Incoming Unit Cost]]*Table13[[#This Row],[Incoming Qty]]</f>
        <v>0</v>
      </c>
      <c r="O132" s="206">
        <f>SUMIF(Table32[Item],Table13[[#This Row],[Decription]],Table32[Quantity Issued])</f>
        <v>50</v>
      </c>
      <c r="P132" s="206">
        <f>Table13[[#This Row],[Unit Cost]]*Table13[[#This Row],[February 2025 - Issued Qty]]</f>
        <v>1192</v>
      </c>
      <c r="Q132" s="95">
        <f>(Table13[[#This Row],[January 2025 - Balance Qty]]-Table13[[#This Row],[February 2025 - Issued Qty]])+Table13[[#This Row],[Incoming Qty]]</f>
        <v>135</v>
      </c>
      <c r="R132" s="207">
        <f>Table13[[#This Row],[February 2025 - Balance Qty]]*Table13[[#This Row],[Unit Cost]]</f>
        <v>3218.4</v>
      </c>
      <c r="S132" s="205">
        <v>0</v>
      </c>
      <c r="T132" s="206">
        <v>0</v>
      </c>
      <c r="U132" s="208">
        <f>Table13[[#This Row],[Incoming Unit Cost]]*Table13[[#This Row],[Incoming Qty]]</f>
        <v>0</v>
      </c>
      <c r="V132" s="206">
        <f>SUMIF(Table3267[Item],Table13[[#This Row],[Decription]],Table3267[Quantity Issued])</f>
        <v>5</v>
      </c>
      <c r="W132" s="206">
        <f>Table13[[#This Row],[Unit Cost]]*Table13[[#This Row],[March 2025 - Issued Qty]]</f>
        <v>119.2</v>
      </c>
      <c r="X132" s="219">
        <f>(Table13[[#This Row],[February 2025 - Balance Qty]]-Table13[[#This Row],[March 2025 - Issued Qty]])+Table13[[#This Row],[Incoming Qty]]</f>
        <v>130</v>
      </c>
      <c r="Y132" s="207">
        <f>Table13[[#This Row],[March 2025 - Balance Qty]]*Table13[[#This Row],[Unit Cost]]</f>
        <v>3099.2</v>
      </c>
      <c r="Z132" s="205">
        <v>0</v>
      </c>
      <c r="AA132" s="206">
        <v>0</v>
      </c>
      <c r="AB132" s="208">
        <f>Table13[[#This Row],[Incoming Unit Cost]]*Table13[[#This Row],[Incoming Qty]]</f>
        <v>0</v>
      </c>
      <c r="AC132" s="206">
        <f>SUMIF(Table326[Item],Table13[[#This Row],[Decription]],Table326[Quantity Issued])</f>
        <v>85</v>
      </c>
      <c r="AD132" s="206">
        <f>Table13[[#This Row],[Unit Cost]]*Table13[[#This Row],[April 2025 - Issued Qty ]]</f>
        <v>2026.4</v>
      </c>
      <c r="AE132" s="219">
        <f>(Table13[[#This Row],[March 2025 - Balance Qty]]-Table13[[#This Row],[April 2025 - Issued Qty ]])+Table13[[#This Row],[Incoming Qty ]]</f>
        <v>45</v>
      </c>
      <c r="AF132" s="207">
        <f>Table13[[#This Row],[April 2025 - Balance Qty]]*Table13[[#This Row],[Unit Cost]]</f>
        <v>1072.8</v>
      </c>
      <c r="AG132" s="207"/>
    </row>
    <row r="133" spans="1:33">
      <c r="A133" t="s">
        <v>78</v>
      </c>
      <c r="B133" t="s">
        <v>163</v>
      </c>
      <c r="C133" t="s">
        <v>191</v>
      </c>
      <c r="D133" t="s">
        <v>27</v>
      </c>
      <c r="E133" s="204">
        <v>3</v>
      </c>
      <c r="F133" s="204">
        <v>311</v>
      </c>
      <c r="G133" s="204">
        <f>Table13[[#This Row],[Unit Cost]]*Table13[[#This Row],[Quantity on Hand]]</f>
        <v>933</v>
      </c>
      <c r="H133" s="205">
        <f>SUMIF(Table3[Item],Table13[[#This Row],[Decription]],Table3[Quantity Issued])</f>
        <v>0</v>
      </c>
      <c r="I133" s="206">
        <f>Table13[[#This Row],[January 2025 - Issued Qty]]*Table13[[#This Row],[Unit Cost]]</f>
        <v>0</v>
      </c>
      <c r="J133" s="95">
        <f>Table13[[#This Row],[Quantity on Hand]]-Table13[[#This Row],[January 2025 - Issued Qty]]</f>
        <v>3</v>
      </c>
      <c r="K133" s="207">
        <f>Table13[[#This Row],[January 2025 - Balance Qty]]*Table13[[#This Row],[Unit Cost]]</f>
        <v>933</v>
      </c>
      <c r="L133" s="205">
        <v>0</v>
      </c>
      <c r="M133" s="206">
        <v>0</v>
      </c>
      <c r="N133" s="208">
        <f>Table13[[#This Row],[Incoming Unit Cost]]*Table13[[#This Row],[Incoming Qty]]</f>
        <v>0</v>
      </c>
      <c r="O133" s="206">
        <f>SUMIF(Table32[Item],Table13[[#This Row],[Decription]],Table32[Quantity Issued])</f>
        <v>1</v>
      </c>
      <c r="P133" s="206">
        <f>Table13[[#This Row],[Unit Cost]]*Table13[[#This Row],[February 2025 - Issued Qty]]</f>
        <v>311</v>
      </c>
      <c r="Q133" s="95">
        <f>(Table13[[#This Row],[January 2025 - Balance Qty]]-Table13[[#This Row],[February 2025 - Issued Qty]])+Table13[[#This Row],[Incoming Qty]]</f>
        <v>2</v>
      </c>
      <c r="R133" s="207">
        <f>Table13[[#This Row],[February 2025 - Balance Qty]]*Table13[[#This Row],[Unit Cost]]</f>
        <v>622</v>
      </c>
      <c r="S133" s="205">
        <v>0</v>
      </c>
      <c r="T133" s="206">
        <v>0</v>
      </c>
      <c r="U133" s="208">
        <f>Table13[[#This Row],[Incoming Unit Cost]]*Table13[[#This Row],[Incoming Qty]]</f>
        <v>0</v>
      </c>
      <c r="V133" s="206">
        <f>SUMIF(Table3267[Item],Table13[[#This Row],[Decription]],Table3267[Quantity Issued])</f>
        <v>2</v>
      </c>
      <c r="W133" s="206">
        <f>Table13[[#This Row],[Unit Cost]]*Table13[[#This Row],[March 2025 - Issued Qty]]</f>
        <v>622</v>
      </c>
      <c r="X133" s="219">
        <f>(Table13[[#This Row],[February 2025 - Balance Qty]]-Table13[[#This Row],[March 2025 - Issued Qty]])+Table13[[#This Row],[Incoming Qty]]</f>
        <v>0</v>
      </c>
      <c r="Y133" s="207">
        <f>Table13[[#This Row],[March 2025 - Balance Qty]]*Table13[[#This Row],[Unit Cost]]</f>
        <v>0</v>
      </c>
      <c r="Z133" s="205">
        <v>0</v>
      </c>
      <c r="AA133" s="206">
        <v>0</v>
      </c>
      <c r="AB133" s="208">
        <f>Table13[[#This Row],[Incoming Unit Cost]]*Table13[[#This Row],[Incoming Qty]]</f>
        <v>0</v>
      </c>
      <c r="AC133" s="206">
        <f>SUMIF(Table326[Item],Table13[[#This Row],[Decription]],Table326[Quantity Issued])</f>
        <v>0</v>
      </c>
      <c r="AD133" s="206">
        <f>Table13[[#This Row],[Unit Cost]]*Table13[[#This Row],[April 2025 - Issued Qty ]]</f>
        <v>0</v>
      </c>
      <c r="AE133" s="219">
        <f>(Table13[[#This Row],[March 2025 - Balance Qty]]-Table13[[#This Row],[April 2025 - Issued Qty ]])+Table13[[#This Row],[Incoming Qty ]]</f>
        <v>0</v>
      </c>
      <c r="AF133" s="207">
        <f>Table13[[#This Row],[April 2025 - Balance Qty]]*Table13[[#This Row],[Unit Cost]]</f>
        <v>0</v>
      </c>
      <c r="AG133" s="207"/>
    </row>
    <row r="134" spans="1:33">
      <c r="A134" s="196" t="s">
        <v>78</v>
      </c>
      <c r="B134" s="196" t="s">
        <v>163</v>
      </c>
      <c r="C134" s="196" t="s">
        <v>192</v>
      </c>
      <c r="D134" s="196" t="s">
        <v>27</v>
      </c>
      <c r="E134" s="197">
        <v>6</v>
      </c>
      <c r="F134" s="197">
        <v>442.90907970000364</v>
      </c>
      <c r="G134" s="197">
        <f>Table13[[#This Row],[Unit Cost]]*Table13[[#This Row],[Quantity on Hand]]</f>
        <v>2657.4544782000221</v>
      </c>
      <c r="H134" s="205">
        <f>SUMIF(Table3[Item],Table13[[#This Row],[Decription]],Table3[Quantity Issued])</f>
        <v>3</v>
      </c>
      <c r="I134" s="206">
        <f>Table13[[#This Row],[January 2025 - Issued Qty]]*Table13[[#This Row],[Unit Cost]]</f>
        <v>1328.727239100011</v>
      </c>
      <c r="J134" s="95">
        <f>Table13[[#This Row],[Quantity on Hand]]-Table13[[#This Row],[January 2025 - Issued Qty]]</f>
        <v>3</v>
      </c>
      <c r="K134" s="207">
        <f>Table13[[#This Row],[January 2025 - Balance Qty]]*Table13[[#This Row],[Unit Cost]]</f>
        <v>1328.727239100011</v>
      </c>
      <c r="L134" s="198">
        <v>0</v>
      </c>
      <c r="M134" s="199">
        <v>0</v>
      </c>
      <c r="N134" s="203">
        <f>Table13[[#This Row],[Incoming Unit Cost]]*Table13[[#This Row],[Incoming Qty]]</f>
        <v>0</v>
      </c>
      <c r="O134" s="199">
        <f>SUMIF(Table32[Item],Table13[[#This Row],[Decription]],Table32[Quantity Issued])</f>
        <v>3</v>
      </c>
      <c r="P134" s="199">
        <f>Table13[[#This Row],[Unit Cost]]*Table13[[#This Row],[February 2025 - Issued Qty]]</f>
        <v>1328.727239100011</v>
      </c>
      <c r="Q134" s="200">
        <f>(Table13[[#This Row],[January 2025 - Balance Qty]]-Table13[[#This Row],[February 2025 - Issued Qty]])+Table13[[#This Row],[Incoming Qty]]</f>
        <v>0</v>
      </c>
      <c r="R134" s="201">
        <f>Table13[[#This Row],[February 2025 - Balance Qty]]*Table13[[#This Row],[Unit Cost]]</f>
        <v>0</v>
      </c>
      <c r="S134" s="205">
        <v>0</v>
      </c>
      <c r="T134" s="206">
        <v>0</v>
      </c>
      <c r="U134" s="208">
        <f>Table13[[#This Row],[Incoming Unit Cost]]*Table13[[#This Row],[Incoming Qty]]</f>
        <v>0</v>
      </c>
      <c r="V134" s="206">
        <f>SUMIF(Table3267[Item],Table13[[#This Row],[Decription]],Table3267[Quantity Issued])</f>
        <v>0</v>
      </c>
      <c r="W134" s="206">
        <f>Table13[[#This Row],[Unit Cost]]*Table13[[#This Row],[March 2025 - Issued Qty]]</f>
        <v>0</v>
      </c>
      <c r="X134" s="219">
        <f>(Table13[[#This Row],[February 2025 - Balance Qty]]-Table13[[#This Row],[March 2025 - Issued Qty]])+Table13[[#This Row],[Incoming Qty]]</f>
        <v>0</v>
      </c>
      <c r="Y134" s="207">
        <f>Table13[[#This Row],[March 2025 - Balance Qty]]*Table13[[#This Row],[Unit Cost]]</f>
        <v>0</v>
      </c>
      <c r="Z134" s="205">
        <v>0</v>
      </c>
      <c r="AA134" s="206">
        <v>0</v>
      </c>
      <c r="AB134" s="208">
        <f>Table13[[#This Row],[Incoming Unit Cost]]*Table13[[#This Row],[Incoming Qty]]</f>
        <v>0</v>
      </c>
      <c r="AC134" s="206">
        <f>SUMIF(Table326[Item],Table13[[#This Row],[Decription]],Table326[Quantity Issued])</f>
        <v>0</v>
      </c>
      <c r="AD134" s="206">
        <f>Table13[[#This Row],[Unit Cost]]*Table13[[#This Row],[April 2025 - Issued Qty ]]</f>
        <v>0</v>
      </c>
      <c r="AE134" s="219">
        <f>(Table13[[#This Row],[March 2025 - Balance Qty]]-Table13[[#This Row],[April 2025 - Issued Qty ]])+Table13[[#This Row],[Incoming Qty ]]</f>
        <v>0</v>
      </c>
      <c r="AF134" s="207">
        <f>Table13[[#This Row],[April 2025 - Balance Qty]]*Table13[[#This Row],[Unit Cost]]</f>
        <v>0</v>
      </c>
      <c r="AG134" s="207"/>
    </row>
    <row r="135" spans="1:33">
      <c r="A135" t="s">
        <v>78</v>
      </c>
      <c r="B135" t="s">
        <v>163</v>
      </c>
      <c r="C135" t="s">
        <v>193</v>
      </c>
      <c r="D135" t="s">
        <v>27</v>
      </c>
      <c r="E135" s="204">
        <v>3</v>
      </c>
      <c r="F135" s="204">
        <v>365</v>
      </c>
      <c r="G135" s="204">
        <f>Table13[[#This Row],[Unit Cost]]*Table13[[#This Row],[Quantity on Hand]]</f>
        <v>1095</v>
      </c>
      <c r="H135" s="205">
        <f>SUMIF(Table3[Item],Table13[[#This Row],[Decription]],Table3[Quantity Issued])</f>
        <v>3</v>
      </c>
      <c r="I135" s="206">
        <f>Table13[[#This Row],[January 2025 - Issued Qty]]*Table13[[#This Row],[Unit Cost]]</f>
        <v>1095</v>
      </c>
      <c r="J135" s="95">
        <f>Table13[[#This Row],[Quantity on Hand]]-Table13[[#This Row],[January 2025 - Issued Qty]]</f>
        <v>0</v>
      </c>
      <c r="K135" s="207">
        <f>Table13[[#This Row],[January 2025 - Balance Qty]]*Table13[[#This Row],[Unit Cost]]</f>
        <v>0</v>
      </c>
      <c r="L135" s="205">
        <v>0</v>
      </c>
      <c r="M135" s="206">
        <v>0</v>
      </c>
      <c r="N135" s="208">
        <f>Table13[[#This Row],[Incoming Unit Cost]]*Table13[[#This Row],[Incoming Qty]]</f>
        <v>0</v>
      </c>
      <c r="O135" s="206">
        <f>SUMIF(Table32[Item],Table13[[#This Row],[Decription]],Table32[Quantity Issued])</f>
        <v>0</v>
      </c>
      <c r="P135" s="206">
        <f>Table13[[#This Row],[Unit Cost]]*Table13[[#This Row],[February 2025 - Issued Qty]]</f>
        <v>0</v>
      </c>
      <c r="Q135" s="95">
        <f>(Table13[[#This Row],[January 2025 - Balance Qty]]-Table13[[#This Row],[February 2025 - Issued Qty]])+Table13[[#This Row],[Incoming Qty]]</f>
        <v>0</v>
      </c>
      <c r="R135" s="207">
        <f>Table13[[#This Row],[February 2025 - Balance Qty]]*Table13[[#This Row],[Unit Cost]]</f>
        <v>0</v>
      </c>
      <c r="S135" s="205">
        <v>0</v>
      </c>
      <c r="T135" s="206">
        <v>0</v>
      </c>
      <c r="U135" s="208">
        <f>Table13[[#This Row],[Incoming Unit Cost]]*Table13[[#This Row],[Incoming Qty]]</f>
        <v>0</v>
      </c>
      <c r="V135" s="206">
        <f>SUMIF(Table3267[Item],Table13[[#This Row],[Decription]],Table3267[Quantity Issued])</f>
        <v>0</v>
      </c>
      <c r="W135" s="206">
        <f>Table13[[#This Row],[Unit Cost]]*Table13[[#This Row],[March 2025 - Issued Qty]]</f>
        <v>0</v>
      </c>
      <c r="X135" s="219">
        <f>(Table13[[#This Row],[February 2025 - Balance Qty]]-Table13[[#This Row],[March 2025 - Issued Qty]])+Table13[[#This Row],[Incoming Qty]]</f>
        <v>0</v>
      </c>
      <c r="Y135" s="207">
        <f>Table13[[#This Row],[March 2025 - Balance Qty]]*Table13[[#This Row],[Unit Cost]]</f>
        <v>0</v>
      </c>
      <c r="Z135" s="205">
        <v>0</v>
      </c>
      <c r="AA135" s="206">
        <v>0</v>
      </c>
      <c r="AB135" s="208">
        <f>Table13[[#This Row],[Incoming Unit Cost]]*Table13[[#This Row],[Incoming Qty]]</f>
        <v>0</v>
      </c>
      <c r="AC135" s="206">
        <f>SUMIF(Table326[Item],Table13[[#This Row],[Decription]],Table326[Quantity Issued])</f>
        <v>0</v>
      </c>
      <c r="AD135" s="206">
        <f>Table13[[#This Row],[Unit Cost]]*Table13[[#This Row],[April 2025 - Issued Qty ]]</f>
        <v>0</v>
      </c>
      <c r="AE135" s="219">
        <f>(Table13[[#This Row],[March 2025 - Balance Qty]]-Table13[[#This Row],[April 2025 - Issued Qty ]])+Table13[[#This Row],[Incoming Qty ]]</f>
        <v>0</v>
      </c>
      <c r="AF135" s="207">
        <f>Table13[[#This Row],[April 2025 - Balance Qty]]*Table13[[#This Row],[Unit Cost]]</f>
        <v>0</v>
      </c>
      <c r="AG135" s="207"/>
    </row>
    <row r="136" spans="1:33">
      <c r="A136" t="s">
        <v>78</v>
      </c>
      <c r="B136" t="s">
        <v>163</v>
      </c>
      <c r="C136" t="s">
        <v>194</v>
      </c>
      <c r="D136" t="s">
        <v>27</v>
      </c>
      <c r="E136" s="204">
        <v>13</v>
      </c>
      <c r="F136" s="204">
        <v>69</v>
      </c>
      <c r="G136" s="204">
        <f>Table13[[#This Row],[Unit Cost]]*Table13[[#This Row],[Quantity on Hand]]</f>
        <v>897</v>
      </c>
      <c r="H136" s="205">
        <f>SUMIF(Table3[Item],Table13[[#This Row],[Decription]],Table3[Quantity Issued])</f>
        <v>13</v>
      </c>
      <c r="I136" s="206">
        <f>Table13[[#This Row],[January 2025 - Issued Qty]]*Table13[[#This Row],[Unit Cost]]</f>
        <v>897</v>
      </c>
      <c r="J136" s="95">
        <f>Table13[[#This Row],[Quantity on Hand]]-Table13[[#This Row],[January 2025 - Issued Qty]]</f>
        <v>0</v>
      </c>
      <c r="K136" s="207">
        <f>Table13[[#This Row],[January 2025 - Balance Qty]]*Table13[[#This Row],[Unit Cost]]</f>
        <v>0</v>
      </c>
      <c r="L136" s="205">
        <v>0</v>
      </c>
      <c r="M136" s="206">
        <v>0</v>
      </c>
      <c r="N136" s="208">
        <f>Table13[[#This Row],[Incoming Unit Cost]]*Table13[[#This Row],[Incoming Qty]]</f>
        <v>0</v>
      </c>
      <c r="O136" s="206">
        <f>SUMIF(Table32[Item],Table13[[#This Row],[Decription]],Table32[Quantity Issued])</f>
        <v>0</v>
      </c>
      <c r="P136" s="206">
        <f>Table13[[#This Row],[Unit Cost]]*Table13[[#This Row],[February 2025 - Issued Qty]]</f>
        <v>0</v>
      </c>
      <c r="Q136" s="95">
        <f>(Table13[[#This Row],[January 2025 - Balance Qty]]-Table13[[#This Row],[February 2025 - Issued Qty]])+Table13[[#This Row],[Incoming Qty]]</f>
        <v>0</v>
      </c>
      <c r="R136" s="207">
        <f>Table13[[#This Row],[February 2025 - Balance Qty]]*Table13[[#This Row],[Unit Cost]]</f>
        <v>0</v>
      </c>
      <c r="S136" s="205">
        <v>0</v>
      </c>
      <c r="T136" s="206">
        <v>0</v>
      </c>
      <c r="U136" s="208">
        <f>Table13[[#This Row],[Incoming Unit Cost]]*Table13[[#This Row],[Incoming Qty]]</f>
        <v>0</v>
      </c>
      <c r="V136" s="206">
        <f>SUMIF(Table3267[Item],Table13[[#This Row],[Decription]],Table3267[Quantity Issued])</f>
        <v>0</v>
      </c>
      <c r="W136" s="206">
        <f>Table13[[#This Row],[Unit Cost]]*Table13[[#This Row],[March 2025 - Issued Qty]]</f>
        <v>0</v>
      </c>
      <c r="X136" s="219">
        <f>(Table13[[#This Row],[February 2025 - Balance Qty]]-Table13[[#This Row],[March 2025 - Issued Qty]])+Table13[[#This Row],[Incoming Qty]]</f>
        <v>0</v>
      </c>
      <c r="Y136" s="207">
        <f>Table13[[#This Row],[March 2025 - Balance Qty]]*Table13[[#This Row],[Unit Cost]]</f>
        <v>0</v>
      </c>
      <c r="Z136" s="205">
        <v>0</v>
      </c>
      <c r="AA136" s="206">
        <v>0</v>
      </c>
      <c r="AB136" s="208">
        <f>Table13[[#This Row],[Incoming Unit Cost]]*Table13[[#This Row],[Incoming Qty]]</f>
        <v>0</v>
      </c>
      <c r="AC136" s="206">
        <f>SUMIF(Table326[Item],Table13[[#This Row],[Decription]],Table326[Quantity Issued])</f>
        <v>0</v>
      </c>
      <c r="AD136" s="206">
        <f>Table13[[#This Row],[Unit Cost]]*Table13[[#This Row],[April 2025 - Issued Qty ]]</f>
        <v>0</v>
      </c>
      <c r="AE136" s="219">
        <f>(Table13[[#This Row],[March 2025 - Balance Qty]]-Table13[[#This Row],[April 2025 - Issued Qty ]])+Table13[[#This Row],[Incoming Qty ]]</f>
        <v>0</v>
      </c>
      <c r="AF136" s="207">
        <f>Table13[[#This Row],[April 2025 - Balance Qty]]*Table13[[#This Row],[Unit Cost]]</f>
        <v>0</v>
      </c>
      <c r="AG136" s="207"/>
    </row>
    <row r="137" spans="1:33">
      <c r="A137" t="s">
        <v>78</v>
      </c>
      <c r="B137" t="s">
        <v>163</v>
      </c>
      <c r="C137" t="s">
        <v>195</v>
      </c>
      <c r="D137" t="s">
        <v>34</v>
      </c>
      <c r="E137" s="204">
        <v>6</v>
      </c>
      <c r="F137" s="204">
        <v>168</v>
      </c>
      <c r="G137" s="204">
        <f>Table13[[#This Row],[Unit Cost]]*Table13[[#This Row],[Quantity on Hand]]</f>
        <v>1008</v>
      </c>
      <c r="H137" s="205">
        <f>SUMIF(Table3[Item],Table13[[#This Row],[Decription]],Table3[Quantity Issued])</f>
        <v>0</v>
      </c>
      <c r="I137" s="206">
        <f>Table13[[#This Row],[January 2025 - Issued Qty]]*Table13[[#This Row],[Unit Cost]]</f>
        <v>0</v>
      </c>
      <c r="J137" s="95">
        <f>Table13[[#This Row],[Quantity on Hand]]-Table13[[#This Row],[January 2025 - Issued Qty]]</f>
        <v>6</v>
      </c>
      <c r="K137" s="207">
        <f>Table13[[#This Row],[January 2025 - Balance Qty]]*Table13[[#This Row],[Unit Cost]]</f>
        <v>1008</v>
      </c>
      <c r="L137" s="205">
        <v>0</v>
      </c>
      <c r="M137" s="206">
        <v>0</v>
      </c>
      <c r="N137" s="208">
        <f>Table13[[#This Row],[Incoming Unit Cost]]*Table13[[#This Row],[Incoming Qty]]</f>
        <v>0</v>
      </c>
      <c r="O137" s="206">
        <f>SUMIF(Table32[Item],Table13[[#This Row],[Decription]],Table32[Quantity Issued])</f>
        <v>2</v>
      </c>
      <c r="P137" s="206">
        <f>Table13[[#This Row],[Unit Cost]]*Table13[[#This Row],[February 2025 - Issued Qty]]</f>
        <v>336</v>
      </c>
      <c r="Q137" s="95">
        <f>(Table13[[#This Row],[January 2025 - Balance Qty]]-Table13[[#This Row],[February 2025 - Issued Qty]])+Table13[[#This Row],[Incoming Qty]]</f>
        <v>4</v>
      </c>
      <c r="R137" s="207">
        <f>Table13[[#This Row],[February 2025 - Balance Qty]]*Table13[[#This Row],[Unit Cost]]</f>
        <v>672</v>
      </c>
      <c r="S137" s="205">
        <v>0</v>
      </c>
      <c r="T137" s="206">
        <v>0</v>
      </c>
      <c r="U137" s="208">
        <f>Table13[[#This Row],[Incoming Unit Cost]]*Table13[[#This Row],[Incoming Qty]]</f>
        <v>0</v>
      </c>
      <c r="V137" s="206">
        <f>SUMIF(Table3267[Item],Table13[[#This Row],[Decription]],Table3267[Quantity Issued])</f>
        <v>1</v>
      </c>
      <c r="W137" s="206">
        <f>Table13[[#This Row],[Unit Cost]]*Table13[[#This Row],[March 2025 - Issued Qty]]</f>
        <v>168</v>
      </c>
      <c r="X137" s="219">
        <f>(Table13[[#This Row],[February 2025 - Balance Qty]]-Table13[[#This Row],[March 2025 - Issued Qty]])+Table13[[#This Row],[Incoming Qty]]</f>
        <v>3</v>
      </c>
      <c r="Y137" s="207">
        <f>Table13[[#This Row],[March 2025 - Balance Qty]]*Table13[[#This Row],[Unit Cost]]</f>
        <v>504</v>
      </c>
      <c r="Z137" s="205">
        <v>0</v>
      </c>
      <c r="AA137" s="206">
        <v>0</v>
      </c>
      <c r="AB137" s="208">
        <f>Table13[[#This Row],[Incoming Unit Cost]]*Table13[[#This Row],[Incoming Qty]]</f>
        <v>0</v>
      </c>
      <c r="AC137" s="206">
        <f>SUMIF(Table326[Item],Table13[[#This Row],[Decription]],Table326[Quantity Issued])</f>
        <v>0</v>
      </c>
      <c r="AD137" s="206">
        <f>Table13[[#This Row],[Unit Cost]]*Table13[[#This Row],[April 2025 - Issued Qty ]]</f>
        <v>0</v>
      </c>
      <c r="AE137" s="219">
        <f>(Table13[[#This Row],[March 2025 - Balance Qty]]-Table13[[#This Row],[April 2025 - Issued Qty ]])+Table13[[#This Row],[Incoming Qty ]]</f>
        <v>3</v>
      </c>
      <c r="AF137" s="207">
        <f>Table13[[#This Row],[April 2025 - Balance Qty]]*Table13[[#This Row],[Unit Cost]]</f>
        <v>504</v>
      </c>
      <c r="AG137" s="207"/>
    </row>
    <row r="138" spans="1:33">
      <c r="E138" s="204"/>
      <c r="F138" s="204"/>
      <c r="G138" s="204">
        <f>Table13[[#This Row],[Unit Cost]]*Table13[[#This Row],[Quantity on Hand]]</f>
        <v>0</v>
      </c>
      <c r="H138" s="205">
        <f>SUMIF(Table3[Item],Table13[[#This Row],[Decription]],Table3[Quantity Issued])</f>
        <v>0</v>
      </c>
      <c r="I138" s="206">
        <f>Table13[[#This Row],[January 2025 - Issued Qty]]*Table13[[#This Row],[Unit Cost]]</f>
        <v>0</v>
      </c>
      <c r="J138" s="95">
        <f>Table13[[#This Row],[Quantity on Hand]]-Table13[[#This Row],[January 2025 - Issued Qty]]</f>
        <v>0</v>
      </c>
      <c r="K138" s="207">
        <f>Table13[[#This Row],[January 2025 - Balance Qty]]*Table13[[#This Row],[Unit Cost]]</f>
        <v>0</v>
      </c>
      <c r="L138" s="205">
        <v>0</v>
      </c>
      <c r="M138" s="206">
        <v>0</v>
      </c>
      <c r="N138" s="208">
        <f>Table13[[#This Row],[Incoming Unit Cost]]*Table13[[#This Row],[Incoming Qty]]</f>
        <v>0</v>
      </c>
      <c r="O138" s="206">
        <f>SUMIF(Table32[Item],Table13[[#This Row],[Decription]],Table32[Quantity Issued])</f>
        <v>0</v>
      </c>
      <c r="P138" s="206">
        <f>Table13[[#This Row],[Unit Cost]]*Table13[[#This Row],[February 2025 - Issued Qty]]</f>
        <v>0</v>
      </c>
      <c r="Q138" s="95">
        <f>(Table13[[#This Row],[January 2025 - Balance Qty]]-Table13[[#This Row],[February 2025 - Issued Qty]])+Table13[[#This Row],[Incoming Qty]]</f>
        <v>0</v>
      </c>
      <c r="R138" s="207">
        <f>Table13[[#This Row],[February 2025 - Balance Qty]]*Table13[[#This Row],[Unit Cost]]</f>
        <v>0</v>
      </c>
      <c r="S138" s="205">
        <v>0</v>
      </c>
      <c r="T138" s="206">
        <v>0</v>
      </c>
      <c r="U138" s="208">
        <f>Table13[[#This Row],[Incoming Unit Cost]]*Table13[[#This Row],[Incoming Qty]]</f>
        <v>0</v>
      </c>
      <c r="V138" s="206">
        <f>SUMIF(Table3267[Item],Table13[[#This Row],[Decription]],Table3267[Quantity Issued])</f>
        <v>0</v>
      </c>
      <c r="W138" s="206">
        <f>Table13[[#This Row],[Unit Cost]]*Table13[[#This Row],[March 2025 - Issued Qty]]</f>
        <v>0</v>
      </c>
      <c r="X138" s="219">
        <f>(Table13[[#This Row],[February 2025 - Balance Qty]]-Table13[[#This Row],[March 2025 - Issued Qty]])+Table13[[#This Row],[Incoming Qty]]</f>
        <v>0</v>
      </c>
      <c r="Y138" s="207">
        <f>Table13[[#This Row],[March 2025 - Balance Qty]]*Table13[[#This Row],[Unit Cost]]</f>
        <v>0</v>
      </c>
      <c r="Z138" s="205">
        <v>0</v>
      </c>
      <c r="AA138" s="206">
        <v>0</v>
      </c>
      <c r="AB138" s="208">
        <f>Table13[[#This Row],[Incoming Unit Cost]]*Table13[[#This Row],[Incoming Qty]]</f>
        <v>0</v>
      </c>
      <c r="AC138" s="206">
        <f>SUMIF(Table326[Item],Table13[[#This Row],[Decription]],Table326[Quantity Issued])</f>
        <v>0</v>
      </c>
      <c r="AD138" s="206">
        <f>Table13[[#This Row],[Unit Cost]]*Table13[[#This Row],[April 2025 - Issued Qty ]]</f>
        <v>0</v>
      </c>
      <c r="AE138" s="219">
        <f>(Table13[[#This Row],[March 2025 - Balance Qty]]-Table13[[#This Row],[April 2025 - Issued Qty ]])+Table13[[#This Row],[Incoming Qty ]]</f>
        <v>0</v>
      </c>
      <c r="AF138" s="207">
        <f>Table13[[#This Row],[April 2025 - Balance Qty]]*Table13[[#This Row],[Unit Cost]]</f>
        <v>0</v>
      </c>
      <c r="AG138" s="207"/>
    </row>
    <row r="139" spans="1:33">
      <c r="E139" s="204"/>
      <c r="F139" s="204"/>
      <c r="G139" s="204">
        <f>Table13[[#This Row],[Unit Cost]]*Table13[[#This Row],[Quantity on Hand]]</f>
        <v>0</v>
      </c>
      <c r="H139" s="205">
        <f>SUMIF(Table3[Item],Table13[[#This Row],[Decription]],Table3[Quantity Issued])</f>
        <v>0</v>
      </c>
      <c r="I139" s="206">
        <f>Table13[[#This Row],[January 2025 - Issued Qty]]*Table13[[#This Row],[Unit Cost]]</f>
        <v>0</v>
      </c>
      <c r="J139" s="95">
        <f>Table13[[#This Row],[Quantity on Hand]]-Table13[[#This Row],[January 2025 - Issued Qty]]</f>
        <v>0</v>
      </c>
      <c r="K139" s="207">
        <f>Table13[[#This Row],[January 2025 - Balance Qty]]*Table13[[#This Row],[Unit Cost]]</f>
        <v>0</v>
      </c>
      <c r="L139" s="205">
        <v>0</v>
      </c>
      <c r="M139" s="206">
        <v>0</v>
      </c>
      <c r="N139" s="208">
        <f>Table13[[#This Row],[Incoming Unit Cost]]*Table13[[#This Row],[Incoming Qty]]</f>
        <v>0</v>
      </c>
      <c r="O139" s="206">
        <f>SUMIF(Table32[Item],Table13[[#This Row],[Decription]],Table32[Quantity Issued])</f>
        <v>0</v>
      </c>
      <c r="P139" s="206">
        <f>Table13[[#This Row],[Unit Cost]]*Table13[[#This Row],[February 2025 - Issued Qty]]</f>
        <v>0</v>
      </c>
      <c r="Q139" s="95">
        <f>(Table13[[#This Row],[January 2025 - Balance Qty]]-Table13[[#This Row],[February 2025 - Issued Qty]])+Table13[[#This Row],[Incoming Qty]]</f>
        <v>0</v>
      </c>
      <c r="R139" s="207">
        <f>Table13[[#This Row],[February 2025 - Balance Qty]]*Table13[[#This Row],[Unit Cost]]</f>
        <v>0</v>
      </c>
      <c r="S139" s="205">
        <v>0</v>
      </c>
      <c r="T139" s="206">
        <v>0</v>
      </c>
      <c r="U139" s="208">
        <f>Table13[[#This Row],[Incoming Unit Cost]]*Table13[[#This Row],[Incoming Qty]]</f>
        <v>0</v>
      </c>
      <c r="V139" s="206">
        <f>SUMIF(Table3267[Item],Table13[[#This Row],[Decription]],Table3267[Quantity Issued])</f>
        <v>0</v>
      </c>
      <c r="W139" s="206">
        <f>Table13[[#This Row],[Unit Cost]]*Table13[[#This Row],[March 2025 - Issued Qty]]</f>
        <v>0</v>
      </c>
      <c r="X139" s="219">
        <f>(Table13[[#This Row],[February 2025 - Balance Qty]]-Table13[[#This Row],[March 2025 - Issued Qty]])+Table13[[#This Row],[Incoming Qty]]</f>
        <v>0</v>
      </c>
      <c r="Y139" s="207">
        <f>Table13[[#This Row],[March 2025 - Balance Qty]]*Table13[[#This Row],[Unit Cost]]</f>
        <v>0</v>
      </c>
      <c r="Z139" s="205">
        <v>0</v>
      </c>
      <c r="AA139" s="206">
        <v>0</v>
      </c>
      <c r="AB139" s="208">
        <f>Table13[[#This Row],[Incoming Unit Cost]]*Table13[[#This Row],[Incoming Qty]]</f>
        <v>0</v>
      </c>
      <c r="AC139" s="206">
        <f>SUMIF(Table326[Item],Table13[[#This Row],[Decription]],Table326[Quantity Issued])</f>
        <v>0</v>
      </c>
      <c r="AD139" s="206">
        <f>Table13[[#This Row],[Unit Cost]]*Table13[[#This Row],[April 2025 - Issued Qty ]]</f>
        <v>0</v>
      </c>
      <c r="AE139" s="219">
        <f>(Table13[[#This Row],[March 2025 - Balance Qty]]-Table13[[#This Row],[April 2025 - Issued Qty ]])+Table13[[#This Row],[Incoming Qty ]]</f>
        <v>0</v>
      </c>
      <c r="AF139" s="207">
        <f>Table13[[#This Row],[April 2025 - Balance Qty]]*Table13[[#This Row],[Unit Cost]]</f>
        <v>0</v>
      </c>
      <c r="AG139" s="207"/>
    </row>
    <row r="140" spans="1:33">
      <c r="E140" s="204"/>
      <c r="F140" s="204"/>
      <c r="G140" s="204">
        <f>Table13[[#This Row],[Unit Cost]]*Table13[[#This Row],[Quantity on Hand]]</f>
        <v>0</v>
      </c>
      <c r="H140" s="205">
        <f>SUMIF(Table3[Item],Table13[[#This Row],[Decription]],Table3[Quantity Issued])</f>
        <v>0</v>
      </c>
      <c r="I140" s="206">
        <f>Table13[[#This Row],[January 2025 - Issued Qty]]*Table13[[#This Row],[Unit Cost]]</f>
        <v>0</v>
      </c>
      <c r="J140" s="95">
        <f>Table13[[#This Row],[Quantity on Hand]]-Table13[[#This Row],[January 2025 - Issued Qty]]</f>
        <v>0</v>
      </c>
      <c r="K140" s="207">
        <f>Table13[[#This Row],[January 2025 - Balance Qty]]*Table13[[#This Row],[Unit Cost]]</f>
        <v>0</v>
      </c>
      <c r="L140" s="205">
        <v>0</v>
      </c>
      <c r="M140" s="206">
        <v>0</v>
      </c>
      <c r="N140" s="208">
        <f>Table13[[#This Row],[Incoming Unit Cost]]*Table13[[#This Row],[Incoming Qty]]</f>
        <v>0</v>
      </c>
      <c r="O140" s="206">
        <f>SUMIF(Table32[Item],Table13[[#This Row],[Decription]],Table32[Quantity Issued])</f>
        <v>0</v>
      </c>
      <c r="P140" s="206">
        <f>Table13[[#This Row],[Unit Cost]]*Table13[[#This Row],[February 2025 - Issued Qty]]</f>
        <v>0</v>
      </c>
      <c r="Q140" s="95">
        <f>(Table13[[#This Row],[January 2025 - Balance Qty]]-Table13[[#This Row],[February 2025 - Issued Qty]])+Table13[[#This Row],[Incoming Qty]]</f>
        <v>0</v>
      </c>
      <c r="R140" s="207">
        <f>Table13[[#This Row],[February 2025 - Balance Qty]]*Table13[[#This Row],[Unit Cost]]</f>
        <v>0</v>
      </c>
      <c r="S140" s="205">
        <v>0</v>
      </c>
      <c r="T140" s="206">
        <v>0</v>
      </c>
      <c r="U140" s="208">
        <f>Table13[[#This Row],[Incoming Unit Cost]]*Table13[[#This Row],[Incoming Qty]]</f>
        <v>0</v>
      </c>
      <c r="V140" s="206">
        <f>SUMIF(Table3267[Item],Table13[[#This Row],[Decription]],Table3267[Quantity Issued])</f>
        <v>0</v>
      </c>
      <c r="W140" s="206">
        <f>Table13[[#This Row],[Unit Cost]]*Table13[[#This Row],[March 2025 - Issued Qty]]</f>
        <v>0</v>
      </c>
      <c r="X140" s="219">
        <f>(Table13[[#This Row],[February 2025 - Balance Qty]]-Table13[[#This Row],[March 2025 - Issued Qty]])+Table13[[#This Row],[Incoming Qty]]</f>
        <v>0</v>
      </c>
      <c r="Y140" s="207">
        <f>Table13[[#This Row],[March 2025 - Balance Qty]]*Table13[[#This Row],[Unit Cost]]</f>
        <v>0</v>
      </c>
      <c r="Z140" s="205">
        <v>0</v>
      </c>
      <c r="AA140" s="206">
        <v>0</v>
      </c>
      <c r="AB140" s="208">
        <f>Table13[[#This Row],[Incoming Unit Cost]]*Table13[[#This Row],[Incoming Qty]]</f>
        <v>0</v>
      </c>
      <c r="AC140" s="206">
        <f>SUMIF(Table326[Item],Table13[[#This Row],[Decription]],Table326[Quantity Issued])</f>
        <v>0</v>
      </c>
      <c r="AD140" s="206">
        <f>Table13[[#This Row],[Unit Cost]]*Table13[[#This Row],[April 2025 - Issued Qty ]]</f>
        <v>0</v>
      </c>
      <c r="AE140" s="219">
        <f>(Table13[[#This Row],[March 2025 - Balance Qty]]-Table13[[#This Row],[April 2025 - Issued Qty ]])+Table13[[#This Row],[Incoming Qty ]]</f>
        <v>0</v>
      </c>
      <c r="AF140" s="207">
        <f>Table13[[#This Row],[April 2025 - Balance Qty]]*Table13[[#This Row],[Unit Cost]]</f>
        <v>0</v>
      </c>
      <c r="AG140" s="207"/>
    </row>
    <row r="141" spans="1:33">
      <c r="E141" s="204"/>
      <c r="F141" s="204"/>
      <c r="G141" s="204">
        <f>Table13[[#This Row],[Unit Cost]]*Table13[[#This Row],[Quantity on Hand]]</f>
        <v>0</v>
      </c>
      <c r="H141" s="205">
        <f>SUMIF(Table3[Item],Table13[[#This Row],[Decription]],Table3[Quantity Issued])</f>
        <v>0</v>
      </c>
      <c r="I141" s="206">
        <f>Table13[[#This Row],[January 2025 - Issued Qty]]*Table13[[#This Row],[Unit Cost]]</f>
        <v>0</v>
      </c>
      <c r="J141" s="95">
        <f>Table13[[#This Row],[Quantity on Hand]]-Table13[[#This Row],[January 2025 - Issued Qty]]</f>
        <v>0</v>
      </c>
      <c r="K141" s="207">
        <f>Table13[[#This Row],[January 2025 - Balance Qty]]*Table13[[#This Row],[Unit Cost]]</f>
        <v>0</v>
      </c>
      <c r="L141" s="205">
        <v>0</v>
      </c>
      <c r="M141" s="206">
        <v>0</v>
      </c>
      <c r="N141" s="208">
        <f>Table13[[#This Row],[Incoming Unit Cost]]*Table13[[#This Row],[Incoming Qty]]</f>
        <v>0</v>
      </c>
      <c r="O141" s="206">
        <f>SUMIF(Table32[Item],Table13[[#This Row],[Decription]],Table32[Quantity Issued])</f>
        <v>0</v>
      </c>
      <c r="P141" s="206">
        <f>Table13[[#This Row],[Unit Cost]]*Table13[[#This Row],[February 2025 - Issued Qty]]</f>
        <v>0</v>
      </c>
      <c r="Q141" s="95">
        <f>(Table13[[#This Row],[January 2025 - Balance Qty]]-Table13[[#This Row],[February 2025 - Issued Qty]])+Table13[[#This Row],[Incoming Qty]]</f>
        <v>0</v>
      </c>
      <c r="R141" s="207">
        <f>Table13[[#This Row],[February 2025 - Balance Qty]]*Table13[[#This Row],[Unit Cost]]</f>
        <v>0</v>
      </c>
      <c r="S141" s="205">
        <v>0</v>
      </c>
      <c r="T141" s="206">
        <v>0</v>
      </c>
      <c r="U141" s="208">
        <f>Table13[[#This Row],[Incoming Unit Cost]]*Table13[[#This Row],[Incoming Qty]]</f>
        <v>0</v>
      </c>
      <c r="V141" s="206">
        <f>SUMIF(Table3267[Item],Table13[[#This Row],[Decription]],Table3267[Quantity Issued])</f>
        <v>0</v>
      </c>
      <c r="W141" s="206">
        <f>Table13[[#This Row],[Unit Cost]]*Table13[[#This Row],[March 2025 - Issued Qty]]</f>
        <v>0</v>
      </c>
      <c r="X141" s="219">
        <f>(Table13[[#This Row],[February 2025 - Balance Qty]]-Table13[[#This Row],[March 2025 - Issued Qty]])+Table13[[#This Row],[Incoming Qty]]</f>
        <v>0</v>
      </c>
      <c r="Y141" s="207">
        <f>Table13[[#This Row],[March 2025 - Balance Qty]]*Table13[[#This Row],[Unit Cost]]</f>
        <v>0</v>
      </c>
      <c r="Z141" s="205">
        <v>0</v>
      </c>
      <c r="AA141" s="206">
        <v>0</v>
      </c>
      <c r="AB141" s="208">
        <f>Table13[[#This Row],[Incoming Unit Cost]]*Table13[[#This Row],[Incoming Qty]]</f>
        <v>0</v>
      </c>
      <c r="AC141" s="206">
        <f>SUMIF(Table326[Item],Table13[[#This Row],[Decription]],Table326[Quantity Issued])</f>
        <v>0</v>
      </c>
      <c r="AD141" s="206">
        <f>Table13[[#This Row],[Unit Cost]]*Table13[[#This Row],[April 2025 - Issued Qty ]]</f>
        <v>0</v>
      </c>
      <c r="AE141" s="219">
        <f>(Table13[[#This Row],[March 2025 - Balance Qty]]-Table13[[#This Row],[April 2025 - Issued Qty ]])+Table13[[#This Row],[Incoming Qty ]]</f>
        <v>0</v>
      </c>
      <c r="AF141" s="207">
        <f>Table13[[#This Row],[April 2025 - Balance Qty]]*Table13[[#This Row],[Unit Cost]]</f>
        <v>0</v>
      </c>
      <c r="AG141" s="207"/>
    </row>
    <row r="142" spans="1:33">
      <c r="E142" s="204"/>
      <c r="F142" s="204"/>
      <c r="G142" s="204">
        <f>Table13[[#This Row],[Unit Cost]]*Table13[[#This Row],[Quantity on Hand]]</f>
        <v>0</v>
      </c>
      <c r="H142" s="205">
        <f>SUMIF(Table3[Item],Table13[[#This Row],[Decription]],Table3[Quantity Issued])</f>
        <v>0</v>
      </c>
      <c r="I142" s="206">
        <f>Table13[[#This Row],[January 2025 - Issued Qty]]*Table13[[#This Row],[Unit Cost]]</f>
        <v>0</v>
      </c>
      <c r="J142" s="95">
        <f>Table13[[#This Row],[Quantity on Hand]]-Table13[[#This Row],[January 2025 - Issued Qty]]</f>
        <v>0</v>
      </c>
      <c r="K142" s="207">
        <f>Table13[[#This Row],[January 2025 - Balance Qty]]*Table13[[#This Row],[Unit Cost]]</f>
        <v>0</v>
      </c>
      <c r="L142" s="205">
        <v>0</v>
      </c>
      <c r="M142" s="206">
        <v>0</v>
      </c>
      <c r="N142" s="208">
        <f>Table13[[#This Row],[Incoming Unit Cost]]*Table13[[#This Row],[Incoming Qty]]</f>
        <v>0</v>
      </c>
      <c r="O142" s="206">
        <f>SUMIF(Table32[Item],Table13[[#This Row],[Decription]],Table32[Quantity Issued])</f>
        <v>0</v>
      </c>
      <c r="P142" s="206">
        <f>Table13[[#This Row],[Unit Cost]]*Table13[[#This Row],[February 2025 - Issued Qty]]</f>
        <v>0</v>
      </c>
      <c r="Q142" s="95">
        <f>(Table13[[#This Row],[January 2025 - Balance Qty]]-Table13[[#This Row],[February 2025 - Issued Qty]])+Table13[[#This Row],[Incoming Qty]]</f>
        <v>0</v>
      </c>
      <c r="R142" s="207">
        <f>Table13[[#This Row],[February 2025 - Balance Qty]]*Table13[[#This Row],[Unit Cost]]</f>
        <v>0</v>
      </c>
      <c r="S142" s="205">
        <v>0</v>
      </c>
      <c r="T142" s="206">
        <v>0</v>
      </c>
      <c r="U142" s="208">
        <f>Table13[[#This Row],[Incoming Unit Cost]]*Table13[[#This Row],[Incoming Qty]]</f>
        <v>0</v>
      </c>
      <c r="V142" s="206">
        <f>SUMIF(Table3267[Item],Table13[[#This Row],[Decription]],Table3267[Quantity Issued])</f>
        <v>0</v>
      </c>
      <c r="W142" s="206">
        <f>Table13[[#This Row],[Unit Cost]]*Table13[[#This Row],[March 2025 - Issued Qty]]</f>
        <v>0</v>
      </c>
      <c r="X142" s="219">
        <f>(Table13[[#This Row],[February 2025 - Balance Qty]]-Table13[[#This Row],[March 2025 - Issued Qty]])+Table13[[#This Row],[Incoming Qty]]</f>
        <v>0</v>
      </c>
      <c r="Y142" s="207">
        <f>Table13[[#This Row],[March 2025 - Balance Qty]]*Table13[[#This Row],[Unit Cost]]</f>
        <v>0</v>
      </c>
      <c r="Z142" s="205">
        <v>0</v>
      </c>
      <c r="AA142" s="206">
        <v>0</v>
      </c>
      <c r="AB142" s="208">
        <f>Table13[[#This Row],[Incoming Unit Cost]]*Table13[[#This Row],[Incoming Qty]]</f>
        <v>0</v>
      </c>
      <c r="AC142" s="206">
        <f>SUMIF(Table326[Item],Table13[[#This Row],[Decription]],Table326[Quantity Issued])</f>
        <v>0</v>
      </c>
      <c r="AD142" s="206">
        <f>Table13[[#This Row],[Unit Cost]]*Table13[[#This Row],[April 2025 - Issued Qty ]]</f>
        <v>0</v>
      </c>
      <c r="AE142" s="219">
        <f>(Table13[[#This Row],[March 2025 - Balance Qty]]-Table13[[#This Row],[April 2025 - Issued Qty ]])+Table13[[#This Row],[Incoming Qty ]]</f>
        <v>0</v>
      </c>
      <c r="AF142" s="207">
        <f>Table13[[#This Row],[April 2025 - Balance Qty]]*Table13[[#This Row],[Unit Cost]]</f>
        <v>0</v>
      </c>
      <c r="AG142" s="207"/>
    </row>
    <row r="143" spans="1:33">
      <c r="E143" s="204"/>
      <c r="F143" s="204"/>
      <c r="G143" s="204">
        <f>Table13[[#This Row],[Unit Cost]]*Table13[[#This Row],[Quantity on Hand]]</f>
        <v>0</v>
      </c>
      <c r="H143" s="205">
        <f>SUMIF(Table3[Item],Table13[[#This Row],[Decription]],Table3[Quantity Issued])</f>
        <v>0</v>
      </c>
      <c r="I143" s="206">
        <f>Table13[[#This Row],[January 2025 - Issued Qty]]*Table13[[#This Row],[Unit Cost]]</f>
        <v>0</v>
      </c>
      <c r="J143" s="95">
        <f>Table13[[#This Row],[Quantity on Hand]]-Table13[[#This Row],[January 2025 - Issued Qty]]</f>
        <v>0</v>
      </c>
      <c r="K143" s="207">
        <f>Table13[[#This Row],[January 2025 - Balance Qty]]*Table13[[#This Row],[Unit Cost]]</f>
        <v>0</v>
      </c>
      <c r="L143" s="205">
        <v>0</v>
      </c>
      <c r="M143" s="206">
        <v>0</v>
      </c>
      <c r="N143" s="208">
        <f>Table13[[#This Row],[Incoming Unit Cost]]*Table13[[#This Row],[Incoming Qty]]</f>
        <v>0</v>
      </c>
      <c r="O143" s="206">
        <f>SUMIF(Table32[Item],Table13[[#This Row],[Decription]],Table32[Quantity Issued])</f>
        <v>0</v>
      </c>
      <c r="P143" s="206">
        <f>Table13[[#This Row],[Unit Cost]]*Table13[[#This Row],[February 2025 - Issued Qty]]</f>
        <v>0</v>
      </c>
      <c r="Q143" s="95">
        <f>(Table13[[#This Row],[January 2025 - Balance Qty]]-Table13[[#This Row],[February 2025 - Issued Qty]])+Table13[[#This Row],[Incoming Qty]]</f>
        <v>0</v>
      </c>
      <c r="R143" s="207">
        <f>Table13[[#This Row],[February 2025 - Balance Qty]]*Table13[[#This Row],[Unit Cost]]</f>
        <v>0</v>
      </c>
      <c r="S143" s="205">
        <v>0</v>
      </c>
      <c r="T143" s="206">
        <v>0</v>
      </c>
      <c r="U143" s="208">
        <f>Table13[[#This Row],[Incoming Unit Cost]]*Table13[[#This Row],[Incoming Qty]]</f>
        <v>0</v>
      </c>
      <c r="V143" s="206">
        <f>SUMIF(Table3267[Item],Table13[[#This Row],[Decription]],Table3267[Quantity Issued])</f>
        <v>0</v>
      </c>
      <c r="W143" s="206">
        <f>Table13[[#This Row],[Unit Cost]]*Table13[[#This Row],[March 2025 - Issued Qty]]</f>
        <v>0</v>
      </c>
      <c r="X143" s="219">
        <f>(Table13[[#This Row],[February 2025 - Balance Qty]]-Table13[[#This Row],[March 2025 - Issued Qty]])+Table13[[#This Row],[Incoming Qty]]</f>
        <v>0</v>
      </c>
      <c r="Y143" s="207">
        <f>Table13[[#This Row],[March 2025 - Balance Qty]]*Table13[[#This Row],[Unit Cost]]</f>
        <v>0</v>
      </c>
      <c r="Z143" s="205">
        <v>0</v>
      </c>
      <c r="AA143" s="206">
        <v>0</v>
      </c>
      <c r="AB143" s="208">
        <f>Table13[[#This Row],[Incoming Unit Cost]]*Table13[[#This Row],[Incoming Qty]]</f>
        <v>0</v>
      </c>
      <c r="AC143" s="206">
        <f>SUMIF(Table326[Item],Table13[[#This Row],[Decription]],Table326[Quantity Issued])</f>
        <v>0</v>
      </c>
      <c r="AD143" s="206">
        <f>Table13[[#This Row],[Unit Cost]]*Table13[[#This Row],[April 2025 - Issued Qty ]]</f>
        <v>0</v>
      </c>
      <c r="AE143" s="219">
        <f>(Table13[[#This Row],[March 2025 - Balance Qty]]-Table13[[#This Row],[April 2025 - Issued Qty ]])+Table13[[#This Row],[Incoming Qty ]]</f>
        <v>0</v>
      </c>
      <c r="AF143" s="207">
        <f>Table13[[#This Row],[April 2025 - Balance Qty]]*Table13[[#This Row],[Unit Cost]]</f>
        <v>0</v>
      </c>
      <c r="AG143" s="207"/>
    </row>
    <row r="144" spans="1:33">
      <c r="E144" s="204"/>
      <c r="F144" s="204"/>
      <c r="G144" s="204">
        <f>Table13[[#This Row],[Unit Cost]]*Table13[[#This Row],[Quantity on Hand]]</f>
        <v>0</v>
      </c>
      <c r="H144" s="205">
        <f>SUMIF(Table3[Item],Table13[[#This Row],[Decription]],Table3[Quantity Issued])</f>
        <v>0</v>
      </c>
      <c r="I144" s="206">
        <f>Table13[[#This Row],[January 2025 - Issued Qty]]*Table13[[#This Row],[Unit Cost]]</f>
        <v>0</v>
      </c>
      <c r="J144" s="95">
        <f>Table13[[#This Row],[Quantity on Hand]]-Table13[[#This Row],[January 2025 - Issued Qty]]</f>
        <v>0</v>
      </c>
      <c r="K144" s="207">
        <f>Table13[[#This Row],[January 2025 - Balance Qty]]*Table13[[#This Row],[Unit Cost]]</f>
        <v>0</v>
      </c>
      <c r="L144" s="205">
        <v>0</v>
      </c>
      <c r="M144" s="206">
        <v>0</v>
      </c>
      <c r="N144" s="208">
        <f>Table13[[#This Row],[Incoming Unit Cost]]*Table13[[#This Row],[Incoming Qty]]</f>
        <v>0</v>
      </c>
      <c r="O144" s="206">
        <f>SUMIF(Table32[Item],Table13[[#This Row],[Decription]],Table32[Quantity Issued])</f>
        <v>0</v>
      </c>
      <c r="P144" s="206">
        <f>Table13[[#This Row],[Unit Cost]]*Table13[[#This Row],[February 2025 - Issued Qty]]</f>
        <v>0</v>
      </c>
      <c r="Q144" s="95">
        <f>(Table13[[#This Row],[January 2025 - Balance Qty]]-Table13[[#This Row],[February 2025 - Issued Qty]])+Table13[[#This Row],[Incoming Qty]]</f>
        <v>0</v>
      </c>
      <c r="R144" s="207">
        <f>Table13[[#This Row],[February 2025 - Balance Qty]]*Table13[[#This Row],[Unit Cost]]</f>
        <v>0</v>
      </c>
      <c r="S144" s="205">
        <v>0</v>
      </c>
      <c r="T144" s="206">
        <v>0</v>
      </c>
      <c r="U144" s="208">
        <f>Table13[[#This Row],[Incoming Unit Cost]]*Table13[[#This Row],[Incoming Qty]]</f>
        <v>0</v>
      </c>
      <c r="V144" s="206">
        <f>SUMIF(Table3267[Item],Table13[[#This Row],[Decription]],Table3267[Quantity Issued])</f>
        <v>0</v>
      </c>
      <c r="W144" s="206">
        <f>Table13[[#This Row],[Unit Cost]]*Table13[[#This Row],[March 2025 - Issued Qty]]</f>
        <v>0</v>
      </c>
      <c r="X144" s="219">
        <f>(Table13[[#This Row],[February 2025 - Balance Qty]]-Table13[[#This Row],[March 2025 - Issued Qty]])+Table13[[#This Row],[Incoming Qty]]</f>
        <v>0</v>
      </c>
      <c r="Y144" s="207">
        <f>Table13[[#This Row],[March 2025 - Balance Qty]]*Table13[[#This Row],[Unit Cost]]</f>
        <v>0</v>
      </c>
      <c r="Z144" s="205">
        <v>0</v>
      </c>
      <c r="AA144" s="206">
        <v>0</v>
      </c>
      <c r="AB144" s="208">
        <f>Table13[[#This Row],[Incoming Unit Cost]]*Table13[[#This Row],[Incoming Qty]]</f>
        <v>0</v>
      </c>
      <c r="AC144" s="206">
        <f>SUMIF(Table326[Item],Table13[[#This Row],[Decription]],Table326[Quantity Issued])</f>
        <v>0</v>
      </c>
      <c r="AD144" s="206">
        <f>Table13[[#This Row],[Unit Cost]]*Table13[[#This Row],[April 2025 - Issued Qty ]]</f>
        <v>0</v>
      </c>
      <c r="AE144" s="219">
        <f>(Table13[[#This Row],[March 2025 - Balance Qty]]-Table13[[#This Row],[April 2025 - Issued Qty ]])+Table13[[#This Row],[Incoming Qty ]]</f>
        <v>0</v>
      </c>
      <c r="AF144" s="207">
        <f>Table13[[#This Row],[April 2025 - Balance Qty]]*Table13[[#This Row],[Unit Cost]]</f>
        <v>0</v>
      </c>
      <c r="AG144" s="207"/>
    </row>
    <row r="145" spans="5:33">
      <c r="E145" s="204"/>
      <c r="F145" s="204"/>
      <c r="G145" s="204">
        <f>Table13[[#This Row],[Unit Cost]]*Table13[[#This Row],[Quantity on Hand]]</f>
        <v>0</v>
      </c>
      <c r="H145" s="205">
        <f>SUMIF(Table3[Item],Table13[[#This Row],[Decription]],Table3[Quantity Issued])</f>
        <v>0</v>
      </c>
      <c r="I145" s="206">
        <f>Table13[[#This Row],[January 2025 - Issued Qty]]*Table13[[#This Row],[Unit Cost]]</f>
        <v>0</v>
      </c>
      <c r="J145" s="95">
        <f>Table13[[#This Row],[Quantity on Hand]]-Table13[[#This Row],[January 2025 - Issued Qty]]</f>
        <v>0</v>
      </c>
      <c r="K145" s="207">
        <f>Table13[[#This Row],[January 2025 - Balance Qty]]*Table13[[#This Row],[Unit Cost]]</f>
        <v>0</v>
      </c>
      <c r="L145" s="205">
        <v>0</v>
      </c>
      <c r="M145" s="206">
        <v>0</v>
      </c>
      <c r="N145" s="208">
        <f>Table13[[#This Row],[Incoming Unit Cost]]*Table13[[#This Row],[Incoming Qty]]</f>
        <v>0</v>
      </c>
      <c r="O145" s="206">
        <f>SUMIF(Table32[Item],Table13[[#This Row],[Decription]],Table32[Quantity Issued])</f>
        <v>0</v>
      </c>
      <c r="P145" s="206">
        <f>Table13[[#This Row],[Unit Cost]]*Table13[[#This Row],[February 2025 - Issued Qty]]</f>
        <v>0</v>
      </c>
      <c r="Q145" s="95">
        <f>(Table13[[#This Row],[January 2025 - Balance Qty]]-Table13[[#This Row],[February 2025 - Issued Qty]])+Table13[[#This Row],[Incoming Qty]]</f>
        <v>0</v>
      </c>
      <c r="R145" s="207">
        <f>Table13[[#This Row],[February 2025 - Balance Qty]]*Table13[[#This Row],[Unit Cost]]</f>
        <v>0</v>
      </c>
      <c r="S145" s="205">
        <v>0</v>
      </c>
      <c r="T145" s="206">
        <v>0</v>
      </c>
      <c r="U145" s="208">
        <f>Table13[[#This Row],[Incoming Unit Cost]]*Table13[[#This Row],[Incoming Qty]]</f>
        <v>0</v>
      </c>
      <c r="V145" s="206">
        <f>SUMIF(Table3267[Item],Table13[[#This Row],[Decription]],Table3267[Quantity Issued])</f>
        <v>0</v>
      </c>
      <c r="W145" s="206">
        <f>Table13[[#This Row],[Unit Cost]]*Table13[[#This Row],[March 2025 - Issued Qty]]</f>
        <v>0</v>
      </c>
      <c r="X145" s="219">
        <f>(Table13[[#This Row],[February 2025 - Balance Qty]]-Table13[[#This Row],[March 2025 - Issued Qty]])+Table13[[#This Row],[Incoming Qty]]</f>
        <v>0</v>
      </c>
      <c r="Y145" s="207">
        <f>Table13[[#This Row],[March 2025 - Balance Qty]]*Table13[[#This Row],[Unit Cost]]</f>
        <v>0</v>
      </c>
      <c r="Z145" s="205">
        <v>0</v>
      </c>
      <c r="AA145" s="206">
        <v>0</v>
      </c>
      <c r="AB145" s="208">
        <f>Table13[[#This Row],[Incoming Unit Cost]]*Table13[[#This Row],[Incoming Qty]]</f>
        <v>0</v>
      </c>
      <c r="AC145" s="206">
        <f>SUMIF(Table326[Item],Table13[[#This Row],[Decription]],Table326[Quantity Issued])</f>
        <v>0</v>
      </c>
      <c r="AD145" s="206">
        <f>Table13[[#This Row],[Unit Cost]]*Table13[[#This Row],[April 2025 - Issued Qty ]]</f>
        <v>0</v>
      </c>
      <c r="AE145" s="219">
        <f>(Table13[[#This Row],[March 2025 - Balance Qty]]-Table13[[#This Row],[April 2025 - Issued Qty ]])+Table13[[#This Row],[Incoming Qty ]]</f>
        <v>0</v>
      </c>
      <c r="AF145" s="207">
        <f>Table13[[#This Row],[April 2025 - Balance Qty]]*Table13[[#This Row],[Unit Cost]]</f>
        <v>0</v>
      </c>
      <c r="AG145" s="207"/>
    </row>
    <row r="146" spans="5:33">
      <c r="E146" s="204"/>
      <c r="F146" s="204"/>
      <c r="G146" s="204">
        <f>Table13[[#This Row],[Unit Cost]]*Table13[[#This Row],[Quantity on Hand]]</f>
        <v>0</v>
      </c>
      <c r="H146" s="205">
        <f>SUMIF(Table3[Item],Table13[[#This Row],[Decription]],Table3[Quantity Issued])</f>
        <v>0</v>
      </c>
      <c r="I146" s="206">
        <f>Table13[[#This Row],[January 2025 - Issued Qty]]*Table13[[#This Row],[Unit Cost]]</f>
        <v>0</v>
      </c>
      <c r="J146" s="95">
        <f>Table13[[#This Row],[Quantity on Hand]]-Table13[[#This Row],[January 2025 - Issued Qty]]</f>
        <v>0</v>
      </c>
      <c r="K146" s="207">
        <f>Table13[[#This Row],[January 2025 - Balance Qty]]*Table13[[#This Row],[Unit Cost]]</f>
        <v>0</v>
      </c>
      <c r="L146" s="205">
        <v>0</v>
      </c>
      <c r="M146" s="206">
        <v>0</v>
      </c>
      <c r="N146" s="208">
        <f>Table13[[#This Row],[Incoming Unit Cost]]*Table13[[#This Row],[Incoming Qty]]</f>
        <v>0</v>
      </c>
      <c r="O146" s="206">
        <f>SUMIF(Table32[Item],Table13[[#This Row],[Decription]],Table32[Quantity Issued])</f>
        <v>0</v>
      </c>
      <c r="P146" s="206">
        <f>Table13[[#This Row],[Unit Cost]]*Table13[[#This Row],[February 2025 - Issued Qty]]</f>
        <v>0</v>
      </c>
      <c r="Q146" s="95">
        <f>(Table13[[#This Row],[January 2025 - Balance Qty]]-Table13[[#This Row],[February 2025 - Issued Qty]])+Table13[[#This Row],[Incoming Qty]]</f>
        <v>0</v>
      </c>
      <c r="R146" s="207">
        <f>Table13[[#This Row],[February 2025 - Balance Qty]]*Table13[[#This Row],[Unit Cost]]</f>
        <v>0</v>
      </c>
      <c r="S146" s="205">
        <v>0</v>
      </c>
      <c r="T146" s="206">
        <v>0</v>
      </c>
      <c r="U146" s="208">
        <f>Table13[[#This Row],[Incoming Unit Cost]]*Table13[[#This Row],[Incoming Qty]]</f>
        <v>0</v>
      </c>
      <c r="V146" s="206">
        <f>SUMIF(Table3267[Item],Table13[[#This Row],[Decription]],Table3267[Quantity Issued])</f>
        <v>0</v>
      </c>
      <c r="W146" s="206">
        <f>Table13[[#This Row],[Unit Cost]]*Table13[[#This Row],[March 2025 - Issued Qty]]</f>
        <v>0</v>
      </c>
      <c r="X146" s="219">
        <f>(Table13[[#This Row],[February 2025 - Balance Qty]]-Table13[[#This Row],[March 2025 - Issued Qty]])+Table13[[#This Row],[Incoming Qty]]</f>
        <v>0</v>
      </c>
      <c r="Y146" s="207">
        <f>Table13[[#This Row],[March 2025 - Balance Qty]]*Table13[[#This Row],[Unit Cost]]</f>
        <v>0</v>
      </c>
      <c r="Z146" s="205">
        <v>0</v>
      </c>
      <c r="AA146" s="206">
        <v>0</v>
      </c>
      <c r="AB146" s="208">
        <f>Table13[[#This Row],[Incoming Unit Cost]]*Table13[[#This Row],[Incoming Qty]]</f>
        <v>0</v>
      </c>
      <c r="AC146" s="206">
        <f>SUMIF(Table326[Item],Table13[[#This Row],[Decription]],Table326[Quantity Issued])</f>
        <v>0</v>
      </c>
      <c r="AD146" s="206">
        <f>Table13[[#This Row],[Unit Cost]]*Table13[[#This Row],[April 2025 - Issued Qty ]]</f>
        <v>0</v>
      </c>
      <c r="AE146" s="219">
        <f>(Table13[[#This Row],[March 2025 - Balance Qty]]-Table13[[#This Row],[April 2025 - Issued Qty ]])+Table13[[#This Row],[Incoming Qty ]]</f>
        <v>0</v>
      </c>
      <c r="AF146" s="207">
        <f>Table13[[#This Row],[April 2025 - Balance Qty]]*Table13[[#This Row],[Unit Cost]]</f>
        <v>0</v>
      </c>
      <c r="AG146" s="207"/>
    </row>
    <row r="147" spans="5:33">
      <c r="E147" s="204"/>
      <c r="F147" s="204"/>
      <c r="G147" s="204">
        <f>Table13[[#This Row],[Unit Cost]]*Table13[[#This Row],[Quantity on Hand]]</f>
        <v>0</v>
      </c>
      <c r="H147" s="205">
        <f>SUMIF(Table3[Item],Table13[[#This Row],[Decription]],Table3[Quantity Issued])</f>
        <v>0</v>
      </c>
      <c r="I147" s="206">
        <f>Table13[[#This Row],[January 2025 - Issued Qty]]*Table13[[#This Row],[Unit Cost]]</f>
        <v>0</v>
      </c>
      <c r="J147" s="95">
        <f>Table13[[#This Row],[Quantity on Hand]]-Table13[[#This Row],[January 2025 - Issued Qty]]</f>
        <v>0</v>
      </c>
      <c r="K147" s="207">
        <f>Table13[[#This Row],[January 2025 - Balance Qty]]*Table13[[#This Row],[Unit Cost]]</f>
        <v>0</v>
      </c>
      <c r="L147" s="205">
        <v>0</v>
      </c>
      <c r="M147" s="206">
        <v>0</v>
      </c>
      <c r="N147" s="208">
        <f>Table13[[#This Row],[Incoming Unit Cost]]*Table13[[#This Row],[Incoming Qty]]</f>
        <v>0</v>
      </c>
      <c r="O147" s="206">
        <f>SUMIF(Table32[Item],Table13[[#This Row],[Decription]],Table32[Quantity Issued])</f>
        <v>0</v>
      </c>
      <c r="P147" s="206">
        <f>Table13[[#This Row],[Unit Cost]]*Table13[[#This Row],[February 2025 - Issued Qty]]</f>
        <v>0</v>
      </c>
      <c r="Q147" s="95">
        <f>(Table13[[#This Row],[January 2025 - Balance Qty]]-Table13[[#This Row],[February 2025 - Issued Qty]])+Table13[[#This Row],[Incoming Qty]]</f>
        <v>0</v>
      </c>
      <c r="R147" s="207">
        <f>Table13[[#This Row],[February 2025 - Balance Qty]]*Table13[[#This Row],[Unit Cost]]</f>
        <v>0</v>
      </c>
      <c r="S147" s="205">
        <v>0</v>
      </c>
      <c r="T147" s="206">
        <v>0</v>
      </c>
      <c r="U147" s="208">
        <f>Table13[[#This Row],[Incoming Unit Cost]]*Table13[[#This Row],[Incoming Qty]]</f>
        <v>0</v>
      </c>
      <c r="V147" s="206">
        <f>SUMIF(Table3267[Item],Table13[[#This Row],[Decription]],Table3267[Quantity Issued])</f>
        <v>0</v>
      </c>
      <c r="W147" s="206">
        <f>Table13[[#This Row],[Unit Cost]]*Table13[[#This Row],[March 2025 - Issued Qty]]</f>
        <v>0</v>
      </c>
      <c r="X147" s="219">
        <f>(Table13[[#This Row],[February 2025 - Balance Qty]]-Table13[[#This Row],[March 2025 - Issued Qty]])+Table13[[#This Row],[Incoming Qty]]</f>
        <v>0</v>
      </c>
      <c r="Y147" s="207">
        <f>Table13[[#This Row],[March 2025 - Balance Qty]]*Table13[[#This Row],[Unit Cost]]</f>
        <v>0</v>
      </c>
      <c r="Z147" s="205">
        <v>0</v>
      </c>
      <c r="AA147" s="206">
        <v>0</v>
      </c>
      <c r="AB147" s="208">
        <f>Table13[[#This Row],[Incoming Unit Cost]]*Table13[[#This Row],[Incoming Qty]]</f>
        <v>0</v>
      </c>
      <c r="AC147" s="206">
        <f>SUMIF(Table326[Item],Table13[[#This Row],[Decription]],Table326[Quantity Issued])</f>
        <v>0</v>
      </c>
      <c r="AD147" s="206">
        <f>Table13[[#This Row],[Unit Cost]]*Table13[[#This Row],[April 2025 - Issued Qty ]]</f>
        <v>0</v>
      </c>
      <c r="AE147" s="219">
        <f>(Table13[[#This Row],[March 2025 - Balance Qty]]-Table13[[#This Row],[April 2025 - Issued Qty ]])+Table13[[#This Row],[Incoming Qty ]]</f>
        <v>0</v>
      </c>
      <c r="AF147" s="207">
        <f>Table13[[#This Row],[April 2025 - Balance Qty]]*Table13[[#This Row],[Unit Cost]]</f>
        <v>0</v>
      </c>
      <c r="AG147" s="207"/>
    </row>
    <row r="148" spans="5:33">
      <c r="E148" s="204"/>
      <c r="F148" s="204"/>
      <c r="G148" s="204">
        <f>Table13[[#This Row],[Unit Cost]]*Table13[[#This Row],[Quantity on Hand]]</f>
        <v>0</v>
      </c>
      <c r="H148" s="205">
        <f>SUMIF(Table3[Item],Table13[[#This Row],[Decription]],Table3[Quantity Issued])</f>
        <v>0</v>
      </c>
      <c r="I148" s="206">
        <f>Table13[[#This Row],[January 2025 - Issued Qty]]*Table13[[#This Row],[Unit Cost]]</f>
        <v>0</v>
      </c>
      <c r="J148" s="95">
        <f>Table13[[#This Row],[Quantity on Hand]]-Table13[[#This Row],[January 2025 - Issued Qty]]</f>
        <v>0</v>
      </c>
      <c r="K148" s="207">
        <f>Table13[[#This Row],[January 2025 - Balance Qty]]*Table13[[#This Row],[Unit Cost]]</f>
        <v>0</v>
      </c>
      <c r="L148" s="205">
        <v>0</v>
      </c>
      <c r="M148" s="206">
        <v>0</v>
      </c>
      <c r="N148" s="208">
        <f>Table13[[#This Row],[Incoming Unit Cost]]*Table13[[#This Row],[Incoming Qty]]</f>
        <v>0</v>
      </c>
      <c r="O148" s="206">
        <f>SUMIF(Table32[Item],Table13[[#This Row],[Decription]],Table32[Quantity Issued])</f>
        <v>0</v>
      </c>
      <c r="P148" s="206">
        <f>Table13[[#This Row],[Unit Cost]]*Table13[[#This Row],[February 2025 - Issued Qty]]</f>
        <v>0</v>
      </c>
      <c r="Q148" s="95">
        <f>(Table13[[#This Row],[January 2025 - Balance Qty]]-Table13[[#This Row],[February 2025 - Issued Qty]])+Table13[[#This Row],[Incoming Qty]]</f>
        <v>0</v>
      </c>
      <c r="R148" s="207">
        <f>Table13[[#This Row],[February 2025 - Balance Qty]]*Table13[[#This Row],[Unit Cost]]</f>
        <v>0</v>
      </c>
      <c r="S148" s="205">
        <v>0</v>
      </c>
      <c r="T148" s="206">
        <v>0</v>
      </c>
      <c r="U148" s="208">
        <f>Table13[[#This Row],[Incoming Unit Cost]]*Table13[[#This Row],[Incoming Qty]]</f>
        <v>0</v>
      </c>
      <c r="V148" s="206">
        <f>SUMIF(Table3267[Item],Table13[[#This Row],[Decription]],Table3267[Quantity Issued])</f>
        <v>0</v>
      </c>
      <c r="W148" s="206">
        <f>Table13[[#This Row],[Unit Cost]]*Table13[[#This Row],[March 2025 - Issued Qty]]</f>
        <v>0</v>
      </c>
      <c r="X148" s="219">
        <f>(Table13[[#This Row],[February 2025 - Balance Qty]]-Table13[[#This Row],[March 2025 - Issued Qty]])+Table13[[#This Row],[Incoming Qty]]</f>
        <v>0</v>
      </c>
      <c r="Y148" s="207">
        <f>Table13[[#This Row],[March 2025 - Balance Qty]]*Table13[[#This Row],[Unit Cost]]</f>
        <v>0</v>
      </c>
      <c r="Z148" s="205">
        <v>0</v>
      </c>
      <c r="AA148" s="206">
        <v>0</v>
      </c>
      <c r="AB148" s="208">
        <f>Table13[[#This Row],[Incoming Unit Cost]]*Table13[[#This Row],[Incoming Qty]]</f>
        <v>0</v>
      </c>
      <c r="AC148" s="206">
        <f>SUMIF(Table326[Item],Table13[[#This Row],[Decription]],Table326[Quantity Issued])</f>
        <v>0</v>
      </c>
      <c r="AD148" s="206">
        <f>Table13[[#This Row],[Unit Cost]]*Table13[[#This Row],[April 2025 - Issued Qty ]]</f>
        <v>0</v>
      </c>
      <c r="AE148" s="219">
        <f>(Table13[[#This Row],[March 2025 - Balance Qty]]-Table13[[#This Row],[April 2025 - Issued Qty ]])+Table13[[#This Row],[Incoming Qty ]]</f>
        <v>0</v>
      </c>
      <c r="AF148" s="207">
        <f>Table13[[#This Row],[April 2025 - Balance Qty]]*Table13[[#This Row],[Unit Cost]]</f>
        <v>0</v>
      </c>
      <c r="AG148" s="207"/>
    </row>
    <row r="149" spans="5:33">
      <c r="E149" s="204"/>
      <c r="F149" s="204"/>
      <c r="G149" s="204">
        <f>Table13[[#This Row],[Unit Cost]]*Table13[[#This Row],[Quantity on Hand]]</f>
        <v>0</v>
      </c>
      <c r="H149" s="205">
        <f>SUMIF(Table3[Item],Table13[[#This Row],[Decription]],Table3[Quantity Issued])</f>
        <v>0</v>
      </c>
      <c r="I149" s="206">
        <f>Table13[[#This Row],[January 2025 - Issued Qty]]*Table13[[#This Row],[Unit Cost]]</f>
        <v>0</v>
      </c>
      <c r="J149" s="95">
        <f>Table13[[#This Row],[Quantity on Hand]]-Table13[[#This Row],[January 2025 - Issued Qty]]</f>
        <v>0</v>
      </c>
      <c r="K149" s="207">
        <f>Table13[[#This Row],[January 2025 - Balance Qty]]*Table13[[#This Row],[Unit Cost]]</f>
        <v>0</v>
      </c>
      <c r="L149" s="205">
        <v>0</v>
      </c>
      <c r="M149" s="206">
        <v>0</v>
      </c>
      <c r="N149" s="208">
        <f>Table13[[#This Row],[Incoming Unit Cost]]*Table13[[#This Row],[Incoming Qty]]</f>
        <v>0</v>
      </c>
      <c r="O149" s="206">
        <f>SUMIF(Table32[Item],Table13[[#This Row],[Decription]],Table32[Quantity Issued])</f>
        <v>0</v>
      </c>
      <c r="P149" s="206">
        <f>Table13[[#This Row],[Unit Cost]]*Table13[[#This Row],[February 2025 - Issued Qty]]</f>
        <v>0</v>
      </c>
      <c r="Q149" s="95">
        <f>(Table13[[#This Row],[January 2025 - Balance Qty]]-Table13[[#This Row],[February 2025 - Issued Qty]])+Table13[[#This Row],[Incoming Qty]]</f>
        <v>0</v>
      </c>
      <c r="R149" s="207">
        <f>Table13[[#This Row],[February 2025 - Balance Qty]]*Table13[[#This Row],[Unit Cost]]</f>
        <v>0</v>
      </c>
      <c r="S149" s="205">
        <v>0</v>
      </c>
      <c r="T149" s="206">
        <v>0</v>
      </c>
      <c r="U149" s="208">
        <f>Table13[[#This Row],[Incoming Unit Cost]]*Table13[[#This Row],[Incoming Qty]]</f>
        <v>0</v>
      </c>
      <c r="V149" s="206">
        <f>SUMIF(Table3267[Item],Table13[[#This Row],[Decription]],Table3267[Quantity Issued])</f>
        <v>0</v>
      </c>
      <c r="W149" s="206">
        <f>Table13[[#This Row],[Unit Cost]]*Table13[[#This Row],[March 2025 - Issued Qty]]</f>
        <v>0</v>
      </c>
      <c r="X149" s="219">
        <f>(Table13[[#This Row],[February 2025 - Balance Qty]]-Table13[[#This Row],[March 2025 - Issued Qty]])+Table13[[#This Row],[Incoming Qty]]</f>
        <v>0</v>
      </c>
      <c r="Y149" s="207">
        <f>Table13[[#This Row],[March 2025 - Balance Qty]]*Table13[[#This Row],[Unit Cost]]</f>
        <v>0</v>
      </c>
      <c r="Z149" s="205">
        <v>0</v>
      </c>
      <c r="AA149" s="206">
        <v>0</v>
      </c>
      <c r="AB149" s="208">
        <f>Table13[[#This Row],[Incoming Unit Cost]]*Table13[[#This Row],[Incoming Qty]]</f>
        <v>0</v>
      </c>
      <c r="AC149" s="206">
        <f>SUMIF(Table326[Item],Table13[[#This Row],[Decription]],Table326[Quantity Issued])</f>
        <v>0</v>
      </c>
      <c r="AD149" s="206">
        <f>Table13[[#This Row],[Unit Cost]]*Table13[[#This Row],[April 2025 - Issued Qty ]]</f>
        <v>0</v>
      </c>
      <c r="AE149" s="219">
        <f>(Table13[[#This Row],[March 2025 - Balance Qty]]-Table13[[#This Row],[April 2025 - Issued Qty ]])+Table13[[#This Row],[Incoming Qty ]]</f>
        <v>0</v>
      </c>
      <c r="AF149" s="207">
        <f>Table13[[#This Row],[April 2025 - Balance Qty]]*Table13[[#This Row],[Unit Cost]]</f>
        <v>0</v>
      </c>
      <c r="AG149" s="207"/>
    </row>
    <row r="150" spans="5:33">
      <c r="E150" s="204"/>
      <c r="F150" s="204"/>
      <c r="G150" s="204">
        <f>Table13[[#This Row],[Unit Cost]]*Table13[[#This Row],[Quantity on Hand]]</f>
        <v>0</v>
      </c>
      <c r="H150" s="205">
        <f>SUMIF(Table3[Item],Table13[[#This Row],[Decription]],Table3[Quantity Issued])</f>
        <v>0</v>
      </c>
      <c r="I150" s="206">
        <f>Table13[[#This Row],[January 2025 - Issued Qty]]*Table13[[#This Row],[Unit Cost]]</f>
        <v>0</v>
      </c>
      <c r="J150" s="95">
        <f>Table13[[#This Row],[Quantity on Hand]]-Table13[[#This Row],[January 2025 - Issued Qty]]</f>
        <v>0</v>
      </c>
      <c r="K150" s="207">
        <f>Table13[[#This Row],[January 2025 - Balance Qty]]*Table13[[#This Row],[Unit Cost]]</f>
        <v>0</v>
      </c>
      <c r="L150" s="205">
        <v>0</v>
      </c>
      <c r="M150" s="206">
        <v>0</v>
      </c>
      <c r="N150" s="208">
        <f>Table13[[#This Row],[Incoming Unit Cost]]*Table13[[#This Row],[Incoming Qty]]</f>
        <v>0</v>
      </c>
      <c r="O150" s="206">
        <f>SUMIF(Table32[Item],Table13[[#This Row],[Decription]],Table32[Quantity Issued])</f>
        <v>0</v>
      </c>
      <c r="P150" s="206">
        <f>Table13[[#This Row],[Unit Cost]]*Table13[[#This Row],[February 2025 - Issued Qty]]</f>
        <v>0</v>
      </c>
      <c r="Q150" s="95">
        <f>(Table13[[#This Row],[January 2025 - Balance Qty]]-Table13[[#This Row],[February 2025 - Issued Qty]])+Table13[[#This Row],[Incoming Qty]]</f>
        <v>0</v>
      </c>
      <c r="R150" s="207">
        <f>Table13[[#This Row],[February 2025 - Balance Qty]]*Table13[[#This Row],[Unit Cost]]</f>
        <v>0</v>
      </c>
      <c r="S150" s="205">
        <v>0</v>
      </c>
      <c r="T150" s="206">
        <v>0</v>
      </c>
      <c r="U150" s="208">
        <f>Table13[[#This Row],[Incoming Unit Cost]]*Table13[[#This Row],[Incoming Qty]]</f>
        <v>0</v>
      </c>
      <c r="V150" s="206">
        <f>SUMIF(Table3267[Item],Table13[[#This Row],[Decription]],Table3267[Quantity Issued])</f>
        <v>0</v>
      </c>
      <c r="W150" s="206">
        <f>Table13[[#This Row],[Unit Cost]]*Table13[[#This Row],[March 2025 - Issued Qty]]</f>
        <v>0</v>
      </c>
      <c r="X150" s="219">
        <f>(Table13[[#This Row],[February 2025 - Balance Qty]]-Table13[[#This Row],[March 2025 - Issued Qty]])+Table13[[#This Row],[Incoming Qty]]</f>
        <v>0</v>
      </c>
      <c r="Y150" s="207">
        <f>Table13[[#This Row],[March 2025 - Balance Qty]]*Table13[[#This Row],[Unit Cost]]</f>
        <v>0</v>
      </c>
      <c r="Z150" s="205">
        <v>0</v>
      </c>
      <c r="AA150" s="206">
        <v>0</v>
      </c>
      <c r="AB150" s="208">
        <f>Table13[[#This Row],[Incoming Unit Cost]]*Table13[[#This Row],[Incoming Qty]]</f>
        <v>0</v>
      </c>
      <c r="AC150" s="206">
        <f>SUMIF(Table326[Item],Table13[[#This Row],[Decription]],Table326[Quantity Issued])</f>
        <v>0</v>
      </c>
      <c r="AD150" s="206">
        <f>Table13[[#This Row],[Unit Cost]]*Table13[[#This Row],[April 2025 - Issued Qty ]]</f>
        <v>0</v>
      </c>
      <c r="AE150" s="219">
        <f>(Table13[[#This Row],[March 2025 - Balance Qty]]-Table13[[#This Row],[April 2025 - Issued Qty ]])+Table13[[#This Row],[Incoming Qty ]]</f>
        <v>0</v>
      </c>
      <c r="AF150" s="207">
        <f>Table13[[#This Row],[April 2025 - Balance Qty]]*Table13[[#This Row],[Unit Cost]]</f>
        <v>0</v>
      </c>
      <c r="AG150" s="207"/>
    </row>
    <row r="151" spans="5:33">
      <c r="E151" s="204"/>
      <c r="F151" s="204"/>
      <c r="G151" s="204">
        <f>Table13[[#This Row],[Unit Cost]]*Table13[[#This Row],[Quantity on Hand]]</f>
        <v>0</v>
      </c>
      <c r="H151" s="205">
        <f>SUMIF(Table3[Item],Table13[[#This Row],[Decription]],Table3[Quantity Issued])</f>
        <v>0</v>
      </c>
      <c r="I151" s="206">
        <f>Table13[[#This Row],[January 2025 - Issued Qty]]*Table13[[#This Row],[Unit Cost]]</f>
        <v>0</v>
      </c>
      <c r="J151" s="95">
        <f>Table13[[#This Row],[Quantity on Hand]]-Table13[[#This Row],[January 2025 - Issued Qty]]</f>
        <v>0</v>
      </c>
      <c r="K151" s="207">
        <f>Table13[[#This Row],[January 2025 - Balance Qty]]*Table13[[#This Row],[Unit Cost]]</f>
        <v>0</v>
      </c>
      <c r="L151" s="205">
        <v>0</v>
      </c>
      <c r="M151" s="206">
        <v>0</v>
      </c>
      <c r="N151" s="208">
        <f>Table13[[#This Row],[Incoming Unit Cost]]*Table13[[#This Row],[Incoming Qty]]</f>
        <v>0</v>
      </c>
      <c r="O151" s="206">
        <f>SUMIF(Table32[Item],Table13[[#This Row],[Decription]],Table32[Quantity Issued])</f>
        <v>0</v>
      </c>
      <c r="P151" s="206">
        <f>Table13[[#This Row],[Unit Cost]]*Table13[[#This Row],[February 2025 - Issued Qty]]</f>
        <v>0</v>
      </c>
      <c r="Q151" s="95">
        <f>(Table13[[#This Row],[January 2025 - Balance Qty]]-Table13[[#This Row],[February 2025 - Issued Qty]])+Table13[[#This Row],[Incoming Qty]]</f>
        <v>0</v>
      </c>
      <c r="R151" s="207">
        <f>Table13[[#This Row],[February 2025 - Balance Qty]]*Table13[[#This Row],[Unit Cost]]</f>
        <v>0</v>
      </c>
      <c r="S151" s="205">
        <v>0</v>
      </c>
      <c r="T151" s="206">
        <v>0</v>
      </c>
      <c r="U151" s="208">
        <f>Table13[[#This Row],[Incoming Unit Cost]]*Table13[[#This Row],[Incoming Qty]]</f>
        <v>0</v>
      </c>
      <c r="V151" s="206">
        <f>SUMIF(Table3267[Item],Table13[[#This Row],[Decription]],Table3267[Quantity Issued])</f>
        <v>0</v>
      </c>
      <c r="W151" s="206">
        <f>Table13[[#This Row],[Unit Cost]]*Table13[[#This Row],[March 2025 - Issued Qty]]</f>
        <v>0</v>
      </c>
      <c r="X151" s="219">
        <f>(Table13[[#This Row],[February 2025 - Balance Qty]]-Table13[[#This Row],[March 2025 - Issued Qty]])+Table13[[#This Row],[Incoming Qty]]</f>
        <v>0</v>
      </c>
      <c r="Y151" s="207">
        <f>Table13[[#This Row],[March 2025 - Balance Qty]]*Table13[[#This Row],[Unit Cost]]</f>
        <v>0</v>
      </c>
      <c r="Z151" s="205">
        <v>0</v>
      </c>
      <c r="AA151" s="206">
        <v>0</v>
      </c>
      <c r="AB151" s="208">
        <f>Table13[[#This Row],[Incoming Unit Cost]]*Table13[[#This Row],[Incoming Qty]]</f>
        <v>0</v>
      </c>
      <c r="AC151" s="206">
        <f>SUMIF(Table326[Item],Table13[[#This Row],[Decription]],Table326[Quantity Issued])</f>
        <v>0</v>
      </c>
      <c r="AD151" s="206">
        <f>Table13[[#This Row],[Unit Cost]]*Table13[[#This Row],[April 2025 - Issued Qty ]]</f>
        <v>0</v>
      </c>
      <c r="AE151" s="219">
        <f>(Table13[[#This Row],[March 2025 - Balance Qty]]-Table13[[#This Row],[April 2025 - Issued Qty ]])+Table13[[#This Row],[Incoming Qty ]]</f>
        <v>0</v>
      </c>
      <c r="AF151" s="207">
        <f>Table13[[#This Row],[April 2025 - Balance Qty]]*Table13[[#This Row],[Unit Cost]]</f>
        <v>0</v>
      </c>
      <c r="AG151" s="207"/>
    </row>
    <row r="152" spans="5:33">
      <c r="E152" s="204"/>
      <c r="F152" s="204"/>
      <c r="G152" s="204">
        <f>Table13[[#This Row],[Unit Cost]]*Table13[[#This Row],[Quantity on Hand]]</f>
        <v>0</v>
      </c>
      <c r="H152" s="205">
        <f>SUMIF(Table3[Item],Table13[[#This Row],[Decription]],Table3[Quantity Issued])</f>
        <v>0</v>
      </c>
      <c r="I152" s="206">
        <f>Table13[[#This Row],[January 2025 - Issued Qty]]*Table13[[#This Row],[Unit Cost]]</f>
        <v>0</v>
      </c>
      <c r="J152" s="95">
        <f>Table13[[#This Row],[Quantity on Hand]]-Table13[[#This Row],[January 2025 - Issued Qty]]</f>
        <v>0</v>
      </c>
      <c r="K152" s="207">
        <f>Table13[[#This Row],[January 2025 - Balance Qty]]*Table13[[#This Row],[Unit Cost]]</f>
        <v>0</v>
      </c>
      <c r="L152" s="205">
        <v>0</v>
      </c>
      <c r="M152" s="206">
        <v>0</v>
      </c>
      <c r="N152" s="208">
        <f>Table13[[#This Row],[Incoming Unit Cost]]*Table13[[#This Row],[Incoming Qty]]</f>
        <v>0</v>
      </c>
      <c r="O152" s="206">
        <f>SUMIF(Table32[Item],Table13[[#This Row],[Decription]],Table32[Quantity Issued])</f>
        <v>0</v>
      </c>
      <c r="P152" s="206">
        <f>Table13[[#This Row],[Unit Cost]]*Table13[[#This Row],[February 2025 - Issued Qty]]</f>
        <v>0</v>
      </c>
      <c r="Q152" s="95">
        <f>(Table13[[#This Row],[January 2025 - Balance Qty]]-Table13[[#This Row],[February 2025 - Issued Qty]])+Table13[[#This Row],[Incoming Qty]]</f>
        <v>0</v>
      </c>
      <c r="R152" s="207">
        <f>Table13[[#This Row],[February 2025 - Balance Qty]]*Table13[[#This Row],[Unit Cost]]</f>
        <v>0</v>
      </c>
      <c r="S152" s="205">
        <v>0</v>
      </c>
      <c r="T152" s="206">
        <v>0</v>
      </c>
      <c r="U152" s="208">
        <f>Table13[[#This Row],[Incoming Unit Cost]]*Table13[[#This Row],[Incoming Qty]]</f>
        <v>0</v>
      </c>
      <c r="V152" s="206">
        <f>SUMIF(Table3267[Item],Table13[[#This Row],[Decription]],Table3267[Quantity Issued])</f>
        <v>0</v>
      </c>
      <c r="W152" s="206">
        <f>Table13[[#This Row],[Unit Cost]]*Table13[[#This Row],[March 2025 - Issued Qty]]</f>
        <v>0</v>
      </c>
      <c r="X152" s="219">
        <f>(Table13[[#This Row],[February 2025 - Balance Qty]]-Table13[[#This Row],[March 2025 - Issued Qty]])+Table13[[#This Row],[Incoming Qty]]</f>
        <v>0</v>
      </c>
      <c r="Y152" s="207">
        <f>Table13[[#This Row],[March 2025 - Balance Qty]]*Table13[[#This Row],[Unit Cost]]</f>
        <v>0</v>
      </c>
      <c r="Z152" s="205">
        <v>0</v>
      </c>
      <c r="AA152" s="206">
        <v>0</v>
      </c>
      <c r="AB152" s="208">
        <f>Table13[[#This Row],[Incoming Unit Cost]]*Table13[[#This Row],[Incoming Qty]]</f>
        <v>0</v>
      </c>
      <c r="AC152" s="206">
        <f>SUMIF(Table326[Item],Table13[[#This Row],[Decription]],Table326[Quantity Issued])</f>
        <v>0</v>
      </c>
      <c r="AD152" s="206">
        <f>Table13[[#This Row],[Unit Cost]]*Table13[[#This Row],[April 2025 - Issued Qty ]]</f>
        <v>0</v>
      </c>
      <c r="AE152" s="219">
        <f>(Table13[[#This Row],[March 2025 - Balance Qty]]-Table13[[#This Row],[April 2025 - Issued Qty ]])+Table13[[#This Row],[Incoming Qty ]]</f>
        <v>0</v>
      </c>
      <c r="AF152" s="207">
        <f>Table13[[#This Row],[April 2025 - Balance Qty]]*Table13[[#This Row],[Unit Cost]]</f>
        <v>0</v>
      </c>
      <c r="AG152" s="207"/>
    </row>
    <row r="153" spans="5:33">
      <c r="E153" s="204"/>
      <c r="F153" s="204"/>
      <c r="G153" s="204">
        <f>Table13[[#This Row],[Unit Cost]]*Table13[[#This Row],[Quantity on Hand]]</f>
        <v>0</v>
      </c>
      <c r="H153" s="205">
        <f>SUMIF(Table3[Item],Table13[[#This Row],[Decription]],Table3[Quantity Issued])</f>
        <v>0</v>
      </c>
      <c r="I153" s="206">
        <f>Table13[[#This Row],[January 2025 - Issued Qty]]*Table13[[#This Row],[Unit Cost]]</f>
        <v>0</v>
      </c>
      <c r="J153" s="95">
        <f>Table13[[#This Row],[Quantity on Hand]]-Table13[[#This Row],[January 2025 - Issued Qty]]</f>
        <v>0</v>
      </c>
      <c r="K153" s="207">
        <f>Table13[[#This Row],[January 2025 - Balance Qty]]*Table13[[#This Row],[Unit Cost]]</f>
        <v>0</v>
      </c>
      <c r="L153" s="205">
        <v>0</v>
      </c>
      <c r="M153" s="206">
        <v>0</v>
      </c>
      <c r="N153" s="208">
        <f>Table13[[#This Row],[Incoming Unit Cost]]*Table13[[#This Row],[Incoming Qty]]</f>
        <v>0</v>
      </c>
      <c r="O153" s="206">
        <f>SUMIF(Table32[Item],Table13[[#This Row],[Decription]],Table32[Quantity Issued])</f>
        <v>0</v>
      </c>
      <c r="P153" s="206">
        <f>Table13[[#This Row],[Unit Cost]]*Table13[[#This Row],[February 2025 - Issued Qty]]</f>
        <v>0</v>
      </c>
      <c r="Q153" s="95">
        <f>(Table13[[#This Row],[January 2025 - Balance Qty]]-Table13[[#This Row],[February 2025 - Issued Qty]])+Table13[[#This Row],[Incoming Qty]]</f>
        <v>0</v>
      </c>
      <c r="R153" s="207">
        <f>Table13[[#This Row],[February 2025 - Balance Qty]]*Table13[[#This Row],[Unit Cost]]</f>
        <v>0</v>
      </c>
      <c r="S153" s="205">
        <v>0</v>
      </c>
      <c r="T153" s="206">
        <v>0</v>
      </c>
      <c r="U153" s="208">
        <f>Table13[[#This Row],[Incoming Unit Cost]]*Table13[[#This Row],[Incoming Qty]]</f>
        <v>0</v>
      </c>
      <c r="V153" s="206">
        <f>SUMIF(Table3267[Item],Table13[[#This Row],[Decription]],Table3267[Quantity Issued])</f>
        <v>0</v>
      </c>
      <c r="W153" s="206">
        <f>Table13[[#This Row],[Unit Cost]]*Table13[[#This Row],[March 2025 - Issued Qty]]</f>
        <v>0</v>
      </c>
      <c r="X153" s="219">
        <f>(Table13[[#This Row],[February 2025 - Balance Qty]]-Table13[[#This Row],[March 2025 - Issued Qty]])+Table13[[#This Row],[Incoming Qty]]</f>
        <v>0</v>
      </c>
      <c r="Y153" s="207">
        <f>Table13[[#This Row],[March 2025 - Balance Qty]]*Table13[[#This Row],[Unit Cost]]</f>
        <v>0</v>
      </c>
      <c r="Z153" s="205">
        <v>0</v>
      </c>
      <c r="AA153" s="206">
        <v>0</v>
      </c>
      <c r="AB153" s="208">
        <f>Table13[[#This Row],[Incoming Unit Cost]]*Table13[[#This Row],[Incoming Qty]]</f>
        <v>0</v>
      </c>
      <c r="AC153" s="206">
        <f>SUMIF(Table326[Item],Table13[[#This Row],[Decription]],Table326[Quantity Issued])</f>
        <v>0</v>
      </c>
      <c r="AD153" s="206">
        <f>Table13[[#This Row],[Unit Cost]]*Table13[[#This Row],[April 2025 - Issued Qty ]]</f>
        <v>0</v>
      </c>
      <c r="AE153" s="219">
        <f>(Table13[[#This Row],[March 2025 - Balance Qty]]-Table13[[#This Row],[April 2025 - Issued Qty ]])+Table13[[#This Row],[Incoming Qty ]]</f>
        <v>0</v>
      </c>
      <c r="AF153" s="207">
        <f>Table13[[#This Row],[April 2025 - Balance Qty]]*Table13[[#This Row],[Unit Cost]]</f>
        <v>0</v>
      </c>
      <c r="AG153" s="207"/>
    </row>
    <row r="154" spans="5:33">
      <c r="E154" s="204"/>
      <c r="F154" s="204"/>
      <c r="G154" s="204">
        <f>Table13[[#This Row],[Unit Cost]]*Table13[[#This Row],[Quantity on Hand]]</f>
        <v>0</v>
      </c>
      <c r="H154" s="205">
        <f>SUMIF(Table3[Item],Table13[[#This Row],[Decription]],Table3[Quantity Issued])</f>
        <v>0</v>
      </c>
      <c r="I154" s="206">
        <f>Table13[[#This Row],[January 2025 - Issued Qty]]*Table13[[#This Row],[Unit Cost]]</f>
        <v>0</v>
      </c>
      <c r="J154" s="95">
        <f>Table13[[#This Row],[Quantity on Hand]]-Table13[[#This Row],[January 2025 - Issued Qty]]</f>
        <v>0</v>
      </c>
      <c r="K154" s="207">
        <f>Table13[[#This Row],[January 2025 - Balance Qty]]*Table13[[#This Row],[Unit Cost]]</f>
        <v>0</v>
      </c>
      <c r="L154" s="205">
        <v>0</v>
      </c>
      <c r="M154" s="206">
        <v>0</v>
      </c>
      <c r="N154" s="208">
        <f>Table13[[#This Row],[Incoming Unit Cost]]*Table13[[#This Row],[Incoming Qty]]</f>
        <v>0</v>
      </c>
      <c r="O154" s="206">
        <f>SUMIF(Table32[Item],Table13[[#This Row],[Decription]],Table32[Quantity Issued])</f>
        <v>0</v>
      </c>
      <c r="P154" s="206">
        <f>Table13[[#This Row],[Unit Cost]]*Table13[[#This Row],[February 2025 - Issued Qty]]</f>
        <v>0</v>
      </c>
      <c r="Q154" s="95">
        <f>(Table13[[#This Row],[January 2025 - Balance Qty]]-Table13[[#This Row],[February 2025 - Issued Qty]])+Table13[[#This Row],[Incoming Qty]]</f>
        <v>0</v>
      </c>
      <c r="R154" s="207">
        <f>Table13[[#This Row],[February 2025 - Balance Qty]]*Table13[[#This Row],[Unit Cost]]</f>
        <v>0</v>
      </c>
      <c r="S154" s="205">
        <v>0</v>
      </c>
      <c r="T154" s="206">
        <v>0</v>
      </c>
      <c r="U154" s="208">
        <f>Table13[[#This Row],[Incoming Unit Cost]]*Table13[[#This Row],[Incoming Qty]]</f>
        <v>0</v>
      </c>
      <c r="V154" s="206">
        <f>SUMIF(Table3267[Item],Table13[[#This Row],[Decription]],Table3267[Quantity Issued])</f>
        <v>0</v>
      </c>
      <c r="W154" s="206">
        <f>Table13[[#This Row],[Unit Cost]]*Table13[[#This Row],[March 2025 - Issued Qty]]</f>
        <v>0</v>
      </c>
      <c r="X154" s="219">
        <f>(Table13[[#This Row],[February 2025 - Balance Qty]]-Table13[[#This Row],[March 2025 - Issued Qty]])+Table13[[#This Row],[Incoming Qty]]</f>
        <v>0</v>
      </c>
      <c r="Y154" s="207">
        <f>Table13[[#This Row],[March 2025 - Balance Qty]]*Table13[[#This Row],[Unit Cost]]</f>
        <v>0</v>
      </c>
      <c r="Z154" s="205">
        <v>0</v>
      </c>
      <c r="AA154" s="206">
        <v>0</v>
      </c>
      <c r="AB154" s="208">
        <f>Table13[[#This Row],[Incoming Unit Cost]]*Table13[[#This Row],[Incoming Qty]]</f>
        <v>0</v>
      </c>
      <c r="AC154" s="206">
        <f>SUMIF(Table326[Item],Table13[[#This Row],[Decription]],Table326[Quantity Issued])</f>
        <v>0</v>
      </c>
      <c r="AD154" s="206">
        <f>Table13[[#This Row],[Unit Cost]]*Table13[[#This Row],[April 2025 - Issued Qty ]]</f>
        <v>0</v>
      </c>
      <c r="AE154" s="219">
        <f>(Table13[[#This Row],[March 2025 - Balance Qty]]-Table13[[#This Row],[April 2025 - Issued Qty ]])+Table13[[#This Row],[Incoming Qty ]]</f>
        <v>0</v>
      </c>
      <c r="AF154" s="207">
        <f>Table13[[#This Row],[April 2025 - Balance Qty]]*Table13[[#This Row],[Unit Cost]]</f>
        <v>0</v>
      </c>
      <c r="AG154" s="207"/>
    </row>
    <row r="155" spans="5:33">
      <c r="E155" s="204"/>
      <c r="F155" s="204"/>
      <c r="G155" s="204">
        <f>Table13[[#This Row],[Unit Cost]]*Table13[[#This Row],[Quantity on Hand]]</f>
        <v>0</v>
      </c>
      <c r="H155" s="205">
        <f>SUMIF(Table3[Item],Table13[[#This Row],[Decription]],Table3[Quantity Issued])</f>
        <v>0</v>
      </c>
      <c r="I155" s="206">
        <f>Table13[[#This Row],[January 2025 - Issued Qty]]*Table13[[#This Row],[Unit Cost]]</f>
        <v>0</v>
      </c>
      <c r="J155" s="95">
        <f>Table13[[#This Row],[Quantity on Hand]]-Table13[[#This Row],[January 2025 - Issued Qty]]</f>
        <v>0</v>
      </c>
      <c r="K155" s="207">
        <f>Table13[[#This Row],[January 2025 - Balance Qty]]*Table13[[#This Row],[Unit Cost]]</f>
        <v>0</v>
      </c>
      <c r="L155" s="205">
        <v>0</v>
      </c>
      <c r="M155" s="206">
        <v>0</v>
      </c>
      <c r="N155" s="208">
        <f>Table13[[#This Row],[Incoming Unit Cost]]*Table13[[#This Row],[Incoming Qty]]</f>
        <v>0</v>
      </c>
      <c r="O155" s="206">
        <f>SUMIF(Table32[Item],Table13[[#This Row],[Decription]],Table32[Quantity Issued])</f>
        <v>0</v>
      </c>
      <c r="P155" s="206">
        <f>Table13[[#This Row],[Unit Cost]]*Table13[[#This Row],[February 2025 - Issued Qty]]</f>
        <v>0</v>
      </c>
      <c r="Q155" s="95">
        <f>(Table13[[#This Row],[January 2025 - Balance Qty]]-Table13[[#This Row],[February 2025 - Issued Qty]])+Table13[[#This Row],[Incoming Qty]]</f>
        <v>0</v>
      </c>
      <c r="R155" s="207">
        <f>Table13[[#This Row],[February 2025 - Balance Qty]]*Table13[[#This Row],[Unit Cost]]</f>
        <v>0</v>
      </c>
      <c r="S155" s="205">
        <v>0</v>
      </c>
      <c r="T155" s="206">
        <v>0</v>
      </c>
      <c r="U155" s="208">
        <f>Table13[[#This Row],[Incoming Unit Cost]]*Table13[[#This Row],[Incoming Qty]]</f>
        <v>0</v>
      </c>
      <c r="V155" s="206">
        <f>SUMIF(Table3267[Item],Table13[[#This Row],[Decription]],Table3267[Quantity Issued])</f>
        <v>0</v>
      </c>
      <c r="W155" s="206">
        <f>Table13[[#This Row],[Unit Cost]]*Table13[[#This Row],[March 2025 - Issued Qty]]</f>
        <v>0</v>
      </c>
      <c r="X155" s="219">
        <f>(Table13[[#This Row],[February 2025 - Balance Qty]]-Table13[[#This Row],[March 2025 - Issued Qty]])+Table13[[#This Row],[Incoming Qty]]</f>
        <v>0</v>
      </c>
      <c r="Y155" s="207">
        <f>Table13[[#This Row],[March 2025 - Balance Qty]]*Table13[[#This Row],[Unit Cost]]</f>
        <v>0</v>
      </c>
      <c r="Z155" s="205">
        <v>0</v>
      </c>
      <c r="AA155" s="206">
        <v>0</v>
      </c>
      <c r="AB155" s="208">
        <f>Table13[[#This Row],[Incoming Unit Cost]]*Table13[[#This Row],[Incoming Qty]]</f>
        <v>0</v>
      </c>
      <c r="AC155" s="206">
        <f>SUMIF(Table326[Item],Table13[[#This Row],[Decription]],Table326[Quantity Issued])</f>
        <v>0</v>
      </c>
      <c r="AD155" s="206">
        <f>Table13[[#This Row],[Unit Cost]]*Table13[[#This Row],[April 2025 - Issued Qty ]]</f>
        <v>0</v>
      </c>
      <c r="AE155" s="219">
        <f>(Table13[[#This Row],[March 2025 - Balance Qty]]-Table13[[#This Row],[April 2025 - Issued Qty ]])+Table13[[#This Row],[Incoming Qty ]]</f>
        <v>0</v>
      </c>
      <c r="AF155" s="207">
        <f>Table13[[#This Row],[April 2025 - Balance Qty]]*Table13[[#This Row],[Unit Cost]]</f>
        <v>0</v>
      </c>
      <c r="AG155" s="207"/>
    </row>
    <row r="156" spans="5:33">
      <c r="E156" s="204"/>
      <c r="F156" s="204"/>
      <c r="G156" s="204">
        <f>Table13[[#This Row],[Unit Cost]]*Table13[[#This Row],[Quantity on Hand]]</f>
        <v>0</v>
      </c>
      <c r="H156" s="205">
        <f>SUMIF(Table3[Item],Table13[[#This Row],[Decription]],Table3[Quantity Issued])</f>
        <v>0</v>
      </c>
      <c r="I156" s="206">
        <f>Table13[[#This Row],[January 2025 - Issued Qty]]*Table13[[#This Row],[Unit Cost]]</f>
        <v>0</v>
      </c>
      <c r="J156" s="95">
        <f>Table13[[#This Row],[Quantity on Hand]]-Table13[[#This Row],[January 2025 - Issued Qty]]</f>
        <v>0</v>
      </c>
      <c r="K156" s="207">
        <f>Table13[[#This Row],[January 2025 - Balance Qty]]*Table13[[#This Row],[Unit Cost]]</f>
        <v>0</v>
      </c>
      <c r="L156" s="205">
        <v>0</v>
      </c>
      <c r="M156" s="206">
        <v>0</v>
      </c>
      <c r="N156" s="208">
        <f>Table13[[#This Row],[Incoming Unit Cost]]*Table13[[#This Row],[Incoming Qty]]</f>
        <v>0</v>
      </c>
      <c r="O156" s="206">
        <f>SUMIF(Table32[Item],Table13[[#This Row],[Decription]],Table32[Quantity Issued])</f>
        <v>0</v>
      </c>
      <c r="P156" s="206">
        <f>Table13[[#This Row],[Unit Cost]]*Table13[[#This Row],[February 2025 - Issued Qty]]</f>
        <v>0</v>
      </c>
      <c r="Q156" s="95">
        <f>(Table13[[#This Row],[January 2025 - Balance Qty]]-Table13[[#This Row],[February 2025 - Issued Qty]])+Table13[[#This Row],[Incoming Qty]]</f>
        <v>0</v>
      </c>
      <c r="R156" s="207">
        <f>Table13[[#This Row],[February 2025 - Balance Qty]]*Table13[[#This Row],[Unit Cost]]</f>
        <v>0</v>
      </c>
      <c r="S156" s="205">
        <v>0</v>
      </c>
      <c r="T156" s="206">
        <v>0</v>
      </c>
      <c r="U156" s="208">
        <f>Table13[[#This Row],[Incoming Unit Cost]]*Table13[[#This Row],[Incoming Qty]]</f>
        <v>0</v>
      </c>
      <c r="V156" s="206">
        <f>SUMIF(Table3267[Item],Table13[[#This Row],[Decription]],Table3267[Quantity Issued])</f>
        <v>0</v>
      </c>
      <c r="W156" s="206">
        <f>Table13[[#This Row],[Unit Cost]]*Table13[[#This Row],[March 2025 - Issued Qty]]</f>
        <v>0</v>
      </c>
      <c r="X156" s="219">
        <f>(Table13[[#This Row],[February 2025 - Balance Qty]]-Table13[[#This Row],[March 2025 - Issued Qty]])+Table13[[#This Row],[Incoming Qty]]</f>
        <v>0</v>
      </c>
      <c r="Y156" s="207">
        <f>Table13[[#This Row],[March 2025 - Balance Qty]]*Table13[[#This Row],[Unit Cost]]</f>
        <v>0</v>
      </c>
      <c r="Z156" s="205">
        <v>0</v>
      </c>
      <c r="AA156" s="206">
        <v>0</v>
      </c>
      <c r="AB156" s="208">
        <f>Table13[[#This Row],[Incoming Unit Cost]]*Table13[[#This Row],[Incoming Qty]]</f>
        <v>0</v>
      </c>
      <c r="AC156" s="206">
        <f>SUMIF(Table326[Item],Table13[[#This Row],[Decription]],Table326[Quantity Issued])</f>
        <v>0</v>
      </c>
      <c r="AD156" s="206">
        <f>Table13[[#This Row],[Unit Cost]]*Table13[[#This Row],[April 2025 - Issued Qty ]]</f>
        <v>0</v>
      </c>
      <c r="AE156" s="219">
        <f>(Table13[[#This Row],[March 2025 - Balance Qty]]-Table13[[#This Row],[April 2025 - Issued Qty ]])+Table13[[#This Row],[Incoming Qty ]]</f>
        <v>0</v>
      </c>
      <c r="AF156" s="207">
        <f>Table13[[#This Row],[April 2025 - Balance Qty]]*Table13[[#This Row],[Unit Cost]]</f>
        <v>0</v>
      </c>
      <c r="AG156" s="207"/>
    </row>
    <row r="157" spans="5:33">
      <c r="E157" s="204"/>
      <c r="F157" s="204"/>
      <c r="G157" s="204">
        <f>Table13[[#This Row],[Unit Cost]]*Table13[[#This Row],[Quantity on Hand]]</f>
        <v>0</v>
      </c>
      <c r="H157" s="205">
        <f>SUMIF(Table3[Item],Table13[[#This Row],[Decription]],Table3[Quantity Issued])</f>
        <v>0</v>
      </c>
      <c r="I157" s="206">
        <f>Table13[[#This Row],[January 2025 - Issued Qty]]*Table13[[#This Row],[Unit Cost]]</f>
        <v>0</v>
      </c>
      <c r="J157" s="95">
        <f>Table13[[#This Row],[Quantity on Hand]]-Table13[[#This Row],[January 2025 - Issued Qty]]</f>
        <v>0</v>
      </c>
      <c r="K157" s="207">
        <f>Table13[[#This Row],[January 2025 - Balance Qty]]*Table13[[#This Row],[Unit Cost]]</f>
        <v>0</v>
      </c>
      <c r="L157" s="205">
        <v>0</v>
      </c>
      <c r="M157" s="206">
        <v>0</v>
      </c>
      <c r="N157" s="208">
        <f>Table13[[#This Row],[Incoming Unit Cost]]*Table13[[#This Row],[Incoming Qty]]</f>
        <v>0</v>
      </c>
      <c r="O157" s="206">
        <f>SUMIF(Table32[Item],Table13[[#This Row],[Decription]],Table32[Quantity Issued])</f>
        <v>0</v>
      </c>
      <c r="P157" s="206">
        <f>Table13[[#This Row],[Unit Cost]]*Table13[[#This Row],[February 2025 - Issued Qty]]</f>
        <v>0</v>
      </c>
      <c r="Q157" s="95">
        <f>(Table13[[#This Row],[January 2025 - Balance Qty]]-Table13[[#This Row],[February 2025 - Issued Qty]])+Table13[[#This Row],[Incoming Qty]]</f>
        <v>0</v>
      </c>
      <c r="R157" s="207">
        <f>Table13[[#This Row],[February 2025 - Balance Qty]]*Table13[[#This Row],[Unit Cost]]</f>
        <v>0</v>
      </c>
      <c r="S157" s="205">
        <v>0</v>
      </c>
      <c r="T157" s="206">
        <v>0</v>
      </c>
      <c r="U157" s="208">
        <f>Table13[[#This Row],[Incoming Unit Cost]]*Table13[[#This Row],[Incoming Qty]]</f>
        <v>0</v>
      </c>
      <c r="V157" s="206">
        <f>SUMIF(Table3267[Item],Table13[[#This Row],[Decription]],Table3267[Quantity Issued])</f>
        <v>0</v>
      </c>
      <c r="W157" s="206">
        <f>Table13[[#This Row],[Unit Cost]]*Table13[[#This Row],[March 2025 - Issued Qty]]</f>
        <v>0</v>
      </c>
      <c r="X157" s="219">
        <f>(Table13[[#This Row],[February 2025 - Balance Qty]]-Table13[[#This Row],[March 2025 - Issued Qty]])+Table13[[#This Row],[Incoming Qty]]</f>
        <v>0</v>
      </c>
      <c r="Y157" s="207">
        <f>Table13[[#This Row],[March 2025 - Balance Qty]]*Table13[[#This Row],[Unit Cost]]</f>
        <v>0</v>
      </c>
      <c r="Z157" s="205">
        <v>0</v>
      </c>
      <c r="AA157" s="206">
        <v>0</v>
      </c>
      <c r="AB157" s="208">
        <f>Table13[[#This Row],[Incoming Unit Cost]]*Table13[[#This Row],[Incoming Qty]]</f>
        <v>0</v>
      </c>
      <c r="AC157" s="206">
        <f>SUMIF(Table326[Item],Table13[[#This Row],[Decription]],Table326[Quantity Issued])</f>
        <v>0</v>
      </c>
      <c r="AD157" s="206">
        <f>Table13[[#This Row],[Unit Cost]]*Table13[[#This Row],[April 2025 - Issued Qty ]]</f>
        <v>0</v>
      </c>
      <c r="AE157" s="219">
        <f>(Table13[[#This Row],[March 2025 - Balance Qty]]-Table13[[#This Row],[April 2025 - Issued Qty ]])+Table13[[#This Row],[Incoming Qty ]]</f>
        <v>0</v>
      </c>
      <c r="AF157" s="207">
        <f>Table13[[#This Row],[April 2025 - Balance Qty]]*Table13[[#This Row],[Unit Cost]]</f>
        <v>0</v>
      </c>
      <c r="AG157" s="207"/>
    </row>
    <row r="158" spans="5:33">
      <c r="E158" s="204"/>
      <c r="F158" s="204"/>
      <c r="G158" s="204">
        <f>Table13[[#This Row],[Unit Cost]]*Table13[[#This Row],[Quantity on Hand]]</f>
        <v>0</v>
      </c>
      <c r="H158" s="205">
        <f>SUMIF(Table3[Item],Table13[[#This Row],[Decription]],Table3[Quantity Issued])</f>
        <v>0</v>
      </c>
      <c r="I158" s="206">
        <f>Table13[[#This Row],[January 2025 - Issued Qty]]*Table13[[#This Row],[Unit Cost]]</f>
        <v>0</v>
      </c>
      <c r="J158" s="95">
        <f>Table13[[#This Row],[Quantity on Hand]]-Table13[[#This Row],[January 2025 - Issued Qty]]</f>
        <v>0</v>
      </c>
      <c r="K158" s="207">
        <f>Table13[[#This Row],[January 2025 - Balance Qty]]*Table13[[#This Row],[Unit Cost]]</f>
        <v>0</v>
      </c>
      <c r="L158" s="205">
        <v>0</v>
      </c>
      <c r="M158" s="206">
        <v>0</v>
      </c>
      <c r="N158" s="208">
        <f>Table13[[#This Row],[Incoming Unit Cost]]*Table13[[#This Row],[Incoming Qty]]</f>
        <v>0</v>
      </c>
      <c r="O158" s="206">
        <f>SUMIF(Table32[Item],Table13[[#This Row],[Decription]],Table32[Quantity Issued])</f>
        <v>0</v>
      </c>
      <c r="P158" s="206">
        <f>Table13[[#This Row],[Unit Cost]]*Table13[[#This Row],[February 2025 - Issued Qty]]</f>
        <v>0</v>
      </c>
      <c r="Q158" s="95">
        <f>(Table13[[#This Row],[January 2025 - Balance Qty]]-Table13[[#This Row],[February 2025 - Issued Qty]])+Table13[[#This Row],[Incoming Qty]]</f>
        <v>0</v>
      </c>
      <c r="R158" s="207">
        <f>Table13[[#This Row],[February 2025 - Balance Qty]]*Table13[[#This Row],[Unit Cost]]</f>
        <v>0</v>
      </c>
      <c r="S158" s="205">
        <v>0</v>
      </c>
      <c r="T158" s="206">
        <v>0</v>
      </c>
      <c r="U158" s="208">
        <f>Table13[[#This Row],[Incoming Unit Cost]]*Table13[[#This Row],[Incoming Qty]]</f>
        <v>0</v>
      </c>
      <c r="V158" s="206">
        <f>SUMIF(Table3267[Item],Table13[[#This Row],[Decription]],Table3267[Quantity Issued])</f>
        <v>0</v>
      </c>
      <c r="W158" s="206">
        <f>Table13[[#This Row],[Unit Cost]]*Table13[[#This Row],[March 2025 - Issued Qty]]</f>
        <v>0</v>
      </c>
      <c r="X158" s="219">
        <f>(Table13[[#This Row],[February 2025 - Balance Qty]]-Table13[[#This Row],[March 2025 - Issued Qty]])+Table13[[#This Row],[Incoming Qty]]</f>
        <v>0</v>
      </c>
      <c r="Y158" s="207">
        <f>Table13[[#This Row],[March 2025 - Balance Qty]]*Table13[[#This Row],[Unit Cost]]</f>
        <v>0</v>
      </c>
      <c r="Z158" s="205">
        <v>0</v>
      </c>
      <c r="AA158" s="206">
        <v>0</v>
      </c>
      <c r="AB158" s="208">
        <f>Table13[[#This Row],[Incoming Unit Cost]]*Table13[[#This Row],[Incoming Qty]]</f>
        <v>0</v>
      </c>
      <c r="AC158" s="206">
        <f>SUMIF(Table326[Item],Table13[[#This Row],[Decription]],Table326[Quantity Issued])</f>
        <v>0</v>
      </c>
      <c r="AD158" s="206">
        <f>Table13[[#This Row],[Unit Cost]]*Table13[[#This Row],[April 2025 - Issued Qty ]]</f>
        <v>0</v>
      </c>
      <c r="AE158" s="219">
        <f>(Table13[[#This Row],[March 2025 - Balance Qty]]-Table13[[#This Row],[April 2025 - Issued Qty ]])+Table13[[#This Row],[Incoming Qty ]]</f>
        <v>0</v>
      </c>
      <c r="AF158" s="207">
        <f>Table13[[#This Row],[April 2025 - Balance Qty]]*Table13[[#This Row],[Unit Cost]]</f>
        <v>0</v>
      </c>
      <c r="AG158" s="207"/>
    </row>
    <row r="159" spans="5:33">
      <c r="E159" s="204"/>
      <c r="F159" s="204"/>
      <c r="G159" s="204">
        <f>Table13[[#This Row],[Unit Cost]]*Table13[[#This Row],[Quantity on Hand]]</f>
        <v>0</v>
      </c>
      <c r="H159" s="205">
        <f>SUMIF(Table3[Item],Table13[[#This Row],[Decription]],Table3[Quantity Issued])</f>
        <v>0</v>
      </c>
      <c r="I159" s="206">
        <f>Table13[[#This Row],[January 2025 - Issued Qty]]*Table13[[#This Row],[Unit Cost]]</f>
        <v>0</v>
      </c>
      <c r="J159" s="95">
        <f>Table13[[#This Row],[Quantity on Hand]]-Table13[[#This Row],[January 2025 - Issued Qty]]</f>
        <v>0</v>
      </c>
      <c r="K159" s="207">
        <f>Table13[[#This Row],[January 2025 - Balance Qty]]*Table13[[#This Row],[Unit Cost]]</f>
        <v>0</v>
      </c>
      <c r="L159" s="205">
        <v>0</v>
      </c>
      <c r="M159" s="206">
        <v>0</v>
      </c>
      <c r="N159" s="208">
        <f>Table13[[#This Row],[Incoming Unit Cost]]*Table13[[#This Row],[Incoming Qty]]</f>
        <v>0</v>
      </c>
      <c r="O159" s="206">
        <f>SUMIF(Table32[Item],Table13[[#This Row],[Decription]],Table32[Quantity Issued])</f>
        <v>0</v>
      </c>
      <c r="P159" s="206">
        <f>Table13[[#This Row],[Unit Cost]]*Table13[[#This Row],[February 2025 - Issued Qty]]</f>
        <v>0</v>
      </c>
      <c r="Q159" s="95">
        <f>(Table13[[#This Row],[January 2025 - Balance Qty]]-Table13[[#This Row],[February 2025 - Issued Qty]])+Table13[[#This Row],[Incoming Qty]]</f>
        <v>0</v>
      </c>
      <c r="R159" s="207">
        <f>Table13[[#This Row],[February 2025 - Balance Qty]]*Table13[[#This Row],[Unit Cost]]</f>
        <v>0</v>
      </c>
      <c r="S159" s="205">
        <v>0</v>
      </c>
      <c r="T159" s="206">
        <v>0</v>
      </c>
      <c r="U159" s="208">
        <f>Table13[[#This Row],[Incoming Unit Cost]]*Table13[[#This Row],[Incoming Qty]]</f>
        <v>0</v>
      </c>
      <c r="V159" s="206">
        <f>SUMIF(Table3267[Item],Table13[[#This Row],[Decription]],Table3267[Quantity Issued])</f>
        <v>0</v>
      </c>
      <c r="W159" s="206">
        <f>Table13[[#This Row],[Unit Cost]]*Table13[[#This Row],[March 2025 - Issued Qty]]</f>
        <v>0</v>
      </c>
      <c r="X159" s="219">
        <f>(Table13[[#This Row],[February 2025 - Balance Qty]]-Table13[[#This Row],[March 2025 - Issued Qty]])+Table13[[#This Row],[Incoming Qty]]</f>
        <v>0</v>
      </c>
      <c r="Y159" s="207">
        <f>Table13[[#This Row],[March 2025 - Balance Qty]]*Table13[[#This Row],[Unit Cost]]</f>
        <v>0</v>
      </c>
      <c r="Z159" s="205">
        <v>0</v>
      </c>
      <c r="AA159" s="206">
        <v>0</v>
      </c>
      <c r="AB159" s="208">
        <f>Table13[[#This Row],[Incoming Unit Cost]]*Table13[[#This Row],[Incoming Qty]]</f>
        <v>0</v>
      </c>
      <c r="AC159" s="206">
        <f>SUMIF(Table326[Item],Table13[[#This Row],[Decription]],Table326[Quantity Issued])</f>
        <v>0</v>
      </c>
      <c r="AD159" s="206">
        <f>Table13[[#This Row],[Unit Cost]]*Table13[[#This Row],[April 2025 - Issued Qty ]]</f>
        <v>0</v>
      </c>
      <c r="AE159" s="219">
        <f>(Table13[[#This Row],[March 2025 - Balance Qty]]-Table13[[#This Row],[April 2025 - Issued Qty ]])+Table13[[#This Row],[Incoming Qty ]]</f>
        <v>0</v>
      </c>
      <c r="AF159" s="207">
        <f>Table13[[#This Row],[April 2025 - Balance Qty]]*Table13[[#This Row],[Unit Cost]]</f>
        <v>0</v>
      </c>
      <c r="AG159" s="207"/>
    </row>
    <row r="160" spans="5:33">
      <c r="E160" s="204"/>
      <c r="F160" s="204"/>
      <c r="G160" s="204">
        <f>Table13[[#This Row],[Unit Cost]]*Table13[[#This Row],[Quantity on Hand]]</f>
        <v>0</v>
      </c>
      <c r="H160" s="205">
        <f>SUMIF(Table3[Item],Table13[[#This Row],[Decription]],Table3[Quantity Issued])</f>
        <v>0</v>
      </c>
      <c r="I160" s="206">
        <f>Table13[[#This Row],[January 2025 - Issued Qty]]*Table13[[#This Row],[Unit Cost]]</f>
        <v>0</v>
      </c>
      <c r="J160" s="95">
        <f>Table13[[#This Row],[Quantity on Hand]]-Table13[[#This Row],[January 2025 - Issued Qty]]</f>
        <v>0</v>
      </c>
      <c r="K160" s="207">
        <f>Table13[[#This Row],[January 2025 - Balance Qty]]*Table13[[#This Row],[Unit Cost]]</f>
        <v>0</v>
      </c>
      <c r="L160" s="205">
        <v>0</v>
      </c>
      <c r="M160" s="206">
        <v>0</v>
      </c>
      <c r="N160" s="208">
        <f>Table13[[#This Row],[Incoming Unit Cost]]*Table13[[#This Row],[Incoming Qty]]</f>
        <v>0</v>
      </c>
      <c r="O160" s="206">
        <f>SUMIF(Table32[Item],Table13[[#This Row],[Decription]],Table32[Quantity Issued])</f>
        <v>0</v>
      </c>
      <c r="P160" s="206">
        <f>Table13[[#This Row],[Unit Cost]]*Table13[[#This Row],[February 2025 - Issued Qty]]</f>
        <v>0</v>
      </c>
      <c r="Q160" s="95">
        <f>(Table13[[#This Row],[January 2025 - Balance Qty]]-Table13[[#This Row],[February 2025 - Issued Qty]])+Table13[[#This Row],[Incoming Qty]]</f>
        <v>0</v>
      </c>
      <c r="R160" s="207">
        <f>Table13[[#This Row],[February 2025 - Balance Qty]]*Table13[[#This Row],[Unit Cost]]</f>
        <v>0</v>
      </c>
      <c r="S160" s="205">
        <v>0</v>
      </c>
      <c r="T160" s="206">
        <v>0</v>
      </c>
      <c r="U160" s="208">
        <f>Table13[[#This Row],[Incoming Unit Cost]]*Table13[[#This Row],[Incoming Qty]]</f>
        <v>0</v>
      </c>
      <c r="V160" s="206">
        <f>SUMIF(Table3267[Item],Table13[[#This Row],[Decription]],Table3267[Quantity Issued])</f>
        <v>0</v>
      </c>
      <c r="W160" s="206">
        <f>Table13[[#This Row],[Unit Cost]]*Table13[[#This Row],[March 2025 - Issued Qty]]</f>
        <v>0</v>
      </c>
      <c r="X160" s="219">
        <f>(Table13[[#This Row],[February 2025 - Balance Qty]]-Table13[[#This Row],[March 2025 - Issued Qty]])+Table13[[#This Row],[Incoming Qty]]</f>
        <v>0</v>
      </c>
      <c r="Y160" s="207">
        <f>Table13[[#This Row],[March 2025 - Balance Qty]]*Table13[[#This Row],[Unit Cost]]</f>
        <v>0</v>
      </c>
      <c r="Z160" s="205">
        <v>0</v>
      </c>
      <c r="AA160" s="206">
        <v>0</v>
      </c>
      <c r="AB160" s="208">
        <f>Table13[[#This Row],[Incoming Unit Cost]]*Table13[[#This Row],[Incoming Qty]]</f>
        <v>0</v>
      </c>
      <c r="AC160" s="206">
        <f>SUMIF(Table326[Item],Table13[[#This Row],[Decription]],Table326[Quantity Issued])</f>
        <v>0</v>
      </c>
      <c r="AD160" s="206">
        <f>Table13[[#This Row],[Unit Cost]]*Table13[[#This Row],[April 2025 - Issued Qty ]]</f>
        <v>0</v>
      </c>
      <c r="AE160" s="219">
        <f>(Table13[[#This Row],[March 2025 - Balance Qty]]-Table13[[#This Row],[April 2025 - Issued Qty ]])+Table13[[#This Row],[Incoming Qty ]]</f>
        <v>0</v>
      </c>
      <c r="AF160" s="207">
        <f>Table13[[#This Row],[April 2025 - Balance Qty]]*Table13[[#This Row],[Unit Cost]]</f>
        <v>0</v>
      </c>
      <c r="AG160" s="207"/>
    </row>
    <row r="161" spans="1:33">
      <c r="A161" s="220"/>
      <c r="B161" s="220"/>
      <c r="C161" s="220"/>
      <c r="D161" s="220"/>
      <c r="E161" s="207"/>
      <c r="F161" s="207"/>
      <c r="G161" s="207">
        <f>Table13[[#This Row],[Unit Cost]]*Table13[[#This Row],[Quantity on Hand]]</f>
        <v>0</v>
      </c>
      <c r="H161" s="205">
        <f>SUMIF(Table3[Item],Table13[[#This Row],[Decription]],Table3[Quantity Issued])</f>
        <v>0</v>
      </c>
      <c r="I161" s="357">
        <f>Table13[[#This Row],[January 2025 - Issued Qty]]*Table13[[#This Row],[Unit Cost]]</f>
        <v>0</v>
      </c>
      <c r="J161" s="219">
        <f>Table13[[#This Row],[Quantity on Hand]]-Table13[[#This Row],[January 2025 - Issued Qty]]</f>
        <v>0</v>
      </c>
      <c r="K161" s="207">
        <f>Table13[[#This Row],[January 2025 - Balance Qty]]*Table13[[#This Row],[Unit Cost]]</f>
        <v>0</v>
      </c>
      <c r="L161" s="362"/>
      <c r="M161" s="206"/>
      <c r="N161" s="358">
        <f>Table13[[#This Row],[Incoming Unit Cost]]*Table13[[#This Row],[Incoming Qty]]</f>
        <v>0</v>
      </c>
      <c r="O161" s="359">
        <f>SUMIF(Table32[Item],Table13[[#This Row],[Decription]],Table32[Quantity Issued])</f>
        <v>0</v>
      </c>
      <c r="P161" s="357">
        <f>Table13[[#This Row],[Unit Cost]]*Table13[[#This Row],[February 2025 - Issued Qty]]</f>
        <v>0</v>
      </c>
      <c r="Q161" s="219">
        <f>(Table13[[#This Row],[January 2025 - Balance Qty]]-Table13[[#This Row],[February 2025 - Issued Qty]])+Table13[[#This Row],[Incoming Qty]]</f>
        <v>0</v>
      </c>
      <c r="R161" s="358">
        <f>Table13[[#This Row],[February 2025 - Balance Qty]]*Table13[[#This Row],[Unit Cost]]</f>
        <v>0</v>
      </c>
      <c r="S161" s="206"/>
      <c r="T161" s="206"/>
      <c r="U161" s="208"/>
      <c r="V161" s="357">
        <f>SUMIF(Table3267[Item],Table13[[#This Row],[Decription]],Table3267[Quantity Issued])</f>
        <v>0</v>
      </c>
      <c r="W161" s="357">
        <f>Table13[[#This Row],[Unit Cost]]*Table13[[#This Row],[March 2025 - Issued Qty]]</f>
        <v>0</v>
      </c>
      <c r="X161" s="219">
        <f>(Table13[[#This Row],[February 2025 - Balance Qty]]-Table13[[#This Row],[March 2025 - Issued Qty]])+Table13[[#This Row],[Incoming Qty]]</f>
        <v>0</v>
      </c>
      <c r="Y161" s="361">
        <f>Table13[[#This Row],[March 2025 - Balance Qty]]*Table13[[#This Row],[Unit Cost]]</f>
        <v>0</v>
      </c>
      <c r="Z161" s="205"/>
      <c r="AA161" s="206"/>
      <c r="AB161" s="208"/>
      <c r="AC161" s="206">
        <f>SUMIF(Table326[Item],Table13[[#This Row],[Decription]],Table326[Quantity Issued])</f>
        <v>0</v>
      </c>
      <c r="AD161" s="357">
        <f>Table13[[#This Row],[Unit Cost]]*Table13[[#This Row],[April 2025 - Issued Qty ]]</f>
        <v>0</v>
      </c>
      <c r="AE161" s="361">
        <f>(Table13[[#This Row],[March 2025 - Balance Qty]]-Table13[[#This Row],[April 2025 - Issued Qty ]])+Table13[[#This Row],[Incoming Qty ]]</f>
        <v>0</v>
      </c>
      <c r="AF161" s="360">
        <f>Table13[[#This Row],[April 2025 - Balance Qty]]*Table13[[#This Row],[Unit Cost]]</f>
        <v>0</v>
      </c>
      <c r="AG161" s="207"/>
    </row>
    <row r="162" spans="1:33">
      <c r="E162" s="204"/>
      <c r="F162" s="204"/>
      <c r="G162" s="204">
        <f>Table13[[#This Row],[Unit Cost]]*Table13[[#This Row],[Quantity on Hand]]</f>
        <v>0</v>
      </c>
      <c r="H162" s="205">
        <f>SUMIF(Table3[Item],Table13[[#This Row],[Decription]],Table3[Quantity Issued])</f>
        <v>0</v>
      </c>
      <c r="I162" s="206">
        <f>Table13[[#This Row],[January 2025 - Issued Qty]]*Table13[[#This Row],[Unit Cost]]</f>
        <v>0</v>
      </c>
      <c r="J162" s="95">
        <f>Table13[[#This Row],[Quantity on Hand]]-Table13[[#This Row],[January 2025 - Issued Qty]]</f>
        <v>0</v>
      </c>
      <c r="K162" s="207">
        <f>Table13[[#This Row],[January 2025 - Balance Qty]]*Table13[[#This Row],[Unit Cost]]</f>
        <v>0</v>
      </c>
      <c r="L162" s="205">
        <v>0</v>
      </c>
      <c r="M162" s="206">
        <v>0</v>
      </c>
      <c r="N162" s="208">
        <f>Table13[[#This Row],[Incoming Unit Cost]]*Table13[[#This Row],[Incoming Qty]]</f>
        <v>0</v>
      </c>
      <c r="O162" s="206">
        <f>SUMIF(Table32[Item],Table13[[#This Row],[Decription]],Table32[Quantity Issued])</f>
        <v>0</v>
      </c>
      <c r="P162" s="206">
        <f>Table13[[#This Row],[Unit Cost]]*Table13[[#This Row],[February 2025 - Issued Qty]]</f>
        <v>0</v>
      </c>
      <c r="Q162" s="95">
        <f>(Table13[[#This Row],[January 2025 - Balance Qty]]-Table13[[#This Row],[February 2025 - Issued Qty]])+Table13[[#This Row],[Incoming Qty]]</f>
        <v>0</v>
      </c>
      <c r="R162" s="208">
        <f>Table13[[#This Row],[February 2025 - Balance Qty]]*Table13[[#This Row],[Unit Cost]]</f>
        <v>0</v>
      </c>
      <c r="S162" s="220"/>
      <c r="T162" s="220"/>
      <c r="U162" s="208"/>
      <c r="V162" s="207">
        <f>SUMIF(Table3267[Item],Table13[[#This Row],[Decription]],Table3267[Quantity Issued])</f>
        <v>0</v>
      </c>
      <c r="W162" s="221">
        <f>Table13[[#This Row],[Unit Cost]]*Table13[[#This Row],[March 2025 - Issued Qty]]</f>
        <v>0</v>
      </c>
      <c r="X162" s="219">
        <f>(Table13[[#This Row],[February 2025 - Balance Qty]]-Table13[[#This Row],[March 2025 - Issued Qty]])+Table13[[#This Row],[Incoming Qty]]</f>
        <v>0</v>
      </c>
      <c r="Y162" s="363">
        <f>Table13[[#This Row],[March 2025 - Balance Qty]]*Table13[[#This Row],[Unit Cost]]</f>
        <v>0</v>
      </c>
      <c r="Z162" s="220"/>
      <c r="AA162" s="220"/>
      <c r="AB162" s="208"/>
      <c r="AC162" s="207">
        <f>SUMIF(Table326[Item],Table13[[#This Row],[Decription]],Table326[Quantity Issued])</f>
        <v>0</v>
      </c>
      <c r="AD162" s="221">
        <f>Table13[[#This Row],[Unit Cost]]*Table13[[#This Row],[April 2025 - Issued Qty ]]</f>
        <v>0</v>
      </c>
      <c r="AE162" s="219">
        <f>(Table13[[#This Row],[March 2025 - Balance Qty]]-Table13[[#This Row],[April 2025 - Issued Qty ]])+Table13[[#This Row],[Incoming Qty ]]</f>
        <v>0</v>
      </c>
      <c r="AF162" s="221">
        <f>Table13[[#This Row],[April 2025 - Balance Qty]]*Table13[[#This Row],[Unit Cost]]</f>
        <v>0</v>
      </c>
      <c r="AG162" s="221"/>
    </row>
  </sheetData>
  <phoneticPr fontId="17" type="noConversion"/>
  <pageMargins left="0.25" right="0.25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6978-A9ED-4DCE-833C-05895473B526}">
  <sheetPr codeName="Sheet2"/>
  <dimension ref="A1:M103"/>
  <sheetViews>
    <sheetView view="pageBreakPreview" topLeftCell="A2" zoomScaleNormal="100" zoomScaleSheetLayoutView="100" workbookViewId="0">
      <selection activeCell="A2" sqref="A2:H75"/>
    </sheetView>
  </sheetViews>
  <sheetFormatPr defaultColWidth="8.81640625" defaultRowHeight="14.5"/>
  <cols>
    <col min="1" max="1" width="16.1796875" style="11" customWidth="1"/>
    <col min="2" max="2" width="19.54296875" style="11" customWidth="1"/>
    <col min="3" max="3" width="9" style="11" customWidth="1"/>
    <col min="4" max="4" width="32.36328125" style="11" customWidth="1"/>
    <col min="5" max="5" width="8.6328125" style="11" customWidth="1"/>
    <col min="6" max="6" width="12.54296875" style="11" customWidth="1"/>
    <col min="7" max="7" width="10.6328125" style="11" customWidth="1"/>
    <col min="8" max="8" width="22.54296875" style="11" customWidth="1"/>
    <col min="9" max="9" width="8.81640625" style="11"/>
    <col min="10" max="10" width="6.81640625" style="11" bestFit="1" customWidth="1"/>
    <col min="11" max="11" width="44.1796875" style="11" bestFit="1" customWidth="1"/>
    <col min="12" max="12" width="3.08984375" style="11" bestFit="1" customWidth="1"/>
    <col min="13" max="13" width="3.90625" style="11" bestFit="1" customWidth="1"/>
    <col min="14" max="16384" width="8.81640625" style="11"/>
  </cols>
  <sheetData>
    <row r="1" spans="1:13" s="20" customFormat="1" ht="9" thickBot="1">
      <c r="A1" s="72" t="s">
        <v>11</v>
      </c>
      <c r="B1" s="73" t="s">
        <v>12</v>
      </c>
      <c r="C1" s="73" t="s">
        <v>13</v>
      </c>
      <c r="D1" s="73" t="s">
        <v>14</v>
      </c>
      <c r="E1" s="73" t="s">
        <v>15</v>
      </c>
      <c r="F1" s="73" t="s">
        <v>16</v>
      </c>
      <c r="G1" s="73" t="s">
        <v>17</v>
      </c>
      <c r="H1" s="74" t="s">
        <v>18</v>
      </c>
    </row>
    <row r="2" spans="1:13" s="58" customFormat="1" ht="11" thickTop="1">
      <c r="A2" s="75" t="s">
        <v>28</v>
      </c>
      <c r="B2" s="76"/>
      <c r="C2" s="77"/>
      <c r="D2" s="78" t="s">
        <v>46</v>
      </c>
      <c r="E2" s="79" t="s">
        <v>27</v>
      </c>
      <c r="F2" s="79">
        <v>1</v>
      </c>
      <c r="G2" s="79">
        <v>276</v>
      </c>
      <c r="H2" s="80">
        <v>276</v>
      </c>
    </row>
    <row r="3" spans="1:13" s="58" customFormat="1" ht="10.5">
      <c r="A3" s="75" t="s">
        <v>28</v>
      </c>
      <c r="B3" s="76"/>
      <c r="C3" s="77"/>
      <c r="D3" s="78" t="s">
        <v>47</v>
      </c>
      <c r="E3" s="79" t="s">
        <v>29</v>
      </c>
      <c r="F3" s="79">
        <v>1</v>
      </c>
      <c r="G3" s="79">
        <v>34.33</v>
      </c>
      <c r="H3" s="80">
        <v>34.33</v>
      </c>
    </row>
    <row r="4" spans="1:13" s="58" customFormat="1" ht="10.5">
      <c r="A4" s="75" t="s">
        <v>28</v>
      </c>
      <c r="B4" s="76"/>
      <c r="C4" s="77"/>
      <c r="D4" s="78" t="s">
        <v>48</v>
      </c>
      <c r="E4" s="79" t="s">
        <v>27</v>
      </c>
      <c r="F4" s="79">
        <v>7</v>
      </c>
      <c r="G4" s="79">
        <v>3.875</v>
      </c>
      <c r="H4" s="80">
        <v>27.125</v>
      </c>
    </row>
    <row r="5" spans="1:13" s="43" customFormat="1" ht="10.5">
      <c r="A5" s="75" t="s">
        <v>28</v>
      </c>
      <c r="B5" s="81"/>
      <c r="C5" s="82"/>
      <c r="D5" s="78" t="s">
        <v>49</v>
      </c>
      <c r="E5" s="79" t="s">
        <v>29</v>
      </c>
      <c r="F5" s="79">
        <v>1</v>
      </c>
      <c r="G5" s="79">
        <v>47.93</v>
      </c>
      <c r="H5" s="80">
        <v>47.93</v>
      </c>
      <c r="J5" s="58"/>
    </row>
    <row r="6" spans="1:13" s="43" customFormat="1" ht="10.5">
      <c r="A6" s="75" t="s">
        <v>30</v>
      </c>
      <c r="B6" s="81"/>
      <c r="C6" s="82"/>
      <c r="D6" s="78" t="s">
        <v>51</v>
      </c>
      <c r="E6" s="79" t="s">
        <v>31</v>
      </c>
      <c r="F6" s="79">
        <v>3</v>
      </c>
      <c r="G6" s="79">
        <v>340.17</v>
      </c>
      <c r="H6" s="80">
        <v>1020.51</v>
      </c>
      <c r="J6" s="58"/>
    </row>
    <row r="7" spans="1:13" s="43" customFormat="1" ht="10.5">
      <c r="A7" s="75" t="s">
        <v>30</v>
      </c>
      <c r="B7" s="81"/>
      <c r="C7" s="82"/>
      <c r="D7" s="78" t="s">
        <v>68</v>
      </c>
      <c r="E7" s="79" t="s">
        <v>29</v>
      </c>
      <c r="F7" s="79">
        <v>2</v>
      </c>
      <c r="G7" s="79">
        <v>20</v>
      </c>
      <c r="H7" s="80">
        <v>40</v>
      </c>
      <c r="J7" s="58"/>
    </row>
    <row r="8" spans="1:13" s="43" customFormat="1" ht="9.65" customHeight="1">
      <c r="A8" s="75" t="s">
        <v>30</v>
      </c>
      <c r="B8" s="81"/>
      <c r="C8" s="82"/>
      <c r="D8" s="78" t="s">
        <v>50</v>
      </c>
      <c r="E8" s="79" t="s">
        <v>27</v>
      </c>
      <c r="F8" s="79">
        <v>1</v>
      </c>
      <c r="G8" s="79">
        <v>30</v>
      </c>
      <c r="H8" s="80">
        <v>30</v>
      </c>
      <c r="J8" s="58"/>
    </row>
    <row r="9" spans="1:13" s="43" customFormat="1" ht="9.65" customHeight="1">
      <c r="A9" s="75" t="s">
        <v>30</v>
      </c>
      <c r="B9" s="81"/>
      <c r="C9" s="82"/>
      <c r="D9" s="78" t="s">
        <v>52</v>
      </c>
      <c r="E9" s="79" t="s">
        <v>27</v>
      </c>
      <c r="F9" s="79">
        <v>1</v>
      </c>
      <c r="G9" s="79">
        <v>20</v>
      </c>
      <c r="H9" s="80">
        <v>20</v>
      </c>
      <c r="J9" s="58"/>
    </row>
    <row r="10" spans="1:13" s="43" customFormat="1" ht="9.65" customHeight="1">
      <c r="A10" s="75" t="s">
        <v>30</v>
      </c>
      <c r="B10" s="81"/>
      <c r="C10" s="82"/>
      <c r="D10" s="78" t="s">
        <v>53</v>
      </c>
      <c r="E10" s="79" t="s">
        <v>27</v>
      </c>
      <c r="F10" s="79">
        <v>1</v>
      </c>
      <c r="G10" s="79">
        <v>20</v>
      </c>
      <c r="H10" s="80">
        <v>20</v>
      </c>
      <c r="J10" s="58"/>
      <c r="K10" s="58"/>
      <c r="L10" s="58"/>
      <c r="M10" s="58"/>
    </row>
    <row r="11" spans="1:13" s="43" customFormat="1" ht="9.65" customHeight="1">
      <c r="A11" s="75" t="s">
        <v>33</v>
      </c>
      <c r="B11" s="81"/>
      <c r="C11" s="82"/>
      <c r="D11" s="78" t="s">
        <v>48</v>
      </c>
      <c r="E11" s="79" t="s">
        <v>27</v>
      </c>
      <c r="F11" s="79">
        <v>2</v>
      </c>
      <c r="G11" s="79">
        <v>3.875</v>
      </c>
      <c r="H11" s="80">
        <v>7.75</v>
      </c>
      <c r="J11" s="58"/>
      <c r="K11" s="58"/>
      <c r="L11" s="58"/>
      <c r="M11" s="58"/>
    </row>
    <row r="12" spans="1:13" s="43" customFormat="1" ht="9.65" customHeight="1">
      <c r="A12" s="75" t="s">
        <v>33</v>
      </c>
      <c r="B12" s="81"/>
      <c r="C12" s="82"/>
      <c r="D12" s="78" t="s">
        <v>54</v>
      </c>
      <c r="E12" s="79" t="s">
        <v>31</v>
      </c>
      <c r="F12" s="79">
        <v>2</v>
      </c>
      <c r="G12" s="79">
        <v>325</v>
      </c>
      <c r="H12" s="80">
        <v>650</v>
      </c>
      <c r="J12" s="58"/>
      <c r="K12" s="58"/>
      <c r="L12" s="58"/>
      <c r="M12" s="58"/>
    </row>
    <row r="13" spans="1:13" s="43" customFormat="1" ht="9.65" customHeight="1">
      <c r="A13" s="75" t="s">
        <v>33</v>
      </c>
      <c r="B13" s="81"/>
      <c r="C13" s="82"/>
      <c r="D13" s="78" t="s">
        <v>55</v>
      </c>
      <c r="E13" s="79" t="s">
        <v>32</v>
      </c>
      <c r="F13" s="79">
        <v>1</v>
      </c>
      <c r="G13" s="79">
        <v>42.15</v>
      </c>
      <c r="H13" s="80">
        <v>42.15</v>
      </c>
      <c r="J13" s="58"/>
    </row>
    <row r="14" spans="1:13" s="43" customFormat="1" ht="9.65" customHeight="1">
      <c r="A14" s="75" t="s">
        <v>33</v>
      </c>
      <c r="B14" s="81"/>
      <c r="C14" s="82"/>
      <c r="D14" s="78" t="s">
        <v>56</v>
      </c>
      <c r="E14" s="79" t="s">
        <v>34</v>
      </c>
      <c r="F14" s="79">
        <v>1</v>
      </c>
      <c r="G14" s="79">
        <v>375</v>
      </c>
      <c r="H14" s="80">
        <v>375</v>
      </c>
      <c r="J14" s="58"/>
    </row>
    <row r="15" spans="1:13" s="43" customFormat="1" ht="9.65" customHeight="1">
      <c r="A15" s="75" t="s">
        <v>33</v>
      </c>
      <c r="B15" s="81"/>
      <c r="C15" s="82"/>
      <c r="D15" s="78" t="s">
        <v>57</v>
      </c>
      <c r="E15" s="79" t="s">
        <v>34</v>
      </c>
      <c r="F15" s="79">
        <v>1</v>
      </c>
      <c r="G15" s="79">
        <v>385</v>
      </c>
      <c r="H15" s="80">
        <v>385</v>
      </c>
      <c r="J15" s="58"/>
    </row>
    <row r="16" spans="1:13" s="43" customFormat="1" ht="9.65" customHeight="1">
      <c r="A16" s="75" t="s">
        <v>33</v>
      </c>
      <c r="B16" s="81"/>
      <c r="C16" s="82"/>
      <c r="D16" s="78" t="s">
        <v>58</v>
      </c>
      <c r="E16" s="79" t="s">
        <v>34</v>
      </c>
      <c r="F16" s="79">
        <v>1</v>
      </c>
      <c r="G16" s="79">
        <v>385</v>
      </c>
      <c r="H16" s="80">
        <v>385</v>
      </c>
      <c r="J16" s="58"/>
    </row>
    <row r="17" spans="1:10" s="43" customFormat="1" ht="9.65" customHeight="1">
      <c r="A17" s="75" t="s">
        <v>33</v>
      </c>
      <c r="B17" s="81"/>
      <c r="C17" s="82"/>
      <c r="D17" s="78" t="s">
        <v>59</v>
      </c>
      <c r="E17" s="79" t="s">
        <v>34</v>
      </c>
      <c r="F17" s="79">
        <v>1</v>
      </c>
      <c r="G17" s="79">
        <v>385</v>
      </c>
      <c r="H17" s="80">
        <v>385</v>
      </c>
      <c r="J17" s="58"/>
    </row>
    <row r="18" spans="1:10" s="43" customFormat="1" ht="9.65" customHeight="1">
      <c r="A18" s="75" t="s">
        <v>35</v>
      </c>
      <c r="B18" s="81"/>
      <c r="C18" s="82"/>
      <c r="D18" s="78" t="s">
        <v>54</v>
      </c>
      <c r="E18" s="79" t="s">
        <v>31</v>
      </c>
      <c r="F18" s="79">
        <v>10</v>
      </c>
      <c r="G18" s="79">
        <v>325</v>
      </c>
      <c r="H18" s="80">
        <v>3250</v>
      </c>
      <c r="J18" s="58"/>
    </row>
    <row r="19" spans="1:10" s="43" customFormat="1" ht="9.65" customHeight="1">
      <c r="A19" s="75" t="s">
        <v>35</v>
      </c>
      <c r="B19" s="81"/>
      <c r="C19" s="82"/>
      <c r="D19" s="78" t="s">
        <v>51</v>
      </c>
      <c r="E19" s="79" t="s">
        <v>31</v>
      </c>
      <c r="F19" s="79">
        <v>5</v>
      </c>
      <c r="G19" s="79">
        <v>340.17</v>
      </c>
      <c r="H19" s="80">
        <v>1700.8500000000001</v>
      </c>
      <c r="J19" s="58"/>
    </row>
    <row r="20" spans="1:10" s="43" customFormat="1" ht="9.65" customHeight="1">
      <c r="A20" s="75" t="s">
        <v>35</v>
      </c>
      <c r="B20" s="81"/>
      <c r="C20" s="82"/>
      <c r="D20" s="78" t="s">
        <v>60</v>
      </c>
      <c r="E20" s="79" t="s">
        <v>34</v>
      </c>
      <c r="F20" s="79">
        <v>1</v>
      </c>
      <c r="G20" s="79">
        <v>370.2</v>
      </c>
      <c r="H20" s="80">
        <v>370.2</v>
      </c>
      <c r="J20" s="58"/>
    </row>
    <row r="21" spans="1:10" s="43" customFormat="1" ht="9.65" customHeight="1">
      <c r="A21" s="75" t="s">
        <v>35</v>
      </c>
      <c r="B21" s="81"/>
      <c r="C21" s="82"/>
      <c r="D21" s="78" t="s">
        <v>61</v>
      </c>
      <c r="E21" s="79" t="s">
        <v>34</v>
      </c>
      <c r="F21" s="79">
        <v>1</v>
      </c>
      <c r="G21" s="79">
        <v>370</v>
      </c>
      <c r="H21" s="80">
        <v>370</v>
      </c>
      <c r="J21" s="58"/>
    </row>
    <row r="22" spans="1:10" s="43" customFormat="1" ht="9.65" customHeight="1">
      <c r="A22" s="75" t="s">
        <v>35</v>
      </c>
      <c r="B22" s="81"/>
      <c r="C22" s="82"/>
      <c r="D22" s="78" t="s">
        <v>62</v>
      </c>
      <c r="E22" s="79" t="s">
        <v>34</v>
      </c>
      <c r="F22" s="79">
        <v>1</v>
      </c>
      <c r="G22" s="79">
        <v>370</v>
      </c>
      <c r="H22" s="80">
        <v>370</v>
      </c>
      <c r="J22" s="58"/>
    </row>
    <row r="23" spans="1:10" s="43" customFormat="1" ht="9.65" customHeight="1">
      <c r="A23" s="75" t="s">
        <v>35</v>
      </c>
      <c r="B23" s="81"/>
      <c r="C23" s="82"/>
      <c r="D23" s="78" t="s">
        <v>63</v>
      </c>
      <c r="E23" s="79" t="s">
        <v>34</v>
      </c>
      <c r="F23" s="79">
        <v>1</v>
      </c>
      <c r="G23" s="79">
        <v>371.36</v>
      </c>
      <c r="H23" s="80">
        <v>371.36</v>
      </c>
      <c r="J23" s="58"/>
    </row>
    <row r="24" spans="1:10" s="43" customFormat="1" ht="9.65" customHeight="1">
      <c r="A24" s="75" t="s">
        <v>36</v>
      </c>
      <c r="B24" s="81"/>
      <c r="C24" s="82"/>
      <c r="D24" s="78" t="s">
        <v>51</v>
      </c>
      <c r="E24" s="79" t="s">
        <v>31</v>
      </c>
      <c r="F24" s="79">
        <v>3</v>
      </c>
      <c r="G24" s="79">
        <v>340.17</v>
      </c>
      <c r="H24" s="80">
        <v>1020.51</v>
      </c>
      <c r="J24" s="58"/>
    </row>
    <row r="25" spans="1:10" s="43" customFormat="1" ht="9.65" customHeight="1">
      <c r="A25" s="75" t="s">
        <v>36</v>
      </c>
      <c r="B25" s="81"/>
      <c r="C25" s="82"/>
      <c r="D25" s="78" t="s">
        <v>64</v>
      </c>
      <c r="E25" s="79" t="s">
        <v>27</v>
      </c>
      <c r="F25" s="79">
        <v>6</v>
      </c>
      <c r="G25" s="79">
        <v>8.5755407899999998</v>
      </c>
      <c r="H25" s="80">
        <v>51.453244740000002</v>
      </c>
      <c r="J25" s="58"/>
    </row>
    <row r="26" spans="1:10" s="43" customFormat="1" ht="9.65" customHeight="1">
      <c r="A26" s="75" t="s">
        <v>36</v>
      </c>
      <c r="B26" s="81"/>
      <c r="C26" s="82"/>
      <c r="D26" s="78" t="s">
        <v>65</v>
      </c>
      <c r="E26" s="79" t="s">
        <v>29</v>
      </c>
      <c r="F26" s="79">
        <v>1</v>
      </c>
      <c r="G26" s="79">
        <v>145</v>
      </c>
      <c r="H26" s="80">
        <v>145</v>
      </c>
      <c r="J26" s="58"/>
    </row>
    <row r="27" spans="1:10" s="43" customFormat="1" ht="9.65" customHeight="1">
      <c r="A27" s="75" t="s">
        <v>36</v>
      </c>
      <c r="B27" s="81"/>
      <c r="C27" s="82"/>
      <c r="D27" s="78" t="s">
        <v>46</v>
      </c>
      <c r="E27" s="79" t="s">
        <v>27</v>
      </c>
      <c r="F27" s="79">
        <v>1</v>
      </c>
      <c r="G27" s="79">
        <v>276</v>
      </c>
      <c r="H27" s="80">
        <v>276</v>
      </c>
      <c r="J27" s="58"/>
    </row>
    <row r="28" spans="1:10" s="43" customFormat="1" ht="9.65" customHeight="1">
      <c r="A28" s="75" t="s">
        <v>37</v>
      </c>
      <c r="B28" s="81"/>
      <c r="C28" s="82"/>
      <c r="D28" s="78" t="s">
        <v>51</v>
      </c>
      <c r="E28" s="79" t="s">
        <v>31</v>
      </c>
      <c r="F28" s="79">
        <v>2</v>
      </c>
      <c r="G28" s="79">
        <v>340.17</v>
      </c>
      <c r="H28" s="80">
        <v>680.34</v>
      </c>
      <c r="J28" s="58"/>
    </row>
    <row r="29" spans="1:10" s="43" customFormat="1" ht="9.65" customHeight="1">
      <c r="A29" s="75" t="s">
        <v>37</v>
      </c>
      <c r="B29" s="81"/>
      <c r="C29" s="82"/>
      <c r="D29" s="78" t="s">
        <v>66</v>
      </c>
      <c r="E29" s="79" t="s">
        <v>27</v>
      </c>
      <c r="F29" s="79">
        <v>1</v>
      </c>
      <c r="G29" s="79">
        <v>84</v>
      </c>
      <c r="H29" s="80">
        <v>84</v>
      </c>
      <c r="J29" s="58"/>
    </row>
    <row r="30" spans="1:10" s="43" customFormat="1" ht="9.65" customHeight="1">
      <c r="A30" s="75" t="s">
        <v>37</v>
      </c>
      <c r="B30" s="81"/>
      <c r="C30" s="82"/>
      <c r="D30" s="78" t="s">
        <v>67</v>
      </c>
      <c r="E30" s="79" t="s">
        <v>38</v>
      </c>
      <c r="F30" s="79">
        <v>1</v>
      </c>
      <c r="G30" s="79">
        <v>225</v>
      </c>
      <c r="H30" s="80">
        <v>225</v>
      </c>
      <c r="J30" s="58"/>
    </row>
    <row r="31" spans="1:10" s="43" customFormat="1" ht="9.65" customHeight="1">
      <c r="A31" s="75" t="s">
        <v>39</v>
      </c>
      <c r="B31" s="81"/>
      <c r="C31" s="82"/>
      <c r="D31" s="78" t="s">
        <v>54</v>
      </c>
      <c r="E31" s="79" t="s">
        <v>31</v>
      </c>
      <c r="F31" s="79">
        <v>4</v>
      </c>
      <c r="G31" s="79">
        <v>325</v>
      </c>
      <c r="H31" s="80">
        <v>1300</v>
      </c>
      <c r="J31" s="58"/>
    </row>
    <row r="32" spans="1:10" s="43" customFormat="1" ht="9.65" customHeight="1">
      <c r="A32" s="75" t="s">
        <v>39</v>
      </c>
      <c r="B32" s="81"/>
      <c r="C32" s="82"/>
      <c r="D32" s="78" t="s">
        <v>51</v>
      </c>
      <c r="E32" s="79" t="s">
        <v>31</v>
      </c>
      <c r="F32" s="79">
        <v>2</v>
      </c>
      <c r="G32" s="79">
        <v>340.17</v>
      </c>
      <c r="H32" s="80">
        <v>680.34</v>
      </c>
      <c r="J32" s="58"/>
    </row>
    <row r="33" spans="1:10" s="43" customFormat="1" ht="9.65" customHeight="1">
      <c r="A33" s="75" t="s">
        <v>40</v>
      </c>
      <c r="B33" s="81"/>
      <c r="C33" s="82"/>
      <c r="D33" s="78" t="s">
        <v>46</v>
      </c>
      <c r="E33" s="79" t="s">
        <v>27</v>
      </c>
      <c r="F33" s="79">
        <v>1</v>
      </c>
      <c r="G33" s="79">
        <v>276</v>
      </c>
      <c r="H33" s="80">
        <v>828</v>
      </c>
      <c r="J33" s="58"/>
    </row>
    <row r="34" spans="1:10" s="43" customFormat="1" ht="9.65" customHeight="1">
      <c r="A34" s="75" t="s">
        <v>40</v>
      </c>
      <c r="B34" s="81"/>
      <c r="C34" s="82"/>
      <c r="D34" s="78" t="s">
        <v>54</v>
      </c>
      <c r="E34" s="79" t="s">
        <v>31</v>
      </c>
      <c r="F34" s="79">
        <v>4</v>
      </c>
      <c r="G34" s="79">
        <v>325</v>
      </c>
      <c r="H34" s="80">
        <v>1300</v>
      </c>
      <c r="J34" s="58"/>
    </row>
    <row r="35" spans="1:10" s="43" customFormat="1" ht="9.65" customHeight="1">
      <c r="A35" s="75" t="s">
        <v>41</v>
      </c>
      <c r="B35" s="81"/>
      <c r="C35" s="82"/>
      <c r="D35" s="78" t="s">
        <v>54</v>
      </c>
      <c r="E35" s="79" t="s">
        <v>31</v>
      </c>
      <c r="F35" s="79">
        <v>2</v>
      </c>
      <c r="G35" s="79">
        <v>325</v>
      </c>
      <c r="H35" s="80">
        <v>650</v>
      </c>
      <c r="J35" s="58"/>
    </row>
    <row r="36" spans="1:10" s="43" customFormat="1" ht="9.65" customHeight="1">
      <c r="A36" s="75" t="s">
        <v>41</v>
      </c>
      <c r="B36" s="81"/>
      <c r="C36" s="82"/>
      <c r="D36" s="78" t="s">
        <v>51</v>
      </c>
      <c r="E36" s="79" t="s">
        <v>31</v>
      </c>
      <c r="F36" s="79">
        <v>3</v>
      </c>
      <c r="G36" s="79">
        <v>340.17</v>
      </c>
      <c r="H36" s="80">
        <v>1020.51</v>
      </c>
      <c r="J36" s="58"/>
    </row>
    <row r="37" spans="1:10" s="43" customFormat="1" ht="9.65" customHeight="1">
      <c r="A37" s="75" t="s">
        <v>42</v>
      </c>
      <c r="B37" s="81"/>
      <c r="C37" s="82"/>
      <c r="D37" s="78" t="s">
        <v>54</v>
      </c>
      <c r="E37" s="79" t="s">
        <v>31</v>
      </c>
      <c r="F37" s="79">
        <v>4</v>
      </c>
      <c r="G37" s="79">
        <v>325</v>
      </c>
      <c r="H37" s="80">
        <v>1300</v>
      </c>
      <c r="J37" s="58"/>
    </row>
    <row r="38" spans="1:10" s="43" customFormat="1" ht="9.65" customHeight="1">
      <c r="A38" s="75" t="s">
        <v>42</v>
      </c>
      <c r="B38" s="81"/>
      <c r="C38" s="82"/>
      <c r="D38" s="78" t="s">
        <v>51</v>
      </c>
      <c r="E38" s="79" t="s">
        <v>31</v>
      </c>
      <c r="F38" s="79">
        <v>2</v>
      </c>
      <c r="G38" s="79">
        <v>340.17</v>
      </c>
      <c r="H38" s="80">
        <v>680.34</v>
      </c>
      <c r="J38" s="58"/>
    </row>
    <row r="39" spans="1:10" s="43" customFormat="1" ht="9.65" customHeight="1">
      <c r="A39" s="75" t="s">
        <v>42</v>
      </c>
      <c r="B39" s="81"/>
      <c r="C39" s="82"/>
      <c r="D39" s="78" t="s">
        <v>64</v>
      </c>
      <c r="E39" s="79" t="s">
        <v>27</v>
      </c>
      <c r="F39" s="79">
        <v>6</v>
      </c>
      <c r="G39" s="79">
        <v>8.5755407899999998</v>
      </c>
      <c r="H39" s="80">
        <v>51.453244740000002</v>
      </c>
      <c r="J39" s="58"/>
    </row>
    <row r="40" spans="1:10" s="43" customFormat="1" ht="10.5">
      <c r="A40" s="75" t="s">
        <v>42</v>
      </c>
      <c r="B40" s="81"/>
      <c r="C40" s="82"/>
      <c r="D40" s="83" t="s">
        <v>68</v>
      </c>
      <c r="E40" s="84" t="s">
        <v>29</v>
      </c>
      <c r="F40" s="84">
        <v>2</v>
      </c>
      <c r="G40" s="79">
        <v>20</v>
      </c>
      <c r="H40" s="80">
        <v>40</v>
      </c>
      <c r="J40" s="58"/>
    </row>
    <row r="41" spans="1:10" s="43" customFormat="1" ht="10.5">
      <c r="A41" s="75" t="s">
        <v>42</v>
      </c>
      <c r="B41" s="81"/>
      <c r="C41" s="82"/>
      <c r="D41" s="78" t="s">
        <v>112</v>
      </c>
      <c r="E41" s="79" t="s">
        <v>29</v>
      </c>
      <c r="F41" s="79">
        <v>2</v>
      </c>
      <c r="G41" s="79">
        <v>33.93</v>
      </c>
      <c r="H41" s="80">
        <v>67.86</v>
      </c>
      <c r="J41" s="58"/>
    </row>
    <row r="42" spans="1:10" s="36" customFormat="1" ht="10.5">
      <c r="A42" s="75" t="s">
        <v>42</v>
      </c>
      <c r="B42" s="81"/>
      <c r="C42" s="82"/>
      <c r="D42" s="78" t="s">
        <v>110</v>
      </c>
      <c r="E42" s="79" t="s">
        <v>27</v>
      </c>
      <c r="F42" s="85">
        <v>2</v>
      </c>
      <c r="G42" s="79">
        <v>206.67</v>
      </c>
      <c r="H42" s="80">
        <v>413.34</v>
      </c>
    </row>
    <row r="43" spans="1:10" s="43" customFormat="1" ht="10.5">
      <c r="A43" s="75" t="s">
        <v>44</v>
      </c>
      <c r="B43" s="81"/>
      <c r="C43" s="82"/>
      <c r="D43" s="78" t="s">
        <v>69</v>
      </c>
      <c r="E43" s="79" t="s">
        <v>27</v>
      </c>
      <c r="F43" s="85">
        <v>8</v>
      </c>
      <c r="G43" s="79">
        <v>25</v>
      </c>
      <c r="H43" s="80">
        <v>200</v>
      </c>
    </row>
    <row r="44" spans="1:10" s="43" customFormat="1" ht="10.5">
      <c r="A44" s="75" t="s">
        <v>44</v>
      </c>
      <c r="B44" s="81"/>
      <c r="C44" s="82"/>
      <c r="D44" s="86" t="s">
        <v>66</v>
      </c>
      <c r="E44" s="79" t="s">
        <v>27</v>
      </c>
      <c r="F44" s="87">
        <v>2</v>
      </c>
      <c r="G44" s="79">
        <v>84</v>
      </c>
      <c r="H44" s="80">
        <v>168</v>
      </c>
    </row>
    <row r="45" spans="1:10" s="43" customFormat="1" ht="10.5">
      <c r="A45" s="75" t="s">
        <v>30</v>
      </c>
      <c r="B45" s="81"/>
      <c r="C45" s="82"/>
      <c r="D45" s="86" t="s">
        <v>70</v>
      </c>
      <c r="E45" s="79" t="s">
        <v>27</v>
      </c>
      <c r="F45" s="87">
        <v>3</v>
      </c>
      <c r="G45" s="79">
        <v>64.67</v>
      </c>
      <c r="H45" s="80">
        <v>194.01</v>
      </c>
    </row>
    <row r="46" spans="1:10" s="43" customFormat="1" ht="10.5">
      <c r="A46" s="75" t="s">
        <v>30</v>
      </c>
      <c r="B46" s="81"/>
      <c r="C46" s="82"/>
      <c r="D46" s="86" t="s">
        <v>186</v>
      </c>
      <c r="E46" s="79" t="s">
        <v>27</v>
      </c>
      <c r="F46" s="87">
        <v>2</v>
      </c>
      <c r="G46" s="79">
        <v>2113.33</v>
      </c>
      <c r="H46" s="80">
        <v>4226.66</v>
      </c>
    </row>
    <row r="47" spans="1:10" s="43" customFormat="1" ht="10.5">
      <c r="A47" s="75" t="s">
        <v>30</v>
      </c>
      <c r="B47" s="81"/>
      <c r="C47" s="82"/>
      <c r="D47" s="86" t="s">
        <v>184</v>
      </c>
      <c r="E47" s="79" t="s">
        <v>27</v>
      </c>
      <c r="F47" s="87">
        <v>20</v>
      </c>
      <c r="G47" s="79">
        <v>2.8250149200000001</v>
      </c>
      <c r="H47" s="80">
        <v>56.500298400000005</v>
      </c>
    </row>
    <row r="48" spans="1:10" s="43" customFormat="1" ht="10.5">
      <c r="A48" s="75" t="s">
        <v>30</v>
      </c>
      <c r="B48" s="81"/>
      <c r="C48" s="82"/>
      <c r="D48" s="86" t="s">
        <v>179</v>
      </c>
      <c r="E48" s="79" t="s">
        <v>27</v>
      </c>
      <c r="F48" s="87">
        <v>2</v>
      </c>
      <c r="G48" s="79">
        <v>3800</v>
      </c>
      <c r="H48" s="80">
        <v>7600</v>
      </c>
    </row>
    <row r="49" spans="1:11" s="43" customFormat="1" ht="10.5">
      <c r="A49" s="75" t="s">
        <v>30</v>
      </c>
      <c r="B49" s="81"/>
      <c r="C49" s="82"/>
      <c r="D49" s="78" t="s">
        <v>177</v>
      </c>
      <c r="E49" s="79" t="s">
        <v>27</v>
      </c>
      <c r="F49" s="85">
        <v>2</v>
      </c>
      <c r="G49" s="79">
        <v>110</v>
      </c>
      <c r="H49" s="80">
        <v>220</v>
      </c>
    </row>
    <row r="50" spans="1:11" s="43" customFormat="1" ht="10.5">
      <c r="A50" s="75" t="s">
        <v>30</v>
      </c>
      <c r="B50" s="81"/>
      <c r="C50" s="82"/>
      <c r="D50" s="78" t="s">
        <v>178</v>
      </c>
      <c r="E50" s="79" t="s">
        <v>27</v>
      </c>
      <c r="F50" s="85">
        <v>2</v>
      </c>
      <c r="G50" s="79">
        <v>210</v>
      </c>
      <c r="H50" s="80">
        <v>420</v>
      </c>
    </row>
    <row r="51" spans="1:11" s="43" customFormat="1" ht="10.5">
      <c r="A51" s="75" t="s">
        <v>40</v>
      </c>
      <c r="B51" s="81"/>
      <c r="C51" s="82"/>
      <c r="D51" s="78" t="s">
        <v>75</v>
      </c>
      <c r="E51" s="79" t="s">
        <v>27</v>
      </c>
      <c r="F51" s="85">
        <v>5</v>
      </c>
      <c r="G51" s="79">
        <v>90.07</v>
      </c>
      <c r="H51" s="80">
        <v>450.34999999999997</v>
      </c>
    </row>
    <row r="52" spans="1:11" s="43" customFormat="1" ht="10.5">
      <c r="A52" s="75" t="s">
        <v>40</v>
      </c>
      <c r="B52" s="81"/>
      <c r="C52" s="82"/>
      <c r="D52" s="78" t="s">
        <v>71</v>
      </c>
      <c r="E52" s="79" t="s">
        <v>32</v>
      </c>
      <c r="F52" s="85">
        <v>1</v>
      </c>
      <c r="G52" s="79">
        <v>28.75</v>
      </c>
      <c r="H52" s="80">
        <v>28.75</v>
      </c>
    </row>
    <row r="53" spans="1:11" s="43" customFormat="1" ht="10.5">
      <c r="A53" s="75" t="s">
        <v>40</v>
      </c>
      <c r="B53" s="81"/>
      <c r="C53" s="82"/>
      <c r="D53" s="78" t="s">
        <v>188</v>
      </c>
      <c r="E53" s="79" t="s">
        <v>32</v>
      </c>
      <c r="F53" s="85">
        <v>10</v>
      </c>
      <c r="G53" s="79">
        <v>22.27</v>
      </c>
      <c r="H53" s="80">
        <v>222.7</v>
      </c>
    </row>
    <row r="54" spans="1:11" s="43" customFormat="1" ht="10.5">
      <c r="A54" s="75" t="s">
        <v>40</v>
      </c>
      <c r="B54" s="81"/>
      <c r="C54" s="82"/>
      <c r="D54" s="78" t="s">
        <v>190</v>
      </c>
      <c r="E54" s="79" t="s">
        <v>32</v>
      </c>
      <c r="F54" s="85">
        <v>15</v>
      </c>
      <c r="G54" s="79">
        <v>23.84</v>
      </c>
      <c r="H54" s="80">
        <v>357.6</v>
      </c>
    </row>
    <row r="55" spans="1:11" s="43" customFormat="1" ht="10.5">
      <c r="A55" s="75" t="s">
        <v>40</v>
      </c>
      <c r="B55" s="81"/>
      <c r="C55" s="82"/>
      <c r="D55" s="78" t="s">
        <v>182</v>
      </c>
      <c r="E55" s="79" t="s">
        <v>27</v>
      </c>
      <c r="F55" s="85">
        <v>1</v>
      </c>
      <c r="G55" s="79">
        <v>165</v>
      </c>
      <c r="H55" s="80">
        <v>165</v>
      </c>
    </row>
    <row r="56" spans="1:11" s="43" customFormat="1" ht="10.5">
      <c r="A56" s="75" t="s">
        <v>40</v>
      </c>
      <c r="B56" s="81"/>
      <c r="C56" s="82"/>
      <c r="D56" s="78" t="s">
        <v>174</v>
      </c>
      <c r="E56" s="79" t="s">
        <v>27</v>
      </c>
      <c r="F56" s="85">
        <v>2</v>
      </c>
      <c r="G56" s="79">
        <v>285</v>
      </c>
      <c r="H56" s="80">
        <v>570</v>
      </c>
    </row>
    <row r="57" spans="1:11" s="43" customFormat="1" ht="10.5">
      <c r="A57" s="75" t="s">
        <v>43</v>
      </c>
      <c r="B57" s="81"/>
      <c r="C57" s="82"/>
      <c r="D57" s="86" t="s">
        <v>72</v>
      </c>
      <c r="E57" s="79" t="s">
        <v>38</v>
      </c>
      <c r="F57" s="87">
        <v>1</v>
      </c>
      <c r="G57" s="79">
        <v>383.93</v>
      </c>
      <c r="H57" s="80">
        <v>383.93</v>
      </c>
      <c r="K57" s="69">
        <v>14152.281489479999</v>
      </c>
    </row>
    <row r="58" spans="1:11" s="43" customFormat="1" ht="10.5">
      <c r="A58" s="75" t="s">
        <v>43</v>
      </c>
      <c r="B58" s="81"/>
      <c r="C58" s="82"/>
      <c r="D58" s="86" t="s">
        <v>194</v>
      </c>
      <c r="E58" s="79" t="s">
        <v>27</v>
      </c>
      <c r="F58" s="87">
        <v>6</v>
      </c>
      <c r="G58" s="79">
        <v>69</v>
      </c>
      <c r="H58" s="80">
        <v>414</v>
      </c>
    </row>
    <row r="59" spans="1:11" s="43" customFormat="1" ht="21">
      <c r="A59" s="75" t="s">
        <v>43</v>
      </c>
      <c r="B59" s="81"/>
      <c r="C59" s="82"/>
      <c r="D59" s="86" t="s">
        <v>73</v>
      </c>
      <c r="E59" s="79" t="s">
        <v>38</v>
      </c>
      <c r="F59" s="87">
        <v>2</v>
      </c>
      <c r="G59" s="79">
        <v>25</v>
      </c>
      <c r="H59" s="80">
        <v>50</v>
      </c>
    </row>
    <row r="60" spans="1:11" s="43" customFormat="1" ht="10.5">
      <c r="A60" s="75" t="s">
        <v>43</v>
      </c>
      <c r="B60" s="81"/>
      <c r="C60" s="82"/>
      <c r="D60" s="86" t="s">
        <v>74</v>
      </c>
      <c r="E60" s="79" t="s">
        <v>38</v>
      </c>
      <c r="F60" s="87">
        <v>6</v>
      </c>
      <c r="G60" s="79">
        <v>30</v>
      </c>
      <c r="H60" s="80">
        <v>180</v>
      </c>
    </row>
    <row r="61" spans="1:11" s="43" customFormat="1" ht="10.5">
      <c r="A61" s="75" t="s">
        <v>198</v>
      </c>
      <c r="B61" s="81"/>
      <c r="C61" s="82"/>
      <c r="D61" s="86" t="s">
        <v>75</v>
      </c>
      <c r="E61" s="79" t="s">
        <v>27</v>
      </c>
      <c r="F61" s="87">
        <v>5</v>
      </c>
      <c r="G61" s="79">
        <v>90.07</v>
      </c>
      <c r="H61" s="80">
        <v>450.34999999999997</v>
      </c>
    </row>
    <row r="62" spans="1:11" s="43" customFormat="1" ht="10.5">
      <c r="A62" s="75" t="s">
        <v>43</v>
      </c>
      <c r="B62" s="81"/>
      <c r="C62" s="82"/>
      <c r="D62" s="86" t="s">
        <v>76</v>
      </c>
      <c r="E62" s="79" t="s">
        <v>34</v>
      </c>
      <c r="F62" s="87">
        <v>1</v>
      </c>
      <c r="G62" s="79">
        <v>432.5</v>
      </c>
      <c r="H62" s="80">
        <v>432.5</v>
      </c>
    </row>
    <row r="63" spans="1:11" s="43" customFormat="1" ht="10.5">
      <c r="A63" s="75" t="s">
        <v>43</v>
      </c>
      <c r="B63" s="81"/>
      <c r="C63" s="82"/>
      <c r="D63" s="86" t="s">
        <v>71</v>
      </c>
      <c r="E63" s="79" t="s">
        <v>32</v>
      </c>
      <c r="F63" s="87">
        <v>5</v>
      </c>
      <c r="G63" s="79">
        <v>28.75</v>
      </c>
      <c r="H63" s="80">
        <v>143.75</v>
      </c>
    </row>
    <row r="64" spans="1:11" s="43" customFormat="1" ht="10.5">
      <c r="A64" s="75" t="s">
        <v>43</v>
      </c>
      <c r="B64" s="81"/>
      <c r="C64" s="82"/>
      <c r="D64" s="86" t="s">
        <v>184</v>
      </c>
      <c r="E64" s="79" t="s">
        <v>27</v>
      </c>
      <c r="F64" s="87">
        <v>10</v>
      </c>
      <c r="G64" s="79">
        <v>2.8250149200000001</v>
      </c>
      <c r="H64" s="80">
        <v>28.250149200000003</v>
      </c>
    </row>
    <row r="65" spans="1:13" s="43" customFormat="1" ht="10.5">
      <c r="A65" s="75" t="s">
        <v>44</v>
      </c>
      <c r="B65" s="81"/>
      <c r="C65" s="82"/>
      <c r="D65" s="86" t="s">
        <v>71</v>
      </c>
      <c r="E65" s="79" t="s">
        <v>32</v>
      </c>
      <c r="F65" s="87">
        <v>4</v>
      </c>
      <c r="G65" s="79">
        <v>28.75</v>
      </c>
      <c r="H65" s="80">
        <v>115</v>
      </c>
    </row>
    <row r="66" spans="1:13" s="43" customFormat="1" ht="10.5">
      <c r="A66" s="75" t="s">
        <v>44</v>
      </c>
      <c r="B66" s="81"/>
      <c r="C66" s="82"/>
      <c r="D66" s="78" t="s">
        <v>167</v>
      </c>
      <c r="E66" s="79" t="s">
        <v>27</v>
      </c>
      <c r="F66" s="85">
        <v>1</v>
      </c>
      <c r="G66" s="79">
        <v>230</v>
      </c>
      <c r="H66" s="80">
        <v>230</v>
      </c>
    </row>
    <row r="67" spans="1:13" s="43" customFormat="1" ht="10.5">
      <c r="A67" s="75" t="s">
        <v>44</v>
      </c>
      <c r="B67" s="81"/>
      <c r="C67" s="82"/>
      <c r="D67" s="78" t="s">
        <v>188</v>
      </c>
      <c r="E67" s="79" t="s">
        <v>32</v>
      </c>
      <c r="F67" s="85">
        <v>15</v>
      </c>
      <c r="G67" s="79">
        <v>22.27</v>
      </c>
      <c r="H67" s="80">
        <v>334.05</v>
      </c>
    </row>
    <row r="68" spans="1:13" s="43" customFormat="1" ht="10.25" customHeight="1">
      <c r="A68" s="75" t="s">
        <v>44</v>
      </c>
      <c r="B68" s="81"/>
      <c r="C68" s="82"/>
      <c r="D68" s="78" t="s">
        <v>190</v>
      </c>
      <c r="E68" s="79" t="s">
        <v>32</v>
      </c>
      <c r="F68" s="85">
        <v>15</v>
      </c>
      <c r="G68" s="79">
        <v>23.84</v>
      </c>
      <c r="H68" s="80">
        <v>357.6</v>
      </c>
    </row>
    <row r="69" spans="1:13" s="43" customFormat="1" ht="10.25" customHeight="1">
      <c r="A69" s="75" t="s">
        <v>44</v>
      </c>
      <c r="B69" s="81"/>
      <c r="C69" s="82"/>
      <c r="D69" s="78" t="s">
        <v>70</v>
      </c>
      <c r="E69" s="79" t="s">
        <v>27</v>
      </c>
      <c r="F69" s="85">
        <v>1</v>
      </c>
      <c r="G69" s="79">
        <v>64.67</v>
      </c>
      <c r="H69" s="80">
        <v>64.67</v>
      </c>
      <c r="J69" s="11"/>
    </row>
    <row r="70" spans="1:13" ht="10.25" customHeight="1">
      <c r="A70" s="75" t="s">
        <v>44</v>
      </c>
      <c r="B70" s="81"/>
      <c r="C70" s="82"/>
      <c r="D70" s="86" t="s">
        <v>72</v>
      </c>
      <c r="E70" s="79" t="s">
        <v>38</v>
      </c>
      <c r="F70" s="87">
        <v>1</v>
      </c>
      <c r="G70" s="79">
        <v>383.93</v>
      </c>
      <c r="H70" s="80">
        <v>383.93</v>
      </c>
    </row>
    <row r="71" spans="1:13">
      <c r="A71" s="75" t="s">
        <v>197</v>
      </c>
      <c r="B71" s="81"/>
      <c r="C71" s="82"/>
      <c r="D71" s="78" t="s">
        <v>194</v>
      </c>
      <c r="E71" s="79" t="s">
        <v>27</v>
      </c>
      <c r="F71" s="85">
        <v>7</v>
      </c>
      <c r="G71" s="79">
        <v>69</v>
      </c>
      <c r="H71" s="80">
        <v>483</v>
      </c>
      <c r="J71" s="43"/>
      <c r="K71" s="58"/>
      <c r="L71" s="58"/>
      <c r="M71" s="58"/>
    </row>
    <row r="72" spans="1:13">
      <c r="A72" s="88" t="s">
        <v>197</v>
      </c>
      <c r="B72" s="89"/>
      <c r="C72" s="90"/>
      <c r="D72" s="91" t="s">
        <v>192</v>
      </c>
      <c r="E72" s="92" t="s">
        <v>27</v>
      </c>
      <c r="F72" s="93">
        <v>3</v>
      </c>
      <c r="G72" s="92">
        <v>442.84</v>
      </c>
      <c r="H72" s="94">
        <v>1328.52</v>
      </c>
      <c r="J72" s="43"/>
      <c r="K72" s="43"/>
      <c r="L72" s="43"/>
      <c r="M72" s="43"/>
    </row>
    <row r="73" spans="1:13">
      <c r="A73" s="75" t="s">
        <v>197</v>
      </c>
      <c r="B73" s="81"/>
      <c r="C73" s="82"/>
      <c r="D73" s="78" t="s">
        <v>75</v>
      </c>
      <c r="E73" s="79" t="s">
        <v>27</v>
      </c>
      <c r="F73" s="85">
        <v>5</v>
      </c>
      <c r="G73" s="79">
        <v>90.07</v>
      </c>
      <c r="H73" s="80">
        <v>450.34999999999997</v>
      </c>
      <c r="J73" s="43"/>
      <c r="K73" s="43"/>
      <c r="L73" s="43"/>
      <c r="M73" s="43"/>
    </row>
    <row r="74" spans="1:13">
      <c r="A74" s="75" t="s">
        <v>197</v>
      </c>
      <c r="B74" s="81"/>
      <c r="C74" s="82"/>
      <c r="D74" s="78" t="s">
        <v>193</v>
      </c>
      <c r="E74" s="79" t="s">
        <v>27</v>
      </c>
      <c r="F74" s="85">
        <v>3</v>
      </c>
      <c r="G74" s="79">
        <v>365</v>
      </c>
      <c r="H74" s="80">
        <v>1095</v>
      </c>
      <c r="J74" s="43"/>
      <c r="K74" s="43"/>
      <c r="L74" s="43"/>
      <c r="M74" s="43"/>
    </row>
    <row r="75" spans="1:13">
      <c r="A75" s="75" t="s">
        <v>197</v>
      </c>
      <c r="B75" s="81"/>
      <c r="C75" s="82"/>
      <c r="D75" s="78" t="s">
        <v>184</v>
      </c>
      <c r="E75" s="79" t="s">
        <v>27</v>
      </c>
      <c r="F75" s="85">
        <v>20</v>
      </c>
      <c r="G75" s="79">
        <v>2.8250149200000001</v>
      </c>
      <c r="H75" s="80">
        <v>56.500298400000005</v>
      </c>
      <c r="J75" s="36"/>
      <c r="K75" s="43"/>
      <c r="L75" s="43"/>
      <c r="M75" s="43"/>
    </row>
    <row r="76" spans="1:13">
      <c r="J76" s="43"/>
      <c r="K76" s="43"/>
      <c r="L76" s="43"/>
      <c r="M76" s="43"/>
    </row>
    <row r="77" spans="1:13">
      <c r="J77" s="43"/>
      <c r="K77" s="43"/>
      <c r="L77" s="43"/>
      <c r="M77" s="43"/>
    </row>
    <row r="78" spans="1:13">
      <c r="J78" s="43"/>
      <c r="K78" s="43"/>
      <c r="L78" s="43"/>
      <c r="M78" s="43"/>
    </row>
    <row r="79" spans="1:13">
      <c r="J79" s="43"/>
      <c r="K79" s="43"/>
      <c r="L79" s="43"/>
      <c r="M79" s="43"/>
    </row>
    <row r="80" spans="1:13">
      <c r="J80" s="43"/>
      <c r="K80" s="43"/>
      <c r="L80" s="43"/>
      <c r="M80" s="43"/>
    </row>
    <row r="81" spans="10:13">
      <c r="J81" s="43"/>
      <c r="K81" s="43"/>
      <c r="L81" s="43"/>
      <c r="M81" s="43"/>
    </row>
    <row r="82" spans="10:13">
      <c r="J82" s="43"/>
      <c r="K82" s="43"/>
      <c r="L82" s="43"/>
      <c r="M82" s="43"/>
    </row>
    <row r="83" spans="10:13">
      <c r="J83" s="43"/>
      <c r="K83" s="43"/>
      <c r="L83" s="43"/>
      <c r="M83" s="43"/>
    </row>
    <row r="84" spans="10:13">
      <c r="J84" s="43"/>
      <c r="K84" s="43"/>
      <c r="L84" s="43"/>
      <c r="M84" s="43"/>
    </row>
    <row r="85" spans="10:13">
      <c r="J85" s="43"/>
      <c r="K85" s="43"/>
      <c r="L85" s="43"/>
      <c r="M85" s="43"/>
    </row>
    <row r="86" spans="10:13">
      <c r="J86" s="43"/>
      <c r="K86" s="43"/>
      <c r="L86" s="43"/>
      <c r="M86" s="43"/>
    </row>
    <row r="87" spans="10:13">
      <c r="J87" s="43"/>
      <c r="K87" s="43"/>
      <c r="L87" s="43"/>
      <c r="M87" s="43"/>
    </row>
    <row r="88" spans="10:13">
      <c r="J88" s="43"/>
      <c r="K88" s="43"/>
      <c r="L88" s="43"/>
      <c r="M88" s="43"/>
    </row>
    <row r="89" spans="10:13">
      <c r="J89" s="43"/>
      <c r="K89" s="43"/>
      <c r="L89" s="43"/>
      <c r="M89" s="43"/>
    </row>
    <row r="90" spans="10:13">
      <c r="J90" s="43"/>
      <c r="K90" s="43"/>
      <c r="L90" s="43"/>
      <c r="M90" s="43"/>
    </row>
    <row r="91" spans="10:13">
      <c r="J91" s="43"/>
      <c r="K91" s="43"/>
      <c r="L91" s="43"/>
      <c r="M91" s="43"/>
    </row>
    <row r="92" spans="10:13">
      <c r="J92" s="43"/>
      <c r="K92" s="43"/>
      <c r="L92" s="43"/>
      <c r="M92" s="43"/>
    </row>
    <row r="93" spans="10:13">
      <c r="J93" s="43"/>
      <c r="K93" s="43"/>
      <c r="L93" s="43"/>
      <c r="M93" s="43"/>
    </row>
    <row r="94" spans="10:13">
      <c r="J94" s="43"/>
      <c r="K94" s="43"/>
      <c r="L94" s="43"/>
      <c r="M94" s="43"/>
    </row>
    <row r="95" spans="10:13">
      <c r="J95" s="43"/>
      <c r="K95" s="43"/>
      <c r="L95" s="43"/>
      <c r="M95" s="43"/>
    </row>
    <row r="96" spans="10:13">
      <c r="J96" s="43"/>
      <c r="K96" s="43"/>
      <c r="L96" s="43"/>
      <c r="M96" s="43"/>
    </row>
    <row r="97" spans="10:13">
      <c r="J97" s="43"/>
      <c r="K97" s="43"/>
      <c r="L97" s="43"/>
      <c r="M97" s="43"/>
    </row>
    <row r="98" spans="10:13">
      <c r="J98" s="43"/>
      <c r="K98" s="43"/>
      <c r="L98" s="43"/>
      <c r="M98" s="43"/>
    </row>
    <row r="99" spans="10:13">
      <c r="J99" s="43"/>
      <c r="K99" s="43"/>
      <c r="L99" s="43"/>
      <c r="M99" s="43"/>
    </row>
    <row r="100" spans="10:13">
      <c r="J100" s="43"/>
      <c r="K100" s="43"/>
      <c r="L100" s="43"/>
      <c r="M100" s="43"/>
    </row>
    <row r="101" spans="10:13">
      <c r="J101" s="43"/>
      <c r="K101" s="43"/>
      <c r="L101" s="43"/>
      <c r="M101" s="43"/>
    </row>
    <row r="102" spans="10:13">
      <c r="J102" s="43"/>
      <c r="K102" s="43"/>
      <c r="L102" s="43"/>
      <c r="M102" s="43"/>
    </row>
    <row r="103" spans="10:13">
      <c r="J103" s="43"/>
      <c r="K103" s="43"/>
      <c r="L103" s="43"/>
      <c r="M103" s="43"/>
    </row>
  </sheetData>
  <pageMargins left="0.12" right="0.12" top="0.12" bottom="0.12" header="0.12" footer="0.12"/>
  <pageSetup paperSize="9" scale="88"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3807-93C6-4FA7-8A90-2B66D45661A8}">
  <sheetPr codeName="Sheet3"/>
  <dimension ref="A1:L123"/>
  <sheetViews>
    <sheetView view="pageBreakPreview" zoomScale="115" zoomScaleNormal="100" zoomScaleSheetLayoutView="115" workbookViewId="0">
      <selection activeCell="M6" sqref="M6"/>
    </sheetView>
  </sheetViews>
  <sheetFormatPr defaultColWidth="8.81640625" defaultRowHeight="14.5"/>
  <cols>
    <col min="1" max="1" width="16.1796875" style="11" customWidth="1"/>
    <col min="2" max="2" width="19.54296875" style="11" hidden="1" customWidth="1"/>
    <col min="3" max="3" width="9" style="11" hidden="1" customWidth="1"/>
    <col min="4" max="4" width="32.36328125" style="11" customWidth="1"/>
    <col min="5" max="5" width="8.6328125" style="11" customWidth="1"/>
    <col min="6" max="6" width="12.54296875" style="11" customWidth="1"/>
    <col min="7" max="7" width="10.6328125" style="11" customWidth="1"/>
    <col min="8" max="8" width="22.54296875" style="11" customWidth="1"/>
    <col min="9" max="9" width="6.81640625" style="11" bestFit="1" customWidth="1"/>
    <col min="10" max="10" width="10.54296875" style="11" bestFit="1" customWidth="1"/>
    <col min="11" max="11" width="32.453125" style="11" bestFit="1" customWidth="1"/>
    <col min="12" max="12" width="3.90625" style="11" bestFit="1" customWidth="1"/>
    <col min="13" max="16384" width="8.81640625" style="11"/>
  </cols>
  <sheetData>
    <row r="1" spans="1:12" s="20" customFormat="1" ht="8.5">
      <c r="A1" s="169" t="s">
        <v>11</v>
      </c>
      <c r="B1" s="170" t="s">
        <v>12</v>
      </c>
      <c r="C1" s="170" t="s">
        <v>13</v>
      </c>
      <c r="D1" s="170" t="s">
        <v>14</v>
      </c>
      <c r="E1" s="170" t="s">
        <v>15</v>
      </c>
      <c r="F1" s="170" t="s">
        <v>16</v>
      </c>
      <c r="G1" s="170" t="s">
        <v>17</v>
      </c>
      <c r="H1" s="171" t="s">
        <v>18</v>
      </c>
      <c r="I1" s="171" t="s">
        <v>241</v>
      </c>
      <c r="J1" s="170" t="s">
        <v>268</v>
      </c>
    </row>
    <row r="2" spans="1:12" s="58" customFormat="1" ht="10.25" customHeight="1">
      <c r="A2" s="172"/>
      <c r="B2" s="179"/>
      <c r="C2" s="180"/>
      <c r="D2" s="175"/>
      <c r="E2" s="176">
        <f>_xlfn.XLOOKUP(Table32[[#This Row],[Item]],Table13[Decription],Table13[Unit])</f>
        <v>0</v>
      </c>
      <c r="F2" s="176"/>
      <c r="G2" s="176">
        <f>_xlfn.XLOOKUP(Table32[[#This Row],[Item]],Table13[Decription],Table13[Unit Cost])</f>
        <v>0</v>
      </c>
      <c r="H2" s="177">
        <f>Table32[[#This Row],[Unit Cost]]*Table32[[#This Row],[Quantity Issued]]</f>
        <v>0</v>
      </c>
      <c r="I2" s="185">
        <f>_xlfn.XLOOKUP(Table32[[#This Row],[Item]],Table13[Decription],Table13[February 2025 - Balance Qty])</f>
        <v>0</v>
      </c>
      <c r="J2" s="168">
        <f>_xlfn.XLOOKUP(Table32[[#This Row],[Item]],Table13[Decription],Table13[Article])</f>
        <v>0</v>
      </c>
    </row>
    <row r="3" spans="1:12" s="58" customFormat="1" ht="10.5">
      <c r="A3" s="172" t="s">
        <v>238</v>
      </c>
      <c r="B3" s="173"/>
      <c r="C3" s="174"/>
      <c r="D3" s="175" t="s">
        <v>128</v>
      </c>
      <c r="E3" s="176" t="str">
        <f>_xlfn.XLOOKUP(Table32[[#This Row],[Item]],Table13[Decription],Table13[Unit])</f>
        <v>ream</v>
      </c>
      <c r="F3" s="176">
        <v>2</v>
      </c>
      <c r="G3" s="176">
        <f>_xlfn.XLOOKUP(Table32[[#This Row],[Item]],Table13[Decription],Table13[Unit Cost])</f>
        <v>285</v>
      </c>
      <c r="H3" s="177">
        <f>Table32[[#This Row],[Unit Cost]]*Table32[[#This Row],[Quantity Issued]]</f>
        <v>570</v>
      </c>
      <c r="I3" s="178">
        <f>_xlfn.XLOOKUP(Table32[[#This Row],[Item]],Table13[Decription],Table13[February 2025 - Balance Qty])</f>
        <v>3</v>
      </c>
      <c r="J3" s="167" t="str">
        <f>_xlfn.XLOOKUP(Table32[[#This Row],[Item]],Table13[Decription],Table13[Article])</f>
        <v>Office Supplies</v>
      </c>
    </row>
    <row r="4" spans="1:12" s="58" customFormat="1" ht="10.5">
      <c r="A4" s="172" t="s">
        <v>238</v>
      </c>
      <c r="B4" s="173"/>
      <c r="C4" s="174"/>
      <c r="D4" s="175" t="s">
        <v>102</v>
      </c>
      <c r="E4" s="176" t="str">
        <f>_xlfn.XLOOKUP(Table32[[#This Row],[Item]],Table13[Decription],Table13[Unit])</f>
        <v>box</v>
      </c>
      <c r="F4" s="176">
        <v>2</v>
      </c>
      <c r="G4" s="176">
        <f>_xlfn.XLOOKUP(Table32[[#This Row],[Item]],Table13[Decription],Table13[Unit Cost])</f>
        <v>100</v>
      </c>
      <c r="H4" s="177">
        <f>Table32[[#This Row],[Unit Cost]]*Table32[[#This Row],[Quantity Issued]]</f>
        <v>200</v>
      </c>
      <c r="I4" s="178">
        <f>_xlfn.XLOOKUP(Table32[[#This Row],[Item]],Table13[Decription],Table13[February 2025 - Balance Qty])</f>
        <v>3</v>
      </c>
      <c r="J4" s="167" t="str">
        <f>_xlfn.XLOOKUP(Table32[[#This Row],[Item]],Table13[Decription],Table13[Article])</f>
        <v>Office Supplies</v>
      </c>
    </row>
    <row r="5" spans="1:12" s="43" customFormat="1" ht="10.5">
      <c r="A5" s="172" t="s">
        <v>238</v>
      </c>
      <c r="B5" s="173"/>
      <c r="C5" s="174"/>
      <c r="D5" s="175" t="s">
        <v>120</v>
      </c>
      <c r="E5" s="176" t="str">
        <f>_xlfn.XLOOKUP(Table32[[#This Row],[Item]],Table13[Decription],Table13[Unit])</f>
        <v>pack</v>
      </c>
      <c r="F5" s="176">
        <v>1</v>
      </c>
      <c r="G5" s="176">
        <f>_xlfn.XLOOKUP(Table32[[#This Row],[Item]],Table13[Decription],Table13[Unit Cost])</f>
        <v>80.558285699999999</v>
      </c>
      <c r="H5" s="177">
        <f>Table32[[#This Row],[Unit Cost]]*Table32[[#This Row],[Quantity Issued]]</f>
        <v>80.558285699999999</v>
      </c>
      <c r="I5" s="178">
        <f>_xlfn.XLOOKUP(Table32[[#This Row],[Item]],Table13[Decription],Table13[February 2025 - Balance Qty])</f>
        <v>34</v>
      </c>
      <c r="J5" s="167" t="str">
        <f>_xlfn.XLOOKUP(Table32[[#This Row],[Item]],Table13[Decription],Table13[Article])</f>
        <v>Office Supplies</v>
      </c>
    </row>
    <row r="6" spans="1:12" s="43" customFormat="1" ht="10.5">
      <c r="A6" s="172" t="s">
        <v>240</v>
      </c>
      <c r="B6" s="179"/>
      <c r="C6" s="180"/>
      <c r="D6" s="175" t="s">
        <v>128</v>
      </c>
      <c r="E6" s="176" t="str">
        <f>_xlfn.XLOOKUP(Table32[[#This Row],[Item]],Table13[Decription],Table13[Unit])</f>
        <v>ream</v>
      </c>
      <c r="F6" s="176">
        <v>2</v>
      </c>
      <c r="G6" s="176">
        <f>_xlfn.XLOOKUP(Table32[[#This Row],[Item]],Table13[Decription],Table13[Unit Cost])</f>
        <v>285</v>
      </c>
      <c r="H6" s="177">
        <f>Table32[[#This Row],[Unit Cost]]*Table32[[#This Row],[Quantity Issued]]</f>
        <v>570</v>
      </c>
      <c r="I6" s="178">
        <f>_xlfn.XLOOKUP(Table32[[#This Row],[Item]],Table13[Decription],Table13[February 2025 - Balance Qty])</f>
        <v>3</v>
      </c>
      <c r="J6" s="167" t="str">
        <f>_xlfn.XLOOKUP(Table32[[#This Row],[Item]],Table13[Decription],Table13[Article])</f>
        <v>Office Supplies</v>
      </c>
    </row>
    <row r="7" spans="1:12" s="43" customFormat="1" ht="10.5">
      <c r="A7" s="172" t="s">
        <v>240</v>
      </c>
      <c r="B7" s="179"/>
      <c r="C7" s="180"/>
      <c r="D7" s="175" t="s">
        <v>51</v>
      </c>
      <c r="E7" s="176" t="str">
        <f>_xlfn.XLOOKUP(Table32[[#This Row],[Item]],Table13[Decription],Table13[Unit])</f>
        <v>ream</v>
      </c>
      <c r="F7" s="176">
        <v>1</v>
      </c>
      <c r="G7" s="176">
        <f>_xlfn.XLOOKUP(Table32[[#This Row],[Item]],Table13[Decription],Table13[Unit Cost])</f>
        <v>340.17</v>
      </c>
      <c r="H7" s="177">
        <f>Table32[[#This Row],[Unit Cost]]*Table32[[#This Row],[Quantity Issued]]</f>
        <v>340.17</v>
      </c>
      <c r="I7" s="178">
        <f>_xlfn.XLOOKUP(Table32[[#This Row],[Item]],Table13[Decription],Table13[February 2025 - Balance Qty])</f>
        <v>10</v>
      </c>
      <c r="J7" s="167" t="str">
        <f>_xlfn.XLOOKUP(Table32[[#This Row],[Item]],Table13[Decription],Table13[Article])</f>
        <v>Office Supplies</v>
      </c>
    </row>
    <row r="8" spans="1:12" s="43" customFormat="1" ht="10.5">
      <c r="A8" s="172" t="s">
        <v>242</v>
      </c>
      <c r="B8" s="179"/>
      <c r="C8" s="180"/>
      <c r="D8" s="175" t="s">
        <v>112</v>
      </c>
      <c r="E8" s="176" t="str">
        <f>_xlfn.XLOOKUP(Table32[[#This Row],[Item]],Table13[Decription],Table13[Unit])</f>
        <v>box</v>
      </c>
      <c r="F8" s="176">
        <v>1</v>
      </c>
      <c r="G8" s="176">
        <f>_xlfn.XLOOKUP(Table32[[#This Row],[Item]],Table13[Decription],Table13[Unit Cost])</f>
        <v>33.93</v>
      </c>
      <c r="H8" s="177">
        <f>Table32[[#This Row],[Unit Cost]]*Table32[[#This Row],[Quantity Issued]]</f>
        <v>33.93</v>
      </c>
      <c r="I8" s="178">
        <f>_xlfn.XLOOKUP(Table32[[#This Row],[Item]],Table13[Decription],Table13[February 2025 - Balance Qty])</f>
        <v>6</v>
      </c>
      <c r="J8" s="167" t="str">
        <f>_xlfn.XLOOKUP(Table32[[#This Row],[Item]],Table13[Decription],Table13[Article])</f>
        <v>Office Supplies</v>
      </c>
    </row>
    <row r="9" spans="1:12" s="43" customFormat="1" ht="10.5">
      <c r="A9" s="172" t="s">
        <v>242</v>
      </c>
      <c r="B9" s="179"/>
      <c r="C9" s="180"/>
      <c r="D9" s="175" t="s">
        <v>89</v>
      </c>
      <c r="E9" s="176" t="str">
        <f>_xlfn.XLOOKUP(Table32[[#This Row],[Item]],Table13[Decription],Table13[Unit])</f>
        <v>piece</v>
      </c>
      <c r="F9" s="176">
        <v>5</v>
      </c>
      <c r="G9" s="176">
        <f>_xlfn.XLOOKUP(Table32[[#This Row],[Item]],Table13[Decription],Table13[Unit Cost])</f>
        <v>38.89</v>
      </c>
      <c r="H9" s="177">
        <f>Table32[[#This Row],[Unit Cost]]*Table32[[#This Row],[Quantity Issued]]</f>
        <v>194.45</v>
      </c>
      <c r="I9" s="178">
        <f>_xlfn.XLOOKUP(Table32[[#This Row],[Item]],Table13[Decription],Table13[February 2025 - Balance Qty])</f>
        <v>30</v>
      </c>
      <c r="J9" s="168" t="str">
        <f>_xlfn.XLOOKUP(Table32[[#This Row],[Item]],Table13[Decription],Table13[Article])</f>
        <v>Office Supplies</v>
      </c>
    </row>
    <row r="10" spans="1:12" s="43" customFormat="1" ht="10.5">
      <c r="A10" s="172" t="s">
        <v>243</v>
      </c>
      <c r="B10" s="179"/>
      <c r="C10" s="180"/>
      <c r="D10" s="175" t="s">
        <v>85</v>
      </c>
      <c r="E10" s="176" t="str">
        <f>_xlfn.XLOOKUP(Table32[[#This Row],[Item]],Table13[Decription],Table13[Unit])</f>
        <v>piece</v>
      </c>
      <c r="F10" s="176">
        <v>2</v>
      </c>
      <c r="G10" s="176">
        <f>_xlfn.XLOOKUP(Table32[[#This Row],[Item]],Table13[Decription],Table13[Unit Cost])</f>
        <v>110</v>
      </c>
      <c r="H10" s="177">
        <f>Table32[[#This Row],[Unit Cost]]*Table32[[#This Row],[Quantity Issued]]</f>
        <v>220</v>
      </c>
      <c r="I10" s="178">
        <f>_xlfn.XLOOKUP(Table32[[#This Row],[Item]],Table13[Decription],Table13[February 2025 - Balance Qty])</f>
        <v>3</v>
      </c>
      <c r="J10" s="168" t="str">
        <f>_xlfn.XLOOKUP(Table32[[#This Row],[Item]],Table13[Decription],Table13[Article])</f>
        <v>Office Supplies</v>
      </c>
    </row>
    <row r="11" spans="1:12" s="43" customFormat="1" ht="9.65" customHeight="1">
      <c r="A11" s="172" t="s">
        <v>243</v>
      </c>
      <c r="B11" s="179"/>
      <c r="C11" s="180"/>
      <c r="D11" s="175" t="s">
        <v>157</v>
      </c>
      <c r="E11" s="176" t="str">
        <f>_xlfn.XLOOKUP(Table32[[#This Row],[Item]],Table13[Decription],Table13[Unit])</f>
        <v>piece</v>
      </c>
      <c r="F11" s="176">
        <v>5</v>
      </c>
      <c r="G11" s="176">
        <f>_xlfn.XLOOKUP(Table32[[#This Row],[Item]],Table13[Decription],Table13[Unit Cost])</f>
        <v>8.4</v>
      </c>
      <c r="H11" s="177">
        <f>Table32[[#This Row],[Unit Cost]]*Table32[[#This Row],[Quantity Issued]]</f>
        <v>42</v>
      </c>
      <c r="I11" s="178">
        <f>_xlfn.XLOOKUP(Table32[[#This Row],[Item]],Table13[Decription],Table13[February 2025 - Balance Qty])</f>
        <v>62</v>
      </c>
      <c r="J11" s="168" t="str">
        <f>_xlfn.XLOOKUP(Table32[[#This Row],[Item]],Table13[Decription],Table13[Article])</f>
        <v>Office Supplies</v>
      </c>
    </row>
    <row r="12" spans="1:12" s="43" customFormat="1" ht="9.65" customHeight="1">
      <c r="A12" s="172" t="s">
        <v>243</v>
      </c>
      <c r="B12" s="179"/>
      <c r="C12" s="180"/>
      <c r="D12" s="175" t="s">
        <v>128</v>
      </c>
      <c r="E12" s="176" t="str">
        <f>_xlfn.XLOOKUP(Table32[[#This Row],[Item]],Table13[Decription],Table13[Unit])</f>
        <v>ream</v>
      </c>
      <c r="F12" s="176">
        <v>2</v>
      </c>
      <c r="G12" s="176">
        <f>_xlfn.XLOOKUP(Table32[[#This Row],[Item]],Table13[Decription],Table13[Unit Cost])</f>
        <v>285</v>
      </c>
      <c r="H12" s="177">
        <f>Table32[[#This Row],[Unit Cost]]*Table32[[#This Row],[Quantity Issued]]</f>
        <v>570</v>
      </c>
      <c r="I12" s="178">
        <f>_xlfn.XLOOKUP(Table32[[#This Row],[Item]],Table13[Decription],Table13[February 2025 - Balance Qty])</f>
        <v>3</v>
      </c>
      <c r="J12" s="168" t="str">
        <f>_xlfn.XLOOKUP(Table32[[#This Row],[Item]],Table13[Decription],Table13[Article])</f>
        <v>Office Supplies</v>
      </c>
    </row>
    <row r="13" spans="1:12" s="43" customFormat="1" ht="9.65" customHeight="1">
      <c r="A13" s="172" t="s">
        <v>243</v>
      </c>
      <c r="B13" s="179"/>
      <c r="C13" s="180"/>
      <c r="D13" s="175" t="s">
        <v>51</v>
      </c>
      <c r="E13" s="176" t="str">
        <f>_xlfn.XLOOKUP(Table32[[#This Row],[Item]],Table13[Decription],Table13[Unit])</f>
        <v>ream</v>
      </c>
      <c r="F13" s="176">
        <v>1</v>
      </c>
      <c r="G13" s="176">
        <f>_xlfn.XLOOKUP(Table32[[#This Row],[Item]],Table13[Decription],Table13[Unit Cost])</f>
        <v>340.17</v>
      </c>
      <c r="H13" s="177">
        <f>Table32[[#This Row],[Unit Cost]]*Table32[[#This Row],[Quantity Issued]]</f>
        <v>340.17</v>
      </c>
      <c r="I13" s="178">
        <f>_xlfn.XLOOKUP(Table32[[#This Row],[Item]],Table13[Decription],Table13[February 2025 - Balance Qty])</f>
        <v>10</v>
      </c>
      <c r="J13" s="168" t="str">
        <f>_xlfn.XLOOKUP(Table32[[#This Row],[Item]],Table13[Decription],Table13[Article])</f>
        <v>Office Supplies</v>
      </c>
    </row>
    <row r="14" spans="1:12" s="43" customFormat="1" ht="9.65" customHeight="1">
      <c r="A14" s="172" t="s">
        <v>243</v>
      </c>
      <c r="B14" s="179"/>
      <c r="C14" s="180"/>
      <c r="D14" s="175" t="s">
        <v>128</v>
      </c>
      <c r="E14" s="176" t="str">
        <f>_xlfn.XLOOKUP(Table32[[#This Row],[Item]],Table13[Decription],Table13[Unit])</f>
        <v>ream</v>
      </c>
      <c r="F14" s="176">
        <v>1</v>
      </c>
      <c r="G14" s="176">
        <f>_xlfn.XLOOKUP(Table32[[#This Row],[Item]],Table13[Decription],Table13[Unit Cost])</f>
        <v>285</v>
      </c>
      <c r="H14" s="177">
        <f>Table32[[#This Row],[Unit Cost]]*Table32[[#This Row],[Quantity Issued]]</f>
        <v>285</v>
      </c>
      <c r="I14" s="178">
        <f>_xlfn.XLOOKUP(Table32[[#This Row],[Item]],Table13[Decription],Table13[February 2025 - Balance Qty])</f>
        <v>3</v>
      </c>
      <c r="J14" s="168" t="str">
        <f>_xlfn.XLOOKUP(Table32[[#This Row],[Item]],Table13[Decription],Table13[Article])</f>
        <v>Office Supplies</v>
      </c>
    </row>
    <row r="15" spans="1:12" s="43" customFormat="1" ht="9.65" customHeight="1">
      <c r="A15" s="172" t="s">
        <v>244</v>
      </c>
      <c r="B15" s="179"/>
      <c r="C15" s="180"/>
      <c r="D15" s="175" t="s">
        <v>155</v>
      </c>
      <c r="E15" s="176" t="str">
        <f>_xlfn.XLOOKUP(Table32[[#This Row],[Item]],Table13[Decription],Table13[Unit])</f>
        <v>bottle</v>
      </c>
      <c r="F15" s="176">
        <v>1</v>
      </c>
      <c r="G15" s="176">
        <f>_xlfn.XLOOKUP(Table32[[#This Row],[Item]],Table13[Decription],Table13[Unit Cost])</f>
        <v>65</v>
      </c>
      <c r="H15" s="177">
        <f>Table32[[#This Row],[Unit Cost]]*Table32[[#This Row],[Quantity Issued]]</f>
        <v>65</v>
      </c>
      <c r="I15" s="178">
        <f>_xlfn.XLOOKUP(Table32[[#This Row],[Item]],Table13[Decription],Table13[February 2025 - Balance Qty])</f>
        <v>10</v>
      </c>
      <c r="J15" s="168" t="str">
        <f>_xlfn.XLOOKUP(Table32[[#This Row],[Item]],Table13[Decription],Table13[Article])</f>
        <v>Office Supplies</v>
      </c>
      <c r="K15" s="58"/>
      <c r="L15" s="58"/>
    </row>
    <row r="16" spans="1:12" s="43" customFormat="1" ht="9.65" customHeight="1">
      <c r="A16" s="172" t="s">
        <v>244</v>
      </c>
      <c r="B16" s="179"/>
      <c r="C16" s="180"/>
      <c r="D16" s="175" t="s">
        <v>64</v>
      </c>
      <c r="E16" s="176" t="str">
        <f>_xlfn.XLOOKUP(Table32[[#This Row],[Item]],Table13[Decription],Table13[Unit])</f>
        <v>piece</v>
      </c>
      <c r="F16" s="176">
        <v>20</v>
      </c>
      <c r="G16" s="176">
        <f>_xlfn.XLOOKUP(Table32[[#This Row],[Item]],Table13[Decription],Table13[Unit Cost])</f>
        <v>8.5755407899999998</v>
      </c>
      <c r="H16" s="177">
        <f>Table32[[#This Row],[Unit Cost]]*Table32[[#This Row],[Quantity Issued]]</f>
        <v>171.51081579999999</v>
      </c>
      <c r="I16" s="178">
        <f>_xlfn.XLOOKUP(Table32[[#This Row],[Item]],Table13[Decription],Table13[February 2025 - Balance Qty])</f>
        <v>395</v>
      </c>
      <c r="J16" s="168" t="str">
        <f>_xlfn.XLOOKUP(Table32[[#This Row],[Item]],Table13[Decription],Table13[Article])</f>
        <v>Office Supplies</v>
      </c>
      <c r="K16" s="58"/>
      <c r="L16" s="58"/>
    </row>
    <row r="17" spans="1:12" s="43" customFormat="1" ht="9.65" customHeight="1">
      <c r="A17" s="172" t="s">
        <v>244</v>
      </c>
      <c r="B17" s="179"/>
      <c r="C17" s="180"/>
      <c r="D17" s="175" t="s">
        <v>128</v>
      </c>
      <c r="E17" s="176" t="str">
        <f>_xlfn.XLOOKUP(Table32[[#This Row],[Item]],Table13[Decription],Table13[Unit])</f>
        <v>ream</v>
      </c>
      <c r="F17" s="176">
        <v>1</v>
      </c>
      <c r="G17" s="176">
        <f>_xlfn.XLOOKUP(Table32[[#This Row],[Item]],Table13[Decription],Table13[Unit Cost])</f>
        <v>285</v>
      </c>
      <c r="H17" s="177">
        <f>Table32[[#This Row],[Unit Cost]]*Table32[[#This Row],[Quantity Issued]]</f>
        <v>285</v>
      </c>
      <c r="I17" s="178">
        <f>_xlfn.XLOOKUP(Table32[[#This Row],[Item]],Table13[Decription],Table13[February 2025 - Balance Qty])</f>
        <v>3</v>
      </c>
      <c r="J17" s="168" t="str">
        <f>_xlfn.XLOOKUP(Table32[[#This Row],[Item]],Table13[Decription],Table13[Article])</f>
        <v>Office Supplies</v>
      </c>
      <c r="K17" s="58"/>
      <c r="L17" s="58"/>
    </row>
    <row r="18" spans="1:12" s="43" customFormat="1" ht="9.65" customHeight="1">
      <c r="A18" s="172" t="s">
        <v>244</v>
      </c>
      <c r="B18" s="179"/>
      <c r="C18" s="180"/>
      <c r="D18" s="175" t="s">
        <v>51</v>
      </c>
      <c r="E18" s="176" t="str">
        <f>_xlfn.XLOOKUP(Table32[[#This Row],[Item]],Table13[Decription],Table13[Unit])</f>
        <v>ream</v>
      </c>
      <c r="F18" s="176">
        <v>1</v>
      </c>
      <c r="G18" s="176">
        <f>_xlfn.XLOOKUP(Table32[[#This Row],[Item]],Table13[Decription],Table13[Unit Cost])</f>
        <v>340.17</v>
      </c>
      <c r="H18" s="177">
        <f>Table32[[#This Row],[Unit Cost]]*Table32[[#This Row],[Quantity Issued]]</f>
        <v>340.17</v>
      </c>
      <c r="I18" s="178">
        <f>_xlfn.XLOOKUP(Table32[[#This Row],[Item]],Table13[Decription],Table13[February 2025 - Balance Qty])</f>
        <v>10</v>
      </c>
      <c r="J18" s="168" t="str">
        <f>_xlfn.XLOOKUP(Table32[[#This Row],[Item]],Table13[Decription],Table13[Article])</f>
        <v>Office Supplies</v>
      </c>
    </row>
    <row r="19" spans="1:12" s="43" customFormat="1" ht="9.65" customHeight="1">
      <c r="A19" s="172" t="s">
        <v>244</v>
      </c>
      <c r="B19" s="179"/>
      <c r="C19" s="180"/>
      <c r="D19" s="175" t="s">
        <v>89</v>
      </c>
      <c r="E19" s="176" t="str">
        <f>_xlfn.XLOOKUP(Table32[[#This Row],[Item]],Table13[Decription],Table13[Unit])</f>
        <v>piece</v>
      </c>
      <c r="F19" s="176">
        <v>2</v>
      </c>
      <c r="G19" s="176">
        <f>_xlfn.XLOOKUP(Table32[[#This Row],[Item]],Table13[Decription],Table13[Unit Cost])</f>
        <v>38.89</v>
      </c>
      <c r="H19" s="177">
        <f>Table32[[#This Row],[Unit Cost]]*Table32[[#This Row],[Quantity Issued]]</f>
        <v>77.78</v>
      </c>
      <c r="I19" s="178">
        <f>_xlfn.XLOOKUP(Table32[[#This Row],[Item]],Table13[Decription],Table13[February 2025 - Balance Qty])</f>
        <v>30</v>
      </c>
      <c r="J19" s="168" t="str">
        <f>_xlfn.XLOOKUP(Table32[[#This Row],[Item]],Table13[Decription],Table13[Article])</f>
        <v>Office Supplies</v>
      </c>
    </row>
    <row r="20" spans="1:12" s="43" customFormat="1" ht="9.65" customHeight="1">
      <c r="A20" s="172" t="s">
        <v>244</v>
      </c>
      <c r="B20" s="173" t="s">
        <v>244</v>
      </c>
      <c r="C20" s="173" t="s">
        <v>244</v>
      </c>
      <c r="D20" s="175" t="s">
        <v>102</v>
      </c>
      <c r="E20" s="176" t="str">
        <f>_xlfn.XLOOKUP(Table32[[#This Row],[Item]],Table13[Decription],Table13[Unit])</f>
        <v>box</v>
      </c>
      <c r="F20" s="176">
        <v>1</v>
      </c>
      <c r="G20" s="176">
        <f>_xlfn.XLOOKUP(Table32[[#This Row],[Item]],Table13[Decription],Table13[Unit Cost])</f>
        <v>100</v>
      </c>
      <c r="H20" s="177">
        <f>Table32[[#This Row],[Unit Cost]]*Table32[[#This Row],[Quantity Issued]]</f>
        <v>100</v>
      </c>
      <c r="I20" s="178">
        <f>_xlfn.XLOOKUP(Table32[[#This Row],[Item]],Table13[Decription],Table13[February 2025 - Balance Qty])</f>
        <v>3</v>
      </c>
      <c r="J20" s="168" t="str">
        <f>_xlfn.XLOOKUP(Table32[[#This Row],[Item]],Table13[Decription],Table13[Article])</f>
        <v>Office Supplies</v>
      </c>
    </row>
    <row r="21" spans="1:12" s="43" customFormat="1" ht="9.65" customHeight="1">
      <c r="A21" s="172" t="s">
        <v>245</v>
      </c>
      <c r="B21" s="179"/>
      <c r="C21" s="180"/>
      <c r="D21" s="175" t="s">
        <v>89</v>
      </c>
      <c r="E21" s="176" t="str">
        <f>_xlfn.XLOOKUP(Table32[[#This Row],[Item]],Table13[Decription],Table13[Unit])</f>
        <v>piece</v>
      </c>
      <c r="F21" s="176">
        <v>2</v>
      </c>
      <c r="G21" s="176">
        <f>_xlfn.XLOOKUP(Table32[[#This Row],[Item]],Table13[Decription],Table13[Unit Cost])</f>
        <v>38.89</v>
      </c>
      <c r="H21" s="177">
        <f>Table32[[#This Row],[Unit Cost]]*Table32[[#This Row],[Quantity Issued]]</f>
        <v>77.78</v>
      </c>
      <c r="I21" s="178">
        <f>_xlfn.XLOOKUP(Table32[[#This Row],[Item]],Table13[Decription],Table13[February 2025 - Balance Qty])</f>
        <v>30</v>
      </c>
      <c r="J21" s="168" t="str">
        <f>_xlfn.XLOOKUP(Table32[[#This Row],[Item]],Table13[Decription],Table13[Article])</f>
        <v>Office Supplies</v>
      </c>
    </row>
    <row r="22" spans="1:12" s="43" customFormat="1" ht="9.65" customHeight="1">
      <c r="A22" s="172" t="s">
        <v>245</v>
      </c>
      <c r="B22" s="179"/>
      <c r="C22" s="180"/>
      <c r="D22" s="175" t="s">
        <v>151</v>
      </c>
      <c r="E22" s="176" t="str">
        <f>_xlfn.XLOOKUP(Table32[[#This Row],[Item]],Table13[Decription],Table13[Unit])</f>
        <v>piece</v>
      </c>
      <c r="F22" s="176">
        <v>75</v>
      </c>
      <c r="G22" s="176">
        <f>_xlfn.XLOOKUP(Table32[[#This Row],[Item]],Table13[Decription],Table13[Unit Cost])</f>
        <v>3.4993899330589922</v>
      </c>
      <c r="H22" s="177">
        <f>Table32[[#This Row],[Unit Cost]]*Table32[[#This Row],[Quantity Issued]]</f>
        <v>262.4542449794244</v>
      </c>
      <c r="I22" s="178">
        <f>_xlfn.XLOOKUP(Table32[[#This Row],[Item]],Table13[Decription],Table13[February 2025 - Balance Qty])</f>
        <v>0</v>
      </c>
      <c r="J22" s="168" t="str">
        <f>_xlfn.XLOOKUP(Table32[[#This Row],[Item]],Table13[Decription],Table13[Article])</f>
        <v>Office Supplies</v>
      </c>
    </row>
    <row r="23" spans="1:12" s="43" customFormat="1" ht="9.65" customHeight="1">
      <c r="A23" s="172" t="s">
        <v>245</v>
      </c>
      <c r="B23" s="179"/>
      <c r="C23" s="180"/>
      <c r="D23" s="175" t="s">
        <v>161</v>
      </c>
      <c r="E23" s="176" t="str">
        <f>_xlfn.XLOOKUP(Table32[[#This Row],[Item]],Table13[Decription],Table13[Unit])</f>
        <v>piece</v>
      </c>
      <c r="F23" s="176">
        <v>6</v>
      </c>
      <c r="G23" s="176">
        <f>_xlfn.XLOOKUP(Table32[[#This Row],[Item]],Table13[Decription],Table13[Unit Cost])</f>
        <v>80.540000000000006</v>
      </c>
      <c r="H23" s="177">
        <f>Table32[[#This Row],[Unit Cost]]*Table32[[#This Row],[Quantity Issued]]</f>
        <v>483.24</v>
      </c>
      <c r="I23" s="178">
        <f>_xlfn.XLOOKUP(Table32[[#This Row],[Item]],Table13[Decription],Table13[February 2025 - Balance Qty])</f>
        <v>64</v>
      </c>
      <c r="J23" s="168" t="str">
        <f>_xlfn.XLOOKUP(Table32[[#This Row],[Item]],Table13[Decription],Table13[Article])</f>
        <v>Office Supplies</v>
      </c>
    </row>
    <row r="24" spans="1:12" s="43" customFormat="1" ht="9.65" customHeight="1">
      <c r="A24" s="172" t="s">
        <v>246</v>
      </c>
      <c r="B24" s="179"/>
      <c r="C24" s="180"/>
      <c r="D24" s="175" t="s">
        <v>51</v>
      </c>
      <c r="E24" s="176" t="str">
        <f>_xlfn.XLOOKUP(Table32[[#This Row],[Item]],Table13[Decription],Table13[Unit])</f>
        <v>ream</v>
      </c>
      <c r="F24" s="176">
        <v>2</v>
      </c>
      <c r="G24" s="176">
        <f>_xlfn.XLOOKUP(Table32[[#This Row],[Item]],Table13[Decription],Table13[Unit Cost])</f>
        <v>340.17</v>
      </c>
      <c r="H24" s="177">
        <f>Table32[[#This Row],[Unit Cost]]*Table32[[#This Row],[Quantity Issued]]</f>
        <v>680.34</v>
      </c>
      <c r="I24" s="178">
        <f>_xlfn.XLOOKUP(Table32[[#This Row],[Item]],Table13[Decription],Table13[February 2025 - Balance Qty])</f>
        <v>10</v>
      </c>
      <c r="J24" s="168" t="str">
        <f>_xlfn.XLOOKUP(Table32[[#This Row],[Item]],Table13[Decription],Table13[Article])</f>
        <v>Office Supplies</v>
      </c>
    </row>
    <row r="25" spans="1:12" s="43" customFormat="1" ht="9.65" customHeight="1">
      <c r="A25" s="172" t="s">
        <v>246</v>
      </c>
      <c r="B25" s="179"/>
      <c r="C25" s="180"/>
      <c r="D25" s="175" t="s">
        <v>128</v>
      </c>
      <c r="E25" s="176" t="str">
        <f>_xlfn.XLOOKUP(Table32[[#This Row],[Item]],Table13[Decription],Table13[Unit])</f>
        <v>ream</v>
      </c>
      <c r="F25" s="176">
        <v>3</v>
      </c>
      <c r="G25" s="176">
        <f>_xlfn.XLOOKUP(Table32[[#This Row],[Item]],Table13[Decription],Table13[Unit Cost])</f>
        <v>285</v>
      </c>
      <c r="H25" s="177">
        <f>Table32[[#This Row],[Unit Cost]]*Table32[[#This Row],[Quantity Issued]]</f>
        <v>855</v>
      </c>
      <c r="I25" s="178">
        <f>_xlfn.XLOOKUP(Table32[[#This Row],[Item]],Table13[Decription],Table13[February 2025 - Balance Qty])</f>
        <v>3</v>
      </c>
      <c r="J25" s="168" t="str">
        <f>_xlfn.XLOOKUP(Table32[[#This Row],[Item]],Table13[Decription],Table13[Article])</f>
        <v>Office Supplies</v>
      </c>
    </row>
    <row r="26" spans="1:12" s="43" customFormat="1" ht="9.65" customHeight="1">
      <c r="A26" s="172" t="s">
        <v>246</v>
      </c>
      <c r="B26" s="179"/>
      <c r="C26" s="180"/>
      <c r="D26" s="175" t="s">
        <v>138</v>
      </c>
      <c r="E26" s="176" t="str">
        <f>_xlfn.XLOOKUP(Table32[[#This Row],[Item]],Table13[Decription],Table13[Unit])</f>
        <v>bottle</v>
      </c>
      <c r="F26" s="176">
        <v>1</v>
      </c>
      <c r="G26" s="176">
        <f>_xlfn.XLOOKUP(Table32[[#This Row],[Item]],Table13[Decription],Table13[Unit Cost])</f>
        <v>468.3</v>
      </c>
      <c r="H26" s="177">
        <f>Table32[[#This Row],[Unit Cost]]*Table32[[#This Row],[Quantity Issued]]</f>
        <v>468.3</v>
      </c>
      <c r="I26" s="178">
        <f>_xlfn.XLOOKUP(Table32[[#This Row],[Item]],Table13[Decription],Table13[February 2025 - Balance Qty])</f>
        <v>13</v>
      </c>
      <c r="J26" s="168" t="str">
        <f>_xlfn.XLOOKUP(Table32[[#This Row],[Item]],Table13[Decription],Table13[Article])</f>
        <v>Office Supplies</v>
      </c>
    </row>
    <row r="27" spans="1:12" s="43" customFormat="1" ht="9.65" customHeight="1">
      <c r="A27" s="172" t="s">
        <v>247</v>
      </c>
      <c r="B27" s="179"/>
      <c r="C27" s="180"/>
      <c r="D27" s="175" t="s">
        <v>64</v>
      </c>
      <c r="E27" s="176" t="str">
        <f>_xlfn.XLOOKUP(Table32[[#This Row],[Item]],Table13[Decription],Table13[Unit])</f>
        <v>piece</v>
      </c>
      <c r="F27" s="176">
        <v>25</v>
      </c>
      <c r="G27" s="176">
        <f>_xlfn.XLOOKUP(Table32[[#This Row],[Item]],Table13[Decription],Table13[Unit Cost])</f>
        <v>8.5755407899999998</v>
      </c>
      <c r="H27" s="177">
        <f>Table32[[#This Row],[Unit Cost]]*Table32[[#This Row],[Quantity Issued]]</f>
        <v>214.38851975</v>
      </c>
      <c r="I27" s="178">
        <f>_xlfn.XLOOKUP(Table32[[#This Row],[Item]],Table13[Decription],Table13[February 2025 - Balance Qty])</f>
        <v>395</v>
      </c>
      <c r="J27" s="168" t="str">
        <f>_xlfn.XLOOKUP(Table32[[#This Row],[Item]],Table13[Decription],Table13[Article])</f>
        <v>Office Supplies</v>
      </c>
    </row>
    <row r="28" spans="1:12" s="43" customFormat="1" ht="9.65" customHeight="1">
      <c r="A28" s="172" t="s">
        <v>248</v>
      </c>
      <c r="B28" s="179"/>
      <c r="C28" s="180"/>
      <c r="D28" s="175" t="s">
        <v>49</v>
      </c>
      <c r="E28" s="176" t="str">
        <f>_xlfn.XLOOKUP(Table32[[#This Row],[Item]],Table13[Decription],Table13[Unit])</f>
        <v>box</v>
      </c>
      <c r="F28" s="176">
        <v>2</v>
      </c>
      <c r="G28" s="176">
        <f>_xlfn.XLOOKUP(Table32[[#This Row],[Item]],Table13[Decription],Table13[Unit Cost])</f>
        <v>47.93</v>
      </c>
      <c r="H28" s="177">
        <f>Table32[[#This Row],[Unit Cost]]*Table32[[#This Row],[Quantity Issued]]</f>
        <v>95.86</v>
      </c>
      <c r="I28" s="178">
        <f>_xlfn.XLOOKUP(Table32[[#This Row],[Item]],Table13[Decription],Table13[February 2025 - Balance Qty])</f>
        <v>8</v>
      </c>
      <c r="J28" s="168" t="str">
        <f>_xlfn.XLOOKUP(Table32[[#This Row],[Item]],Table13[Decription],Table13[Article])</f>
        <v>Office Supplies</v>
      </c>
    </row>
    <row r="29" spans="1:12" s="43" customFormat="1" ht="9.65" customHeight="1">
      <c r="A29" s="172" t="s">
        <v>250</v>
      </c>
      <c r="B29" s="179"/>
      <c r="C29" s="180"/>
      <c r="D29" s="175" t="s">
        <v>48</v>
      </c>
      <c r="E29" s="176" t="str">
        <f>_xlfn.XLOOKUP(Table32[[#This Row],[Item]],Table13[Decription],Table13[Unit])</f>
        <v>piece</v>
      </c>
      <c r="F29" s="176">
        <v>11</v>
      </c>
      <c r="G29" s="176">
        <f>_xlfn.XLOOKUP(Table32[[#This Row],[Item]],Table13[Decription],Table13[Unit Cost])</f>
        <v>3.875</v>
      </c>
      <c r="H29" s="177">
        <f>Table32[[#This Row],[Unit Cost]]*Table32[[#This Row],[Quantity Issued]]</f>
        <v>42.625</v>
      </c>
      <c r="I29" s="178">
        <f>_xlfn.XLOOKUP(Table32[[#This Row],[Item]],Table13[Decription],Table13[February 2025 - Balance Qty])</f>
        <v>105</v>
      </c>
      <c r="J29" s="168" t="str">
        <f>_xlfn.XLOOKUP(Table32[[#This Row],[Item]],Table13[Decription],Table13[Article])</f>
        <v>Office Supplies</v>
      </c>
    </row>
    <row r="30" spans="1:12" s="43" customFormat="1" ht="9.65" customHeight="1">
      <c r="A30" s="172" t="s">
        <v>250</v>
      </c>
      <c r="B30" s="194"/>
      <c r="C30" s="195"/>
      <c r="D30" s="175" t="s">
        <v>89</v>
      </c>
      <c r="E30" s="176" t="str">
        <f>_xlfn.XLOOKUP(Table32[[#This Row],[Item]],Table13[Decription],Table13[Unit])</f>
        <v>piece</v>
      </c>
      <c r="F30" s="176">
        <v>3</v>
      </c>
      <c r="G30" s="176">
        <f>_xlfn.XLOOKUP(Table32[[#This Row],[Item]],Table13[Decription],Table13[Unit Cost])</f>
        <v>38.89</v>
      </c>
      <c r="H30" s="177">
        <f>Table32[[#This Row],[Unit Cost]]*Table32[[#This Row],[Quantity Issued]]</f>
        <v>116.67</v>
      </c>
      <c r="I30" s="178">
        <f>_xlfn.XLOOKUP(Table32[[#This Row],[Item]],Table13[Decription],Table13[February 2025 - Balance Qty])</f>
        <v>30</v>
      </c>
      <c r="J30" s="168" t="str">
        <f>_xlfn.XLOOKUP(Table32[[#This Row],[Item]],Table13[Decription],Table13[Article])</f>
        <v>Office Supplies</v>
      </c>
    </row>
    <row r="31" spans="1:12" s="43" customFormat="1" ht="9.65" customHeight="1">
      <c r="A31" s="172" t="s">
        <v>251</v>
      </c>
      <c r="B31" s="173" t="s">
        <v>251</v>
      </c>
      <c r="C31" s="173" t="s">
        <v>251</v>
      </c>
      <c r="D31" s="181" t="s">
        <v>116</v>
      </c>
      <c r="E31" s="182" t="str">
        <f>_xlfn.XLOOKUP(Table32[[#This Row],[Item]],Table13[Decription],Table13[Unit])</f>
        <v>box</v>
      </c>
      <c r="F31" s="182">
        <v>3</v>
      </c>
      <c r="G31" s="176">
        <f>_xlfn.XLOOKUP(Table32[[#This Row],[Item]],Table13[Decription],Table13[Unit Cost])</f>
        <v>88.46</v>
      </c>
      <c r="H31" s="177">
        <f>Table32[[#This Row],[Unit Cost]]*Table32[[#This Row],[Quantity Issued]]</f>
        <v>265.38</v>
      </c>
      <c r="I31" s="178">
        <f>_xlfn.XLOOKUP(Table32[[#This Row],[Item]],Table13[Decription],Table13[February 2025 - Balance Qty])</f>
        <v>2</v>
      </c>
      <c r="J31" s="168" t="str">
        <f>_xlfn.XLOOKUP(Table32[[#This Row],[Item]],Table13[Decription],Table13[Article])</f>
        <v>Office Supplies</v>
      </c>
    </row>
    <row r="32" spans="1:12" s="43" customFormat="1" ht="9.65" customHeight="1">
      <c r="A32" s="172" t="s">
        <v>253</v>
      </c>
      <c r="B32" s="179"/>
      <c r="C32" s="180"/>
      <c r="D32" s="175" t="s">
        <v>152</v>
      </c>
      <c r="E32" s="176" t="str">
        <f>_xlfn.XLOOKUP(Table32[[#This Row],[Item]],Table13[Decription],Table13[Unit])</f>
        <v>roll</v>
      </c>
      <c r="F32" s="176">
        <v>5</v>
      </c>
      <c r="G32" s="176">
        <f>_xlfn.XLOOKUP(Table32[[#This Row],[Item]],Table13[Decription],Table13[Unit Cost])</f>
        <v>28.72</v>
      </c>
      <c r="H32" s="177">
        <f>Table32[[#This Row],[Unit Cost]]*Table32[[#This Row],[Quantity Issued]]</f>
        <v>143.6</v>
      </c>
      <c r="I32" s="178">
        <f>_xlfn.XLOOKUP(Table32[[#This Row],[Item]],Table13[Decription],Table13[February 2025 - Balance Qty])</f>
        <v>19</v>
      </c>
      <c r="J32" s="168" t="str">
        <f>_xlfn.XLOOKUP(Table32[[#This Row],[Item]],Table13[Decription],Table13[Article])</f>
        <v>Office Supplies</v>
      </c>
    </row>
    <row r="33" spans="1:10" s="43" customFormat="1" ht="9.65" customHeight="1">
      <c r="A33" s="172" t="s">
        <v>253</v>
      </c>
      <c r="B33" s="179"/>
      <c r="C33" s="180"/>
      <c r="D33" s="183" t="s">
        <v>159</v>
      </c>
      <c r="E33" s="176" t="str">
        <f>_xlfn.XLOOKUP(Table32[[#This Row],[Item]],Table13[Decription],Table13[Unit])</f>
        <v xml:space="preserve">piece </v>
      </c>
      <c r="F33" s="184">
        <v>3</v>
      </c>
      <c r="G33" s="176">
        <f>_xlfn.XLOOKUP(Table32[[#This Row],[Item]],Table13[Decription],Table13[Unit Cost])</f>
        <v>44</v>
      </c>
      <c r="H33" s="177">
        <f>Table32[[#This Row],[Unit Cost]]*Table32[[#This Row],[Quantity Issued]]</f>
        <v>132</v>
      </c>
      <c r="I33" s="178">
        <f>_xlfn.XLOOKUP(Table32[[#This Row],[Item]],Table13[Decription],Table13[February 2025 - Balance Qty])</f>
        <v>12</v>
      </c>
      <c r="J33" s="168" t="str">
        <f>_xlfn.XLOOKUP(Table32[[#This Row],[Item]],Table13[Decription],Table13[Article])</f>
        <v>Office Supplies</v>
      </c>
    </row>
    <row r="34" spans="1:10" s="43" customFormat="1" ht="9.65" customHeight="1">
      <c r="A34" s="172" t="s">
        <v>253</v>
      </c>
      <c r="B34" s="179"/>
      <c r="C34" s="180"/>
      <c r="D34" s="183" t="s">
        <v>60</v>
      </c>
      <c r="E34" s="176" t="str">
        <f>_xlfn.XLOOKUP(Table32[[#This Row],[Item]],Table13[Decription],Table13[Unit])</f>
        <v>bottle</v>
      </c>
      <c r="F34" s="184">
        <v>1</v>
      </c>
      <c r="G34" s="176">
        <f>_xlfn.XLOOKUP(Table32[[#This Row],[Item]],Table13[Decription],Table13[Unit Cost])</f>
        <v>370.2</v>
      </c>
      <c r="H34" s="177">
        <f>Table32[[#This Row],[Unit Cost]]*Table32[[#This Row],[Quantity Issued]]</f>
        <v>370.2</v>
      </c>
      <c r="I34" s="178">
        <f>_xlfn.XLOOKUP(Table32[[#This Row],[Item]],Table13[Decription],Table13[February 2025 - Balance Qty])</f>
        <v>27</v>
      </c>
      <c r="J34" s="168" t="str">
        <f>_xlfn.XLOOKUP(Table32[[#This Row],[Item]],Table13[Decription],Table13[Article])</f>
        <v>Office Supplies</v>
      </c>
    </row>
    <row r="35" spans="1:10" s="43" customFormat="1" ht="9.65" customHeight="1">
      <c r="A35" s="172" t="s">
        <v>253</v>
      </c>
      <c r="B35" s="179"/>
      <c r="C35" s="180"/>
      <c r="D35" s="183" t="s">
        <v>61</v>
      </c>
      <c r="E35" s="176" t="str">
        <f>_xlfn.XLOOKUP(Table32[[#This Row],[Item]],Table13[Decription],Table13[Unit])</f>
        <v>bottle</v>
      </c>
      <c r="F35" s="184">
        <v>1</v>
      </c>
      <c r="G35" s="176">
        <f>_xlfn.XLOOKUP(Table32[[#This Row],[Item]],Table13[Decription],Table13[Unit Cost])</f>
        <v>370</v>
      </c>
      <c r="H35" s="177">
        <f>Table32[[#This Row],[Unit Cost]]*Table32[[#This Row],[Quantity Issued]]</f>
        <v>370</v>
      </c>
      <c r="I35" s="178">
        <f>_xlfn.XLOOKUP(Table32[[#This Row],[Item]],Table13[Decription],Table13[February 2025 - Balance Qty])</f>
        <v>18</v>
      </c>
      <c r="J35" s="168" t="str">
        <f>_xlfn.XLOOKUP(Table32[[#This Row],[Item]],Table13[Decription],Table13[Article])</f>
        <v>Office Supplies</v>
      </c>
    </row>
    <row r="36" spans="1:10" s="43" customFormat="1" ht="9.65" customHeight="1">
      <c r="A36" s="172" t="s">
        <v>253</v>
      </c>
      <c r="B36" s="179"/>
      <c r="C36" s="180"/>
      <c r="D36" s="183" t="s">
        <v>62</v>
      </c>
      <c r="E36" s="176" t="str">
        <f>_xlfn.XLOOKUP(Table32[[#This Row],[Item]],Table13[Decription],Table13[Unit])</f>
        <v>bottle</v>
      </c>
      <c r="F36" s="184">
        <v>1</v>
      </c>
      <c r="G36" s="176">
        <f>_xlfn.XLOOKUP(Table32[[#This Row],[Item]],Table13[Decription],Table13[Unit Cost])</f>
        <v>370</v>
      </c>
      <c r="H36" s="177">
        <f>Table32[[#This Row],[Unit Cost]]*Table32[[#This Row],[Quantity Issued]]</f>
        <v>370</v>
      </c>
      <c r="I36" s="178">
        <f>_xlfn.XLOOKUP(Table32[[#This Row],[Item]],Table13[Decription],Table13[February 2025 - Balance Qty])</f>
        <v>8</v>
      </c>
      <c r="J36" s="168" t="str">
        <f>_xlfn.XLOOKUP(Table32[[#This Row],[Item]],Table13[Decription],Table13[Article])</f>
        <v>Office Supplies</v>
      </c>
    </row>
    <row r="37" spans="1:10" s="43" customFormat="1" ht="9.65" customHeight="1">
      <c r="A37" s="172" t="s">
        <v>253</v>
      </c>
      <c r="B37" s="179"/>
      <c r="C37" s="180"/>
      <c r="D37" s="183" t="s">
        <v>63</v>
      </c>
      <c r="E37" s="176" t="str">
        <f>_xlfn.XLOOKUP(Table32[[#This Row],[Item]],Table13[Decription],Table13[Unit])</f>
        <v>bottle</v>
      </c>
      <c r="F37" s="184">
        <v>1</v>
      </c>
      <c r="G37" s="176">
        <f>_xlfn.XLOOKUP(Table32[[#This Row],[Item]],Table13[Decription],Table13[Unit Cost])</f>
        <v>371.36</v>
      </c>
      <c r="H37" s="177">
        <f>Table32[[#This Row],[Unit Cost]]*Table32[[#This Row],[Quantity Issued]]</f>
        <v>371.36</v>
      </c>
      <c r="I37" s="178">
        <f>_xlfn.XLOOKUP(Table32[[#This Row],[Item]],Table13[Decription],Table13[February 2025 - Balance Qty])</f>
        <v>9</v>
      </c>
      <c r="J37" s="168" t="str">
        <f>_xlfn.XLOOKUP(Table32[[#This Row],[Item]],Table13[Decription],Table13[Article])</f>
        <v>Office Supplies</v>
      </c>
    </row>
    <row r="38" spans="1:10" s="43" customFormat="1" ht="9.65" customHeight="1">
      <c r="A38" s="172" t="s">
        <v>253</v>
      </c>
      <c r="B38" s="179"/>
      <c r="C38" s="180"/>
      <c r="D38" s="175" t="s">
        <v>161</v>
      </c>
      <c r="E38" s="176" t="str">
        <f>_xlfn.XLOOKUP(Table32[[#This Row],[Item]],Table13[Decription],Table13[Unit])</f>
        <v>piece</v>
      </c>
      <c r="F38" s="176">
        <v>2</v>
      </c>
      <c r="G38" s="176">
        <f>_xlfn.XLOOKUP(Table32[[#This Row],[Item]],Table13[Decription],Table13[Unit Cost])</f>
        <v>80.540000000000006</v>
      </c>
      <c r="H38" s="177">
        <f>Table32[[#This Row],[Unit Cost]]*Table32[[#This Row],[Quantity Issued]]</f>
        <v>161.08000000000001</v>
      </c>
      <c r="I38" s="178">
        <f>_xlfn.XLOOKUP(Table32[[#This Row],[Item]],Table13[Decription],Table13[February 2025 - Balance Qty])</f>
        <v>64</v>
      </c>
      <c r="J38" s="168" t="str">
        <f>_xlfn.XLOOKUP(Table32[[#This Row],[Item]],Table13[Decription],Table13[Article])</f>
        <v>Office Supplies</v>
      </c>
    </row>
    <row r="39" spans="1:10" s="43" customFormat="1" ht="9.65" customHeight="1">
      <c r="A39" s="172" t="s">
        <v>255</v>
      </c>
      <c r="B39" s="179"/>
      <c r="C39" s="180"/>
      <c r="D39" s="175" t="s">
        <v>48</v>
      </c>
      <c r="E39" s="176" t="str">
        <f>_xlfn.XLOOKUP(Table32[[#This Row],[Item]],Table13[Decription],Table13[Unit])</f>
        <v>piece</v>
      </c>
      <c r="F39" s="176">
        <v>25</v>
      </c>
      <c r="G39" s="176">
        <f>_xlfn.XLOOKUP(Table32[[#This Row],[Item]],Table13[Decription],Table13[Unit Cost])</f>
        <v>3.875</v>
      </c>
      <c r="H39" s="177">
        <f>Table32[[#This Row],[Unit Cost]]*Table32[[#This Row],[Quantity Issued]]</f>
        <v>96.875</v>
      </c>
      <c r="I39" s="178">
        <f>_xlfn.XLOOKUP(Table32[[#This Row],[Item]],Table13[Decription],Table13[February 2025 - Balance Qty])</f>
        <v>105</v>
      </c>
      <c r="J39" s="168" t="str">
        <f>_xlfn.XLOOKUP(Table32[[#This Row],[Item]],Table13[Decription],Table13[Article])</f>
        <v>Office Supplies</v>
      </c>
    </row>
    <row r="40" spans="1:10" s="43" customFormat="1" ht="9.65" customHeight="1">
      <c r="A40" s="172" t="s">
        <v>255</v>
      </c>
      <c r="B40" s="179"/>
      <c r="C40" s="180"/>
      <c r="D40" s="175" t="s">
        <v>64</v>
      </c>
      <c r="E40" s="176" t="str">
        <f>_xlfn.XLOOKUP(Table32[[#This Row],[Item]],Table13[Decription],Table13[Unit])</f>
        <v>piece</v>
      </c>
      <c r="F40" s="176">
        <v>25</v>
      </c>
      <c r="G40" s="176">
        <f>_xlfn.XLOOKUP(Table32[[#This Row],[Item]],Table13[Decription],Table13[Unit Cost])</f>
        <v>8.5755407899999998</v>
      </c>
      <c r="H40" s="177">
        <f>Table32[[#This Row],[Unit Cost]]*Table32[[#This Row],[Quantity Issued]]</f>
        <v>214.38851975</v>
      </c>
      <c r="I40" s="178">
        <f>_xlfn.XLOOKUP(Table32[[#This Row],[Item]],Table13[Decription],Table13[February 2025 - Balance Qty])</f>
        <v>395</v>
      </c>
      <c r="J40" s="168" t="str">
        <f>_xlfn.XLOOKUP(Table32[[#This Row],[Item]],Table13[Decription],Table13[Article])</f>
        <v>Office Supplies</v>
      </c>
    </row>
    <row r="41" spans="1:10" s="43" customFormat="1" ht="9.65" customHeight="1">
      <c r="A41" s="172" t="s">
        <v>255</v>
      </c>
      <c r="B41" s="179"/>
      <c r="C41" s="180"/>
      <c r="D41" s="175" t="s">
        <v>51</v>
      </c>
      <c r="E41" s="176" t="str">
        <f>_xlfn.XLOOKUP(Table32[[#This Row],[Item]],Table13[Decription],Table13[Unit])</f>
        <v>ream</v>
      </c>
      <c r="F41" s="176">
        <v>5</v>
      </c>
      <c r="G41" s="176">
        <f>_xlfn.XLOOKUP(Table32[[#This Row],[Item]],Table13[Decription],Table13[Unit Cost])</f>
        <v>340.17</v>
      </c>
      <c r="H41" s="177">
        <f>Table32[[#This Row],[Unit Cost]]*Table32[[#This Row],[Quantity Issued]]</f>
        <v>1700.8500000000001</v>
      </c>
      <c r="I41" s="178">
        <f>_xlfn.XLOOKUP(Table32[[#This Row],[Item]],Table13[Decription],Table13[February 2025 - Balance Qty])</f>
        <v>10</v>
      </c>
      <c r="J41" s="168" t="str">
        <f>_xlfn.XLOOKUP(Table32[[#This Row],[Item]],Table13[Decription],Table13[Article])</f>
        <v>Office Supplies</v>
      </c>
    </row>
    <row r="42" spans="1:10" s="43" customFormat="1" ht="9.65" customHeight="1">
      <c r="A42" s="172" t="s">
        <v>256</v>
      </c>
      <c r="B42" s="179"/>
      <c r="C42" s="180"/>
      <c r="D42" s="175" t="s">
        <v>54</v>
      </c>
      <c r="E42" s="176" t="str">
        <f>_xlfn.XLOOKUP(Table32[[#This Row],[Item]],Table13[Decription],Table13[Unit])</f>
        <v>ream</v>
      </c>
      <c r="F42" s="176">
        <v>1</v>
      </c>
      <c r="G42" s="176">
        <f>_xlfn.XLOOKUP(Table32[[#This Row],[Item]],Table13[Decription],Table13[Unit Cost])</f>
        <v>325</v>
      </c>
      <c r="H42" s="177">
        <f>Table32[[#This Row],[Unit Cost]]*Table32[[#This Row],[Quantity Issued]]</f>
        <v>325</v>
      </c>
      <c r="I42" s="178">
        <f>_xlfn.XLOOKUP(Table32[[#This Row],[Item]],Table13[Decription],Table13[February 2025 - Balance Qty])</f>
        <v>1</v>
      </c>
      <c r="J42" s="168" t="str">
        <f>_xlfn.XLOOKUP(Table32[[#This Row],[Item]],Table13[Decription],Table13[Article])</f>
        <v>Office Supplies</v>
      </c>
    </row>
    <row r="43" spans="1:10" s="43" customFormat="1" ht="9.65" customHeight="1">
      <c r="A43" s="172" t="s">
        <v>256</v>
      </c>
      <c r="B43" s="179"/>
      <c r="C43" s="180"/>
      <c r="D43" s="175" t="s">
        <v>51</v>
      </c>
      <c r="E43" s="176" t="str">
        <f>_xlfn.XLOOKUP(Table32[[#This Row],[Item]],Table13[Decription],Table13[Unit])</f>
        <v>ream</v>
      </c>
      <c r="F43" s="176">
        <v>2</v>
      </c>
      <c r="G43" s="176">
        <f>_xlfn.XLOOKUP(Table32[[#This Row],[Item]],Table13[Decription],Table13[Unit Cost])</f>
        <v>340.17</v>
      </c>
      <c r="H43" s="177">
        <f>Table32[[#This Row],[Unit Cost]]*Table32[[#This Row],[Quantity Issued]]</f>
        <v>680.34</v>
      </c>
      <c r="I43" s="178">
        <f>_xlfn.XLOOKUP(Table32[[#This Row],[Item]],Table13[Decription],Table13[February 2025 - Balance Qty])</f>
        <v>10</v>
      </c>
      <c r="J43" s="168" t="str">
        <f>_xlfn.XLOOKUP(Table32[[#This Row],[Item]],Table13[Decription],Table13[Article])</f>
        <v>Office Supplies</v>
      </c>
    </row>
    <row r="44" spans="1:10" s="43" customFormat="1" ht="9.65" customHeight="1">
      <c r="A44" s="172" t="s">
        <v>258</v>
      </c>
      <c r="B44" s="179"/>
      <c r="C44" s="180"/>
      <c r="D44" s="183" t="s">
        <v>134</v>
      </c>
      <c r="E44" s="176" t="str">
        <f>_xlfn.XLOOKUP(Table32[[#This Row],[Item]],Table13[Decription],Table13[Unit])</f>
        <v>bottle</v>
      </c>
      <c r="F44" s="184">
        <v>1</v>
      </c>
      <c r="G44" s="176">
        <f>_xlfn.XLOOKUP(Table32[[#This Row],[Item]],Table13[Decription],Table13[Unit Cost])</f>
        <v>462.43</v>
      </c>
      <c r="H44" s="177">
        <f>Table32[[#This Row],[Unit Cost]]*Table32[[#This Row],[Quantity Issued]]</f>
        <v>462.43</v>
      </c>
      <c r="I44" s="178">
        <f>_xlfn.XLOOKUP(Table32[[#This Row],[Item]],Table13[Decription],Table13[February 2025 - Balance Qty])</f>
        <v>9</v>
      </c>
      <c r="J44" s="168" t="str">
        <f>_xlfn.XLOOKUP(Table32[[#This Row],[Item]],Table13[Decription],Table13[Article])</f>
        <v>Office Supplies</v>
      </c>
    </row>
    <row r="45" spans="1:10" s="43" customFormat="1" ht="9.65" customHeight="1">
      <c r="A45" s="172" t="s">
        <v>258</v>
      </c>
      <c r="B45" s="179"/>
      <c r="C45" s="180"/>
      <c r="D45" s="183" t="s">
        <v>135</v>
      </c>
      <c r="E45" s="176" t="str">
        <f>_xlfn.XLOOKUP(Table32[[#This Row],[Item]],Table13[Decription],Table13[Unit])</f>
        <v>bottle</v>
      </c>
      <c r="F45" s="184">
        <v>1</v>
      </c>
      <c r="G45" s="176">
        <f>_xlfn.XLOOKUP(Table32[[#This Row],[Item]],Table13[Decription],Table13[Unit Cost])</f>
        <v>458.46</v>
      </c>
      <c r="H45" s="177">
        <f>Table32[[#This Row],[Unit Cost]]*Table32[[#This Row],[Quantity Issued]]</f>
        <v>458.46</v>
      </c>
      <c r="I45" s="178">
        <f>_xlfn.XLOOKUP(Table32[[#This Row],[Item]],Table13[Decription],Table13[February 2025 - Balance Qty])</f>
        <v>10</v>
      </c>
      <c r="J45" s="168" t="str">
        <f>_xlfn.XLOOKUP(Table32[[#This Row],[Item]],Table13[Decription],Table13[Article])</f>
        <v>Office Supplies</v>
      </c>
    </row>
    <row r="46" spans="1:10" s="43" customFormat="1" ht="9.65" customHeight="1">
      <c r="A46" s="172" t="s">
        <v>258</v>
      </c>
      <c r="B46" s="179"/>
      <c r="C46" s="180"/>
      <c r="D46" s="183" t="s">
        <v>136</v>
      </c>
      <c r="E46" s="176" t="str">
        <f>_xlfn.XLOOKUP(Table32[[#This Row],[Item]],Table13[Decription],Table13[Unit])</f>
        <v>bottle</v>
      </c>
      <c r="F46" s="184">
        <v>1</v>
      </c>
      <c r="G46" s="176">
        <f>_xlfn.XLOOKUP(Table32[[#This Row],[Item]],Table13[Decription],Table13[Unit Cost])</f>
        <v>458.46</v>
      </c>
      <c r="H46" s="177">
        <f>Table32[[#This Row],[Unit Cost]]*Table32[[#This Row],[Quantity Issued]]</f>
        <v>458.46</v>
      </c>
      <c r="I46" s="178">
        <f>_xlfn.XLOOKUP(Table32[[#This Row],[Item]],Table13[Decription],Table13[February 2025 - Balance Qty])</f>
        <v>10</v>
      </c>
      <c r="J46" s="168" t="str">
        <f>_xlfn.XLOOKUP(Table32[[#This Row],[Item]],Table13[Decription],Table13[Article])</f>
        <v>Office Supplies</v>
      </c>
    </row>
    <row r="47" spans="1:10" s="43" customFormat="1" ht="9.65" customHeight="1">
      <c r="A47" s="172" t="s">
        <v>258</v>
      </c>
      <c r="B47" s="179"/>
      <c r="C47" s="180"/>
      <c r="D47" s="183" t="s">
        <v>138</v>
      </c>
      <c r="E47" s="176" t="str">
        <f>_xlfn.XLOOKUP(Table32[[#This Row],[Item]],Table13[Decription],Table13[Unit])</f>
        <v>bottle</v>
      </c>
      <c r="F47" s="184">
        <v>1</v>
      </c>
      <c r="G47" s="176">
        <f>_xlfn.XLOOKUP(Table32[[#This Row],[Item]],Table13[Decription],Table13[Unit Cost])</f>
        <v>468.3</v>
      </c>
      <c r="H47" s="177">
        <f>Table32[[#This Row],[Unit Cost]]*Table32[[#This Row],[Quantity Issued]]</f>
        <v>468.3</v>
      </c>
      <c r="I47" s="178">
        <f>_xlfn.XLOOKUP(Table32[[#This Row],[Item]],Table13[Decription],Table13[February 2025 - Balance Qty])</f>
        <v>13</v>
      </c>
      <c r="J47" s="168" t="str">
        <f>_xlfn.XLOOKUP(Table32[[#This Row],[Item]],Table13[Decription],Table13[Article])</f>
        <v>Office Supplies</v>
      </c>
    </row>
    <row r="48" spans="1:10" s="43" customFormat="1" ht="9.65" customHeight="1">
      <c r="A48" s="172" t="s">
        <v>258</v>
      </c>
      <c r="B48" s="179"/>
      <c r="C48" s="180"/>
      <c r="D48" s="175" t="s">
        <v>161</v>
      </c>
      <c r="E48" s="176" t="str">
        <f>_xlfn.XLOOKUP(Table32[[#This Row],[Item]],Table13[Decription],Table13[Unit])</f>
        <v>piece</v>
      </c>
      <c r="F48" s="176">
        <v>4</v>
      </c>
      <c r="G48" s="176">
        <f>_xlfn.XLOOKUP(Table32[[#This Row],[Item]],Table13[Decription],Table13[Unit Cost])</f>
        <v>80.540000000000006</v>
      </c>
      <c r="H48" s="177">
        <f>Table32[[#This Row],[Unit Cost]]*Table32[[#This Row],[Quantity Issued]]</f>
        <v>322.16000000000003</v>
      </c>
      <c r="I48" s="178">
        <f>_xlfn.XLOOKUP(Table32[[#This Row],[Item]],Table13[Decription],Table13[February 2025 - Balance Qty])</f>
        <v>64</v>
      </c>
      <c r="J48" s="168" t="str">
        <f>_xlfn.XLOOKUP(Table32[[#This Row],[Item]],Table13[Decription],Table13[Article])</f>
        <v>Office Supplies</v>
      </c>
    </row>
    <row r="49" spans="1:10" s="43" customFormat="1" ht="9.65" customHeight="1">
      <c r="A49" s="172" t="s">
        <v>259</v>
      </c>
      <c r="B49" s="179"/>
      <c r="C49" s="180"/>
      <c r="D49" s="183" t="s">
        <v>54</v>
      </c>
      <c r="E49" s="176" t="str">
        <f>_xlfn.XLOOKUP(Table32[[#This Row],[Item]],Table13[Decription],Table13[Unit])</f>
        <v>ream</v>
      </c>
      <c r="F49" s="184">
        <v>1</v>
      </c>
      <c r="G49" s="176">
        <f>_xlfn.XLOOKUP(Table32[[#This Row],[Item]],Table13[Decription],Table13[Unit Cost])</f>
        <v>325</v>
      </c>
      <c r="H49" s="177">
        <f>Table32[[#This Row],[Unit Cost]]*Table32[[#This Row],[Quantity Issued]]</f>
        <v>325</v>
      </c>
      <c r="I49" s="178">
        <f>_xlfn.XLOOKUP(Table32[[#This Row],[Item]],Table13[Decription],Table13[February 2025 - Balance Qty])</f>
        <v>1</v>
      </c>
      <c r="J49" s="168" t="str">
        <f>_xlfn.XLOOKUP(Table32[[#This Row],[Item]],Table13[Decription],Table13[Article])</f>
        <v>Office Supplies</v>
      </c>
    </row>
    <row r="50" spans="1:10" s="43" customFormat="1" ht="10.5">
      <c r="A50" s="172" t="s">
        <v>261</v>
      </c>
      <c r="B50" s="194"/>
      <c r="C50" s="195"/>
      <c r="D50" s="183" t="s">
        <v>128</v>
      </c>
      <c r="E50" s="176" t="str">
        <f>_xlfn.XLOOKUP(Table32[[#This Row],[Item]],Table13[Decription],Table13[Unit])</f>
        <v>ream</v>
      </c>
      <c r="F50" s="184">
        <v>2</v>
      </c>
      <c r="G50" s="176">
        <f>_xlfn.XLOOKUP(Table32[[#This Row],[Item]],Table13[Decription],Table13[Unit Cost])</f>
        <v>285</v>
      </c>
      <c r="H50" s="177">
        <f>Table32[[#This Row],[Unit Cost]]*Table32[[#This Row],[Quantity Issued]]</f>
        <v>570</v>
      </c>
      <c r="I50" s="178">
        <f>_xlfn.XLOOKUP(Table32[[#This Row],[Item]],Table13[Decription],Table13[February 2025 - Balance Qty])</f>
        <v>3</v>
      </c>
      <c r="J50" s="168" t="str">
        <f>_xlfn.XLOOKUP(Table32[[#This Row],[Item]],Table13[Decription],Table13[Article])</f>
        <v>Office Supplies</v>
      </c>
    </row>
    <row r="51" spans="1:10" s="43" customFormat="1" ht="10.5">
      <c r="A51" s="172" t="s">
        <v>261</v>
      </c>
      <c r="B51" s="179"/>
      <c r="C51" s="180"/>
      <c r="D51" s="175" t="s">
        <v>51</v>
      </c>
      <c r="E51" s="176" t="str">
        <f>_xlfn.XLOOKUP(Table32[[#This Row],[Item]],Table13[Decription],Table13[Unit])</f>
        <v>ream</v>
      </c>
      <c r="F51" s="176">
        <v>1</v>
      </c>
      <c r="G51" s="176">
        <f>_xlfn.XLOOKUP(Table32[[#This Row],[Item]],Table13[Decription],Table13[Unit Cost])</f>
        <v>340.17</v>
      </c>
      <c r="H51" s="177">
        <f>Table32[[#This Row],[Unit Cost]]*Table32[[#This Row],[Quantity Issued]]</f>
        <v>340.17</v>
      </c>
      <c r="I51" s="178">
        <f>_xlfn.XLOOKUP(Table32[[#This Row],[Item]],Table13[Decription],Table13[February 2025 - Balance Qty])</f>
        <v>10</v>
      </c>
      <c r="J51" s="168" t="str">
        <f>_xlfn.XLOOKUP(Table32[[#This Row],[Item]],Table13[Decription],Table13[Article])</f>
        <v>Office Supplies</v>
      </c>
    </row>
    <row r="52" spans="1:10" s="43" customFormat="1" ht="10.5">
      <c r="A52" s="172" t="s">
        <v>261</v>
      </c>
      <c r="B52" s="179"/>
      <c r="C52" s="180"/>
      <c r="D52" s="175" t="s">
        <v>101</v>
      </c>
      <c r="E52" s="176" t="str">
        <f>_xlfn.XLOOKUP(Table32[[#This Row],[Item]],Table13[Decription],Table13[Unit])</f>
        <v>piece</v>
      </c>
      <c r="F52" s="176">
        <v>1</v>
      </c>
      <c r="G52" s="176">
        <f>_xlfn.XLOOKUP(Table32[[#This Row],[Item]],Table13[Decription],Table13[Unit Cost])</f>
        <v>120</v>
      </c>
      <c r="H52" s="177">
        <f>Table32[[#This Row],[Unit Cost]]*Table32[[#This Row],[Quantity Issued]]</f>
        <v>120</v>
      </c>
      <c r="I52" s="178">
        <f>_xlfn.XLOOKUP(Table32[[#This Row],[Item]],Table13[Decription],Table13[February 2025 - Balance Qty])</f>
        <v>0</v>
      </c>
      <c r="J52" s="168" t="str">
        <f>_xlfn.XLOOKUP(Table32[[#This Row],[Item]],Table13[Decription],Table13[Article])</f>
        <v>Office Supplies</v>
      </c>
    </row>
    <row r="53" spans="1:10" s="43" customFormat="1" ht="10.5">
      <c r="A53" s="172" t="s">
        <v>261</v>
      </c>
      <c r="B53" s="179"/>
      <c r="C53" s="180"/>
      <c r="D53" s="175" t="s">
        <v>64</v>
      </c>
      <c r="E53" s="176" t="str">
        <f>_xlfn.XLOOKUP(Table32[[#This Row],[Item]],Table13[Decription],Table13[Unit])</f>
        <v>piece</v>
      </c>
      <c r="F53" s="176">
        <v>50</v>
      </c>
      <c r="G53" s="176">
        <f>_xlfn.XLOOKUP(Table32[[#This Row],[Item]],Table13[Decription],Table13[Unit Cost])</f>
        <v>8.5755407899999998</v>
      </c>
      <c r="H53" s="177">
        <f>Table32[[#This Row],[Unit Cost]]*Table32[[#This Row],[Quantity Issued]]</f>
        <v>428.7770395</v>
      </c>
      <c r="I53" s="178">
        <f>_xlfn.XLOOKUP(Table32[[#This Row],[Item]],Table13[Decription],Table13[February 2025 - Balance Qty])</f>
        <v>395</v>
      </c>
      <c r="J53" s="168" t="str">
        <f>_xlfn.XLOOKUP(Table32[[#This Row],[Item]],Table13[Decription],Table13[Article])</f>
        <v>Office Supplies</v>
      </c>
    </row>
    <row r="54" spans="1:10" s="43" customFormat="1" ht="10.5">
      <c r="A54" s="172" t="s">
        <v>262</v>
      </c>
      <c r="B54" s="179"/>
      <c r="C54" s="180"/>
      <c r="D54" s="175" t="s">
        <v>128</v>
      </c>
      <c r="E54" s="176" t="str">
        <f>_xlfn.XLOOKUP(Table32[[#This Row],[Item]],Table13[Decription],Table13[Unit])</f>
        <v>ream</v>
      </c>
      <c r="F54" s="176">
        <v>1</v>
      </c>
      <c r="G54" s="176">
        <f>_xlfn.XLOOKUP(Table32[[#This Row],[Item]],Table13[Decription],Table13[Unit Cost])</f>
        <v>285</v>
      </c>
      <c r="H54" s="177">
        <f>Table32[[#This Row],[Unit Cost]]*Table32[[#This Row],[Quantity Issued]]</f>
        <v>285</v>
      </c>
      <c r="I54" s="178">
        <f>_xlfn.XLOOKUP(Table32[[#This Row],[Item]],Table13[Decription],Table13[February 2025 - Balance Qty])</f>
        <v>3</v>
      </c>
      <c r="J54" s="168" t="str">
        <f>_xlfn.XLOOKUP(Table32[[#This Row],[Item]],Table13[Decription],Table13[Article])</f>
        <v>Office Supplies</v>
      </c>
    </row>
    <row r="55" spans="1:10" s="36" customFormat="1" ht="10.5">
      <c r="A55" s="172" t="s">
        <v>262</v>
      </c>
      <c r="B55" s="179"/>
      <c r="C55" s="180"/>
      <c r="D55" s="183" t="s">
        <v>122</v>
      </c>
      <c r="E55" s="176" t="str">
        <f>_xlfn.XLOOKUP(Table32[[#This Row],[Item]],Table13[Decription],Table13[Unit])</f>
        <v xml:space="preserve">piece </v>
      </c>
      <c r="F55" s="184">
        <v>1</v>
      </c>
      <c r="G55" s="176">
        <f>_xlfn.XLOOKUP(Table32[[#This Row],[Item]],Table13[Decription],Table13[Unit Cost])</f>
        <v>83.18</v>
      </c>
      <c r="H55" s="177">
        <f>Table32[[#This Row],[Unit Cost]]*Table32[[#This Row],[Quantity Issued]]</f>
        <v>83.18</v>
      </c>
      <c r="I55" s="178">
        <f>_xlfn.XLOOKUP(Table32[[#This Row],[Item]],Table13[Decription],Table13[February 2025 - Balance Qty])</f>
        <v>43</v>
      </c>
      <c r="J55" s="168" t="str">
        <f>_xlfn.XLOOKUP(Table32[[#This Row],[Item]],Table13[Decription],Table13[Article])</f>
        <v>Office Supplies</v>
      </c>
    </row>
    <row r="56" spans="1:10" s="43" customFormat="1" ht="10.5">
      <c r="A56" s="172" t="s">
        <v>264</v>
      </c>
      <c r="B56" s="179"/>
      <c r="C56" s="180"/>
      <c r="D56" s="183" t="s">
        <v>89</v>
      </c>
      <c r="E56" s="176" t="str">
        <f>_xlfn.XLOOKUP(Table32[[#This Row],[Item]],Table13[Decription],Table13[Unit])</f>
        <v>piece</v>
      </c>
      <c r="F56" s="184">
        <v>5</v>
      </c>
      <c r="G56" s="176">
        <f>_xlfn.XLOOKUP(Table32[[#This Row],[Item]],Table13[Decription],Table13[Unit Cost])</f>
        <v>38.89</v>
      </c>
      <c r="H56" s="177">
        <f>Table32[[#This Row],[Unit Cost]]*Table32[[#This Row],[Quantity Issued]]</f>
        <v>194.45</v>
      </c>
      <c r="I56" s="178">
        <f>_xlfn.XLOOKUP(Table32[[#This Row],[Item]],Table13[Decription],Table13[February 2025 - Balance Qty])</f>
        <v>30</v>
      </c>
      <c r="J56" s="168" t="str">
        <f>_xlfn.XLOOKUP(Table32[[#This Row],[Item]],Table13[Decription],Table13[Article])</f>
        <v>Office Supplies</v>
      </c>
    </row>
    <row r="57" spans="1:10" s="43" customFormat="1" ht="10.5">
      <c r="A57" s="172" t="s">
        <v>266</v>
      </c>
      <c r="B57" s="179"/>
      <c r="C57" s="180"/>
      <c r="D57" s="175" t="s">
        <v>161</v>
      </c>
      <c r="E57" s="176" t="str">
        <f>_xlfn.XLOOKUP(Table32[[#This Row],[Item]],Table13[Decription],Table13[Unit])</f>
        <v>piece</v>
      </c>
      <c r="F57" s="176">
        <v>4</v>
      </c>
      <c r="G57" s="176">
        <f>_xlfn.XLOOKUP(Table32[[#This Row],[Item]],Table13[Decription],Table13[Unit Cost])</f>
        <v>80.540000000000006</v>
      </c>
      <c r="H57" s="177">
        <f>Table32[[#This Row],[Unit Cost]]*Table32[[#This Row],[Quantity Issued]]</f>
        <v>322.16000000000003</v>
      </c>
      <c r="I57" s="185">
        <f>_xlfn.XLOOKUP(Table32[[#This Row],[Item]],Table13[Decription],Table13[February 2025 - Balance Qty])</f>
        <v>64</v>
      </c>
      <c r="J57" s="168" t="str">
        <f>_xlfn.XLOOKUP(Table32[[#This Row],[Item]],Table13[Decription],Table13[Article])</f>
        <v>Office Supplies</v>
      </c>
    </row>
    <row r="58" spans="1:10" s="43" customFormat="1" ht="10.5">
      <c r="A58" s="172" t="s">
        <v>266</v>
      </c>
      <c r="B58" s="179"/>
      <c r="C58" s="180"/>
      <c r="D58" s="175" t="s">
        <v>49</v>
      </c>
      <c r="E58" s="176" t="str">
        <f>_xlfn.XLOOKUP(Table32[[#This Row],[Item]],Table13[Decription],Table13[Unit])</f>
        <v>box</v>
      </c>
      <c r="F58" s="176">
        <v>2</v>
      </c>
      <c r="G58" s="176">
        <f>_xlfn.XLOOKUP(Table32[[#This Row],[Item]],Table13[Decription],Table13[Unit Cost])</f>
        <v>47.93</v>
      </c>
      <c r="H58" s="177">
        <f>Table32[[#This Row],[Unit Cost]]*Table32[[#This Row],[Quantity Issued]]</f>
        <v>95.86</v>
      </c>
      <c r="I58" s="185">
        <f>_xlfn.XLOOKUP(Table32[[#This Row],[Item]],Table13[Decription],Table13[February 2025 - Balance Qty])</f>
        <v>8</v>
      </c>
      <c r="J58" s="168" t="str">
        <f>_xlfn.XLOOKUP(Table32[[#This Row],[Item]],Table13[Decription],Table13[Article])</f>
        <v>Office Supplies</v>
      </c>
    </row>
    <row r="59" spans="1:10" s="43" customFormat="1" ht="10.5">
      <c r="A59" s="172" t="s">
        <v>266</v>
      </c>
      <c r="B59" s="179"/>
      <c r="C59" s="180"/>
      <c r="D59" s="175" t="s">
        <v>102</v>
      </c>
      <c r="E59" s="176" t="str">
        <f>_xlfn.XLOOKUP(Table32[[#This Row],[Item]],Table13[Decription],Table13[Unit])</f>
        <v>box</v>
      </c>
      <c r="F59" s="176">
        <v>1</v>
      </c>
      <c r="G59" s="176">
        <f>_xlfn.XLOOKUP(Table32[[#This Row],[Item]],Table13[Decription],Table13[Unit Cost])</f>
        <v>100</v>
      </c>
      <c r="H59" s="177">
        <f>Table32[[#This Row],[Unit Cost]]*Table32[[#This Row],[Quantity Issued]]</f>
        <v>100</v>
      </c>
      <c r="I59" s="185">
        <f>_xlfn.XLOOKUP(Table32[[#This Row],[Item]],Table13[Decription],Table13[February 2025 - Balance Qty])</f>
        <v>3</v>
      </c>
      <c r="J59" s="168" t="str">
        <f>_xlfn.XLOOKUP(Table32[[#This Row],[Item]],Table13[Decription],Table13[Article])</f>
        <v>Office Supplies</v>
      </c>
    </row>
    <row r="60" spans="1:10" s="43" customFormat="1" ht="10.5">
      <c r="A60" s="172" t="s">
        <v>266</v>
      </c>
      <c r="B60" s="179"/>
      <c r="C60" s="180"/>
      <c r="D60" s="175" t="s">
        <v>47</v>
      </c>
      <c r="E60" s="176" t="str">
        <f>_xlfn.XLOOKUP(Table32[[#This Row],[Item]],Table13[Decription],Table13[Unit])</f>
        <v>box</v>
      </c>
      <c r="F60" s="176">
        <v>2</v>
      </c>
      <c r="G60" s="176">
        <f>_xlfn.XLOOKUP(Table32[[#This Row],[Item]],Table13[Decription],Table13[Unit Cost])</f>
        <v>34.33</v>
      </c>
      <c r="H60" s="177">
        <f>Table32[[#This Row],[Unit Cost]]*Table32[[#This Row],[Quantity Issued]]</f>
        <v>68.66</v>
      </c>
      <c r="I60" s="185">
        <f>_xlfn.XLOOKUP(Table32[[#This Row],[Item]],Table13[Decription],Table13[February 2025 - Balance Qty])</f>
        <v>14</v>
      </c>
      <c r="J60" s="168" t="str">
        <f>_xlfn.XLOOKUP(Table32[[#This Row],[Item]],Table13[Decription],Table13[Article])</f>
        <v>Office Supplies</v>
      </c>
    </row>
    <row r="61" spans="1:10" s="43" customFormat="1" ht="10.5">
      <c r="A61" s="172" t="s">
        <v>266</v>
      </c>
      <c r="B61" s="179"/>
      <c r="C61" s="180"/>
      <c r="D61" s="175" t="s">
        <v>109</v>
      </c>
      <c r="E61" s="176" t="str">
        <f>_xlfn.XLOOKUP(Table32[[#This Row],[Item]],Table13[Decription],Table13[Unit])</f>
        <v>piece</v>
      </c>
      <c r="F61" s="176">
        <v>1</v>
      </c>
      <c r="G61" s="176">
        <f>_xlfn.XLOOKUP(Table32[[#This Row],[Item]],Table13[Decription],Table13[Unit Cost])</f>
        <v>245</v>
      </c>
      <c r="H61" s="177">
        <f>Table32[[#This Row],[Unit Cost]]*Table32[[#This Row],[Quantity Issued]]</f>
        <v>245</v>
      </c>
      <c r="I61" s="185">
        <f>_xlfn.XLOOKUP(Table32[[#This Row],[Item]],Table13[Decription],Table13[February 2025 - Balance Qty])</f>
        <v>4</v>
      </c>
      <c r="J61" s="168" t="str">
        <f>_xlfn.XLOOKUP(Table32[[#This Row],[Item]],Table13[Decription],Table13[Article])</f>
        <v>Office Supplies</v>
      </c>
    </row>
    <row r="62" spans="1:10" s="43" customFormat="1" ht="10.5">
      <c r="A62" s="172" t="s">
        <v>266</v>
      </c>
      <c r="B62" s="179"/>
      <c r="C62" s="180"/>
      <c r="D62" s="175" t="s">
        <v>128</v>
      </c>
      <c r="E62" s="176" t="str">
        <f>_xlfn.XLOOKUP(Table32[[#This Row],[Item]],Table13[Decription],Table13[Unit])</f>
        <v>ream</v>
      </c>
      <c r="F62" s="176">
        <v>2</v>
      </c>
      <c r="G62" s="176">
        <f>_xlfn.XLOOKUP(Table32[[#This Row],[Item]],Table13[Decription],Table13[Unit Cost])</f>
        <v>285</v>
      </c>
      <c r="H62" s="177">
        <f>Table32[[#This Row],[Unit Cost]]*Table32[[#This Row],[Quantity Issued]]</f>
        <v>570</v>
      </c>
      <c r="I62" s="185">
        <f>_xlfn.XLOOKUP(Table32[[#This Row],[Item]],Table13[Decription],Table13[February 2025 - Balance Qty])</f>
        <v>3</v>
      </c>
      <c r="J62" s="168" t="str">
        <f>_xlfn.XLOOKUP(Table32[[#This Row],[Item]],Table13[Decription],Table13[Article])</f>
        <v>Office Supplies</v>
      </c>
    </row>
    <row r="63" spans="1:10" s="43" customFormat="1" ht="10.5">
      <c r="A63" s="172" t="s">
        <v>239</v>
      </c>
      <c r="B63" s="179"/>
      <c r="C63" s="180"/>
      <c r="D63" s="175" t="s">
        <v>164</v>
      </c>
      <c r="E63" s="176" t="str">
        <f>_xlfn.XLOOKUP(Table32[[#This Row],[Item]],Table13[Decription],Table13[Unit])</f>
        <v>can</v>
      </c>
      <c r="F63" s="176">
        <v>1</v>
      </c>
      <c r="G63" s="176">
        <f>_xlfn.XLOOKUP(Table32[[#This Row],[Item]],Table13[Decription],Table13[Unit Cost])</f>
        <v>289.68</v>
      </c>
      <c r="H63" s="177">
        <f>Table32[[#This Row],[Unit Cost]]*Table32[[#This Row],[Quantity Issued]]</f>
        <v>289.68</v>
      </c>
      <c r="I63" s="178">
        <f>_xlfn.XLOOKUP(Table32[[#This Row],[Item]],Table13[Decription],Table13[February 2025 - Balance Qty])</f>
        <v>5</v>
      </c>
      <c r="J63" s="168" t="str">
        <f>_xlfn.XLOOKUP(Table32[[#This Row],[Item]],Table13[Decription],Table13[Article])</f>
        <v>Other Supplies</v>
      </c>
    </row>
    <row r="64" spans="1:10" s="43" customFormat="1" ht="10.5">
      <c r="A64" s="172" t="s">
        <v>239</v>
      </c>
      <c r="B64" s="179"/>
      <c r="C64" s="180"/>
      <c r="D64" s="175" t="s">
        <v>171</v>
      </c>
      <c r="E64" s="176" t="str">
        <f>_xlfn.XLOOKUP(Table32[[#This Row],[Item]],Table13[Decription],Table13[Unit])</f>
        <v>bottle</v>
      </c>
      <c r="F64" s="176">
        <v>1</v>
      </c>
      <c r="G64" s="176">
        <f>_xlfn.XLOOKUP(Table32[[#This Row],[Item]],Table13[Decription],Table13[Unit Cost])</f>
        <v>395</v>
      </c>
      <c r="H64" s="177">
        <f>Table32[[#This Row],[Unit Cost]]*Table32[[#This Row],[Quantity Issued]]</f>
        <v>395</v>
      </c>
      <c r="I64" s="178">
        <f>_xlfn.XLOOKUP(Table32[[#This Row],[Item]],Table13[Decription],Table13[February 2025 - Balance Qty])</f>
        <v>5</v>
      </c>
      <c r="J64" s="168" t="str">
        <f>_xlfn.XLOOKUP(Table32[[#This Row],[Item]],Table13[Decription],Table13[Article])</f>
        <v>Other Supplies</v>
      </c>
    </row>
    <row r="65" spans="1:10" s="43" customFormat="1" ht="10.5">
      <c r="A65" s="172" t="s">
        <v>239</v>
      </c>
      <c r="B65" s="179"/>
      <c r="C65" s="180"/>
      <c r="D65" s="175" t="s">
        <v>70</v>
      </c>
      <c r="E65" s="176" t="str">
        <f>_xlfn.XLOOKUP(Table32[[#This Row],[Item]],Table13[Decription],Table13[Unit])</f>
        <v>piece</v>
      </c>
      <c r="F65" s="176">
        <v>3</v>
      </c>
      <c r="G65" s="176">
        <f>_xlfn.XLOOKUP(Table32[[#This Row],[Item]],Table13[Decription],Table13[Unit Cost])</f>
        <v>64.67</v>
      </c>
      <c r="H65" s="177">
        <f>Table32[[#This Row],[Unit Cost]]*Table32[[#This Row],[Quantity Issued]]</f>
        <v>194.01</v>
      </c>
      <c r="I65" s="178">
        <f>_xlfn.XLOOKUP(Table32[[#This Row],[Item]],Table13[Decription],Table13[February 2025 - Balance Qty])</f>
        <v>8</v>
      </c>
      <c r="J65" s="168" t="str">
        <f>_xlfn.XLOOKUP(Table32[[#This Row],[Item]],Table13[Decription],Table13[Article])</f>
        <v>Other Supplies</v>
      </c>
    </row>
    <row r="66" spans="1:10" s="43" customFormat="1" ht="10.5">
      <c r="A66" s="172" t="s">
        <v>239</v>
      </c>
      <c r="B66" s="179"/>
      <c r="C66" s="180"/>
      <c r="D66" s="175" t="s">
        <v>176</v>
      </c>
      <c r="E66" s="176" t="str">
        <f>_xlfn.XLOOKUP(Table32[[#This Row],[Item]],Table13[Decription],Table13[Unit])</f>
        <v>can</v>
      </c>
      <c r="F66" s="176">
        <v>1</v>
      </c>
      <c r="G66" s="176">
        <f>_xlfn.XLOOKUP(Table32[[#This Row],[Item]],Table13[Decription],Table13[Unit Cost])</f>
        <v>200</v>
      </c>
      <c r="H66" s="177">
        <f>Table32[[#This Row],[Unit Cost]]*Table32[[#This Row],[Quantity Issued]]</f>
        <v>200</v>
      </c>
      <c r="I66" s="178">
        <f>_xlfn.XLOOKUP(Table32[[#This Row],[Item]],Table13[Decription],Table13[February 2025 - Balance Qty])</f>
        <v>0</v>
      </c>
      <c r="J66" s="168" t="str">
        <f>_xlfn.XLOOKUP(Table32[[#This Row],[Item]],Table13[Decription],Table13[Article])</f>
        <v>Other Supplies</v>
      </c>
    </row>
    <row r="67" spans="1:10" s="43" customFormat="1" ht="10.5">
      <c r="A67" s="172" t="s">
        <v>239</v>
      </c>
      <c r="B67" s="179"/>
      <c r="C67" s="180"/>
      <c r="D67" s="175" t="s">
        <v>190</v>
      </c>
      <c r="E67" s="176" t="str">
        <f>_xlfn.XLOOKUP(Table32[[#This Row],[Item]],Table13[Decription],Table13[Unit])</f>
        <v>roll</v>
      </c>
      <c r="F67" s="176">
        <v>25</v>
      </c>
      <c r="G67" s="176">
        <f>_xlfn.XLOOKUP(Table32[[#This Row],[Item]],Table13[Decription],Table13[Unit Cost])</f>
        <v>23.84</v>
      </c>
      <c r="H67" s="177">
        <f>Table32[[#This Row],[Unit Cost]]*Table32[[#This Row],[Quantity Issued]]</f>
        <v>596</v>
      </c>
      <c r="I67" s="178">
        <f>_xlfn.XLOOKUP(Table32[[#This Row],[Item]],Table13[Decription],Table13[February 2025 - Balance Qty])</f>
        <v>135</v>
      </c>
      <c r="J67" s="168" t="str">
        <f>_xlfn.XLOOKUP(Table32[[#This Row],[Item]],Table13[Decription],Table13[Article])</f>
        <v>Other Supplies</v>
      </c>
    </row>
    <row r="68" spans="1:10" s="43" customFormat="1" ht="10.5">
      <c r="A68" s="172" t="s">
        <v>239</v>
      </c>
      <c r="B68" s="179"/>
      <c r="C68" s="180"/>
      <c r="D68" s="175" t="s">
        <v>188</v>
      </c>
      <c r="E68" s="176" t="str">
        <f>_xlfn.XLOOKUP(Table32[[#This Row],[Item]],Table13[Decription],Table13[Unit])</f>
        <v>roll</v>
      </c>
      <c r="F68" s="176">
        <v>25</v>
      </c>
      <c r="G68" s="176">
        <f>_xlfn.XLOOKUP(Table32[[#This Row],[Item]],Table13[Decription],Table13[Unit Cost])</f>
        <v>22.27</v>
      </c>
      <c r="H68" s="177">
        <f>Table32[[#This Row],[Unit Cost]]*Table32[[#This Row],[Quantity Issued]]</f>
        <v>556.75</v>
      </c>
      <c r="I68" s="178">
        <f>_xlfn.XLOOKUP(Table32[[#This Row],[Item]],Table13[Decription],Table13[February 2025 - Balance Qty])</f>
        <v>147</v>
      </c>
      <c r="J68" s="168" t="str">
        <f>_xlfn.XLOOKUP(Table32[[#This Row],[Item]],Table13[Decription],Table13[Article])</f>
        <v>Other Supplies</v>
      </c>
    </row>
    <row r="69" spans="1:10" s="43" customFormat="1" ht="21">
      <c r="A69" s="172" t="s">
        <v>239</v>
      </c>
      <c r="B69" s="179"/>
      <c r="C69" s="180"/>
      <c r="D69" s="175" t="s">
        <v>73</v>
      </c>
      <c r="E69" s="176" t="str">
        <f>_xlfn.XLOOKUP(Table32[[#This Row],[Item]],Table13[Decription],Table13[Unit])</f>
        <v>pack</v>
      </c>
      <c r="F69" s="176">
        <v>12</v>
      </c>
      <c r="G69" s="176">
        <f>_xlfn.XLOOKUP(Table32[[#This Row],[Item]],Table13[Decription],Table13[Unit Cost])</f>
        <v>25</v>
      </c>
      <c r="H69" s="177">
        <f>Table32[[#This Row],[Unit Cost]]*Table32[[#This Row],[Quantity Issued]]</f>
        <v>300</v>
      </c>
      <c r="I69" s="178">
        <f>_xlfn.XLOOKUP(Table32[[#This Row],[Item]],Table13[Decription],Table13[February 2025 - Balance Qty])</f>
        <v>17</v>
      </c>
      <c r="J69" s="168" t="str">
        <f>_xlfn.XLOOKUP(Table32[[#This Row],[Item]],Table13[Decription],Table13[Article])</f>
        <v>Other Supplies</v>
      </c>
    </row>
    <row r="70" spans="1:10" s="43" customFormat="1" ht="10.5">
      <c r="A70" s="172" t="s">
        <v>239</v>
      </c>
      <c r="B70" s="179"/>
      <c r="C70" s="180"/>
      <c r="D70" s="175" t="s">
        <v>166</v>
      </c>
      <c r="E70" s="176" t="str">
        <f>_xlfn.XLOOKUP(Table32[[#This Row],[Item]],Table13[Decription],Table13[Unit])</f>
        <v>can</v>
      </c>
      <c r="F70" s="176">
        <v>2</v>
      </c>
      <c r="G70" s="176">
        <f>_xlfn.XLOOKUP(Table32[[#This Row],[Item]],Table13[Decription],Table13[Unit Cost])</f>
        <v>572.76</v>
      </c>
      <c r="H70" s="177">
        <f>Table32[[#This Row],[Unit Cost]]*Table32[[#This Row],[Quantity Issued]]</f>
        <v>1145.52</v>
      </c>
      <c r="I70" s="178">
        <f>_xlfn.XLOOKUP(Table32[[#This Row],[Item]],Table13[Decription],Table13[February 2025 - Balance Qty])</f>
        <v>8</v>
      </c>
      <c r="J70" s="168" t="str">
        <f>_xlfn.XLOOKUP(Table32[[#This Row],[Item]],Table13[Decription],Table13[Article])</f>
        <v>Other Supplies</v>
      </c>
    </row>
    <row r="71" spans="1:10" s="43" customFormat="1" ht="10.5">
      <c r="A71" s="172" t="s">
        <v>239</v>
      </c>
      <c r="B71" s="179"/>
      <c r="C71" s="180"/>
      <c r="D71" s="175" t="s">
        <v>181</v>
      </c>
      <c r="E71" s="176" t="str">
        <f>_xlfn.XLOOKUP(Table32[[#This Row],[Item]],Table13[Decription],Table13[Unit])</f>
        <v>bottle</v>
      </c>
      <c r="F71" s="176">
        <v>2</v>
      </c>
      <c r="G71" s="176">
        <f>_xlfn.XLOOKUP(Table32[[#This Row],[Item]],Table13[Decription],Table13[Unit Cost])</f>
        <v>310</v>
      </c>
      <c r="H71" s="177">
        <f>Table32[[#This Row],[Unit Cost]]*Table32[[#This Row],[Quantity Issued]]</f>
        <v>620</v>
      </c>
      <c r="I71" s="178">
        <f>_xlfn.XLOOKUP(Table32[[#This Row],[Item]],Table13[Decription],Table13[February 2025 - Balance Qty])</f>
        <v>5</v>
      </c>
      <c r="J71" s="168" t="str">
        <f>_xlfn.XLOOKUP(Table32[[#This Row],[Item]],Table13[Decription],Table13[Article])</f>
        <v>Other Supplies</v>
      </c>
    </row>
    <row r="72" spans="1:10" s="43" customFormat="1" ht="10.5">
      <c r="A72" s="172" t="s">
        <v>239</v>
      </c>
      <c r="B72" s="179"/>
      <c r="C72" s="180"/>
      <c r="D72" s="175" t="s">
        <v>76</v>
      </c>
      <c r="E72" s="176" t="str">
        <f>_xlfn.XLOOKUP(Table32[[#This Row],[Item]],Table13[Decription],Table13[Unit])</f>
        <v>bottle</v>
      </c>
      <c r="F72" s="176">
        <v>2</v>
      </c>
      <c r="G72" s="176">
        <f>_xlfn.XLOOKUP(Table32[[#This Row],[Item]],Table13[Decription],Table13[Unit Cost])</f>
        <v>432.5</v>
      </c>
      <c r="H72" s="177">
        <f>Table32[[#This Row],[Unit Cost]]*Table32[[#This Row],[Quantity Issued]]</f>
        <v>865</v>
      </c>
      <c r="I72" s="178">
        <f>_xlfn.XLOOKUP(Table32[[#This Row],[Item]],Table13[Decription],Table13[February 2025 - Balance Qty])</f>
        <v>18</v>
      </c>
      <c r="J72" s="168" t="str">
        <f>_xlfn.XLOOKUP(Table32[[#This Row],[Item]],Table13[Decription],Table13[Article])</f>
        <v>Other Supplies</v>
      </c>
    </row>
    <row r="73" spans="1:10" s="43" customFormat="1" ht="10.5">
      <c r="A73" s="172" t="s">
        <v>245</v>
      </c>
      <c r="B73" s="179"/>
      <c r="C73" s="180"/>
      <c r="D73" s="175" t="s">
        <v>71</v>
      </c>
      <c r="E73" s="176" t="str">
        <f>_xlfn.XLOOKUP(Table32[[#This Row],[Item]],Table13[Decription],Table13[Unit])</f>
        <v>roll</v>
      </c>
      <c r="F73" s="176">
        <v>12</v>
      </c>
      <c r="G73" s="176">
        <f>_xlfn.XLOOKUP(Table32[[#This Row],[Item]],Table13[Decription],Table13[Unit Cost])</f>
        <v>28.75</v>
      </c>
      <c r="H73" s="177">
        <f>Table32[[#This Row],[Unit Cost]]*Table32[[#This Row],[Quantity Issued]]</f>
        <v>345</v>
      </c>
      <c r="I73" s="178">
        <f>_xlfn.XLOOKUP(Table32[[#This Row],[Item]],Table13[Decription],Table13[February 2025 - Balance Qty])</f>
        <v>95</v>
      </c>
      <c r="J73" s="168" t="str">
        <f>_xlfn.XLOOKUP(Table32[[#This Row],[Item]],Table13[Decription],Table13[Article])</f>
        <v>Other Supplies</v>
      </c>
    </row>
    <row r="74" spans="1:10" s="43" customFormat="1" ht="10.5">
      <c r="A74" s="172" t="s">
        <v>245</v>
      </c>
      <c r="B74" s="179"/>
      <c r="C74" s="180"/>
      <c r="D74" s="175" t="s">
        <v>76</v>
      </c>
      <c r="E74" s="176" t="str">
        <f>_xlfn.XLOOKUP(Table32[[#This Row],[Item]],Table13[Decription],Table13[Unit])</f>
        <v>bottle</v>
      </c>
      <c r="F74" s="176">
        <v>2</v>
      </c>
      <c r="G74" s="176">
        <f>_xlfn.XLOOKUP(Table32[[#This Row],[Item]],Table13[Decription],Table13[Unit Cost])</f>
        <v>432.5</v>
      </c>
      <c r="H74" s="177">
        <f>Table32[[#This Row],[Unit Cost]]*Table32[[#This Row],[Quantity Issued]]</f>
        <v>865</v>
      </c>
      <c r="I74" s="178">
        <f>_xlfn.XLOOKUP(Table32[[#This Row],[Item]],Table13[Decription],Table13[February 2025 - Balance Qty])</f>
        <v>18</v>
      </c>
      <c r="J74" s="168" t="str">
        <f>_xlfn.XLOOKUP(Table32[[#This Row],[Item]],Table13[Decription],Table13[Article])</f>
        <v>Other Supplies</v>
      </c>
    </row>
    <row r="75" spans="1:10" s="43" customFormat="1" ht="10.5">
      <c r="A75" s="172" t="s">
        <v>245</v>
      </c>
      <c r="B75" s="179"/>
      <c r="C75" s="180"/>
      <c r="D75" s="175" t="s">
        <v>175</v>
      </c>
      <c r="E75" s="176" t="str">
        <f>_xlfn.XLOOKUP(Table32[[#This Row],[Item]],Table13[Decription],Table13[Unit])</f>
        <v>can</v>
      </c>
      <c r="F75" s="176">
        <v>2</v>
      </c>
      <c r="G75" s="176">
        <f>_xlfn.XLOOKUP(Table32[[#This Row],[Item]],Table13[Decription],Table13[Unit Cost])</f>
        <v>165</v>
      </c>
      <c r="H75" s="177">
        <f>Table32[[#This Row],[Unit Cost]]*Table32[[#This Row],[Quantity Issued]]</f>
        <v>330</v>
      </c>
      <c r="I75" s="178">
        <f>_xlfn.XLOOKUP(Table32[[#This Row],[Item]],Table13[Decription],Table13[February 2025 - Balance Qty])</f>
        <v>5</v>
      </c>
      <c r="J75" s="168" t="str">
        <f>_xlfn.XLOOKUP(Table32[[#This Row],[Item]],Table13[Decription],Table13[Article])</f>
        <v>Other Supplies</v>
      </c>
    </row>
    <row r="76" spans="1:10" s="43" customFormat="1" ht="10.5">
      <c r="A76" s="172" t="s">
        <v>245</v>
      </c>
      <c r="B76" s="179"/>
      <c r="C76" s="180"/>
      <c r="D76" s="175" t="s">
        <v>70</v>
      </c>
      <c r="E76" s="176" t="str">
        <f>_xlfn.XLOOKUP(Table32[[#This Row],[Item]],Table13[Decription],Table13[Unit])</f>
        <v>piece</v>
      </c>
      <c r="F76" s="176">
        <v>3</v>
      </c>
      <c r="G76" s="176">
        <f>_xlfn.XLOOKUP(Table32[[#This Row],[Item]],Table13[Decription],Table13[Unit Cost])</f>
        <v>64.67</v>
      </c>
      <c r="H76" s="177">
        <f>Table32[[#This Row],[Unit Cost]]*Table32[[#This Row],[Quantity Issued]]</f>
        <v>194.01</v>
      </c>
      <c r="I76" s="178">
        <f>_xlfn.XLOOKUP(Table32[[#This Row],[Item]],Table13[Decription],Table13[February 2025 - Balance Qty])</f>
        <v>8</v>
      </c>
      <c r="J76" s="168" t="str">
        <f>_xlfn.XLOOKUP(Table32[[#This Row],[Item]],Table13[Decription],Table13[Article])</f>
        <v>Other Supplies</v>
      </c>
    </row>
    <row r="77" spans="1:10" s="43" customFormat="1" ht="10.5">
      <c r="A77" s="172" t="s">
        <v>245</v>
      </c>
      <c r="B77" s="179"/>
      <c r="C77" s="180"/>
      <c r="D77" s="175" t="s">
        <v>74</v>
      </c>
      <c r="E77" s="176" t="str">
        <f>_xlfn.XLOOKUP(Table32[[#This Row],[Item]],Table13[Decription],Table13[Unit])</f>
        <v>pack</v>
      </c>
      <c r="F77" s="176">
        <v>7</v>
      </c>
      <c r="G77" s="176">
        <f>_xlfn.XLOOKUP(Table32[[#This Row],[Item]],Table13[Decription],Table13[Unit Cost])</f>
        <v>30</v>
      </c>
      <c r="H77" s="177">
        <f>Table32[[#This Row],[Unit Cost]]*Table32[[#This Row],[Quantity Issued]]</f>
        <v>210</v>
      </c>
      <c r="I77" s="178">
        <f>_xlfn.XLOOKUP(Table32[[#This Row],[Item]],Table13[Decription],Table13[February 2025 - Balance Qty])</f>
        <v>20</v>
      </c>
      <c r="J77" s="168" t="str">
        <f>_xlfn.XLOOKUP(Table32[[#This Row],[Item]],Table13[Decription],Table13[Article])</f>
        <v>Other Supplies</v>
      </c>
    </row>
    <row r="78" spans="1:10" s="43" customFormat="1" ht="10.5">
      <c r="A78" s="172" t="s">
        <v>249</v>
      </c>
      <c r="B78" s="179"/>
      <c r="C78" s="180"/>
      <c r="D78" s="175" t="s">
        <v>75</v>
      </c>
      <c r="E78" s="176" t="str">
        <f>_xlfn.XLOOKUP(Table32[[#This Row],[Item]],Table13[Decription],Table13[Unit])</f>
        <v>piece</v>
      </c>
      <c r="F78" s="176">
        <v>6</v>
      </c>
      <c r="G78" s="176">
        <f>_xlfn.XLOOKUP(Table32[[#This Row],[Item]],Table13[Decription],Table13[Unit Cost])</f>
        <v>90.07</v>
      </c>
      <c r="H78" s="177">
        <f>Table32[[#This Row],[Unit Cost]]*Table32[[#This Row],[Quantity Issued]]</f>
        <v>540.41999999999996</v>
      </c>
      <c r="I78" s="178">
        <f>_xlfn.XLOOKUP(Table32[[#This Row],[Item]],Table13[Decription],Table13[February 2025 - Balance Qty])</f>
        <v>14</v>
      </c>
      <c r="J78" s="168" t="str">
        <f>_xlfn.XLOOKUP(Table32[[#This Row],[Item]],Table13[Decription],Table13[Article])</f>
        <v>Other Supplies</v>
      </c>
    </row>
    <row r="79" spans="1:10" s="43" customFormat="1" ht="10.5">
      <c r="A79" s="172" t="s">
        <v>250</v>
      </c>
      <c r="B79" s="179"/>
      <c r="C79" s="180"/>
      <c r="D79" s="175" t="s">
        <v>72</v>
      </c>
      <c r="E79" s="176" t="str">
        <f>_xlfn.XLOOKUP(Table32[[#This Row],[Item]],Table13[Decription],Table13[Unit])</f>
        <v>pack</v>
      </c>
      <c r="F79" s="176">
        <v>7</v>
      </c>
      <c r="G79" s="176">
        <f>_xlfn.XLOOKUP(Table32[[#This Row],[Item]],Table13[Decription],Table13[Unit Cost])</f>
        <v>383.93</v>
      </c>
      <c r="H79" s="177">
        <f>Table32[[#This Row],[Unit Cost]]*Table32[[#This Row],[Quantity Issued]]</f>
        <v>2687.51</v>
      </c>
      <c r="I79" s="178">
        <f>_xlfn.XLOOKUP(Table32[[#This Row],[Item]],Table13[Decription],Table13[February 2025 - Balance Qty])</f>
        <v>11</v>
      </c>
      <c r="J79" s="168" t="str">
        <f>_xlfn.XLOOKUP(Table32[[#This Row],[Item]],Table13[Decription],Table13[Article])</f>
        <v>Other Supplies</v>
      </c>
    </row>
    <row r="80" spans="1:10" s="43" customFormat="1" ht="10.5">
      <c r="A80" s="172" t="s">
        <v>249</v>
      </c>
      <c r="B80" s="179"/>
      <c r="C80" s="180"/>
      <c r="D80" s="175" t="s">
        <v>166</v>
      </c>
      <c r="E80" s="176" t="str">
        <f>_xlfn.XLOOKUP(Table32[[#This Row],[Item]],Table13[Decription],Table13[Unit])</f>
        <v>can</v>
      </c>
      <c r="F80" s="176">
        <v>2</v>
      </c>
      <c r="G80" s="176">
        <f>_xlfn.XLOOKUP(Table32[[#This Row],[Item]],Table13[Decription],Table13[Unit Cost])</f>
        <v>572.76</v>
      </c>
      <c r="H80" s="177">
        <f>Table32[[#This Row],[Unit Cost]]*Table32[[#This Row],[Quantity Issued]]</f>
        <v>1145.52</v>
      </c>
      <c r="I80" s="178">
        <f>_xlfn.XLOOKUP(Table32[[#This Row],[Item]],Table13[Decription],Table13[February 2025 - Balance Qty])</f>
        <v>8</v>
      </c>
      <c r="J80" s="168" t="str">
        <f>_xlfn.XLOOKUP(Table32[[#This Row],[Item]],Table13[Decription],Table13[Article])</f>
        <v>Other Supplies</v>
      </c>
    </row>
    <row r="81" spans="1:12" s="43" customFormat="1" ht="21">
      <c r="A81" s="172" t="s">
        <v>249</v>
      </c>
      <c r="B81" s="179"/>
      <c r="C81" s="180"/>
      <c r="D81" s="175" t="s">
        <v>73</v>
      </c>
      <c r="E81" s="176" t="str">
        <f>_xlfn.XLOOKUP(Table32[[#This Row],[Item]],Table13[Decription],Table13[Unit])</f>
        <v>pack</v>
      </c>
      <c r="F81" s="176">
        <v>12</v>
      </c>
      <c r="G81" s="176">
        <f>_xlfn.XLOOKUP(Table32[[#This Row],[Item]],Table13[Decription],Table13[Unit Cost])</f>
        <v>25</v>
      </c>
      <c r="H81" s="177">
        <f>Table32[[#This Row],[Unit Cost]]*Table32[[#This Row],[Quantity Issued]]</f>
        <v>300</v>
      </c>
      <c r="I81" s="178">
        <f>_xlfn.XLOOKUP(Table32[[#This Row],[Item]],Table13[Decription],Table13[February 2025 - Balance Qty])</f>
        <v>17</v>
      </c>
      <c r="J81" s="168" t="str">
        <f>_xlfn.XLOOKUP(Table32[[#This Row],[Item]],Table13[Decription],Table13[Article])</f>
        <v>Other Supplies</v>
      </c>
    </row>
    <row r="82" spans="1:12" s="43" customFormat="1" ht="10.5">
      <c r="A82" s="172" t="s">
        <v>249</v>
      </c>
      <c r="B82" s="179"/>
      <c r="C82" s="180"/>
      <c r="D82" s="175" t="s">
        <v>171</v>
      </c>
      <c r="E82" s="176" t="str">
        <f>_xlfn.XLOOKUP(Table32[[#This Row],[Item]],Table13[Decription],Table13[Unit])</f>
        <v>bottle</v>
      </c>
      <c r="F82" s="176">
        <v>2</v>
      </c>
      <c r="G82" s="176">
        <f>_xlfn.XLOOKUP(Table32[[#This Row],[Item]],Table13[Decription],Table13[Unit Cost])</f>
        <v>395</v>
      </c>
      <c r="H82" s="177">
        <f>Table32[[#This Row],[Unit Cost]]*Table32[[#This Row],[Quantity Issued]]</f>
        <v>790</v>
      </c>
      <c r="I82" s="178">
        <f>_xlfn.XLOOKUP(Table32[[#This Row],[Item]],Table13[Decription],Table13[February 2025 - Balance Qty])</f>
        <v>5</v>
      </c>
      <c r="J82" s="168" t="str">
        <f>_xlfn.XLOOKUP(Table32[[#This Row],[Item]],Table13[Decription],Table13[Article])</f>
        <v>Other Supplies</v>
      </c>
    </row>
    <row r="83" spans="1:12" s="43" customFormat="1" ht="10.5">
      <c r="A83" s="172" t="s">
        <v>252</v>
      </c>
      <c r="B83" s="179"/>
      <c r="C83" s="180"/>
      <c r="D83" s="175" t="s">
        <v>179</v>
      </c>
      <c r="E83" s="176" t="str">
        <f>_xlfn.XLOOKUP(Table32[[#This Row],[Item]],Table13[Decription],Table13[Unit])</f>
        <v>piece</v>
      </c>
      <c r="F83" s="176">
        <v>1</v>
      </c>
      <c r="G83" s="176">
        <f>_xlfn.XLOOKUP(Table32[[#This Row],[Item]],Table13[Decription],Table13[Unit Cost])</f>
        <v>3800</v>
      </c>
      <c r="H83" s="177">
        <f>Table32[[#This Row],[Unit Cost]]*Table32[[#This Row],[Quantity Issued]]</f>
        <v>3800</v>
      </c>
      <c r="I83" s="178">
        <f>_xlfn.XLOOKUP(Table32[[#This Row],[Item]],Table13[Decription],Table13[February 2025 - Balance Qty])</f>
        <v>0</v>
      </c>
      <c r="J83" s="168" t="str">
        <f>_xlfn.XLOOKUP(Table32[[#This Row],[Item]],Table13[Decription],Table13[Article])</f>
        <v>Other Supplies</v>
      </c>
    </row>
    <row r="84" spans="1:12" s="43" customFormat="1" ht="10.5">
      <c r="A84" s="172" t="s">
        <v>252</v>
      </c>
      <c r="B84" s="179"/>
      <c r="C84" s="180"/>
      <c r="D84" s="175" t="s">
        <v>164</v>
      </c>
      <c r="E84" s="176" t="str">
        <f>_xlfn.XLOOKUP(Table32[[#This Row],[Item]],Table13[Decription],Table13[Unit])</f>
        <v>can</v>
      </c>
      <c r="F84" s="176">
        <v>3</v>
      </c>
      <c r="G84" s="176">
        <f>_xlfn.XLOOKUP(Table32[[#This Row],[Item]],Table13[Decription],Table13[Unit Cost])</f>
        <v>289.68</v>
      </c>
      <c r="H84" s="177">
        <f>Table32[[#This Row],[Unit Cost]]*Table32[[#This Row],[Quantity Issued]]</f>
        <v>869.04</v>
      </c>
      <c r="I84" s="178">
        <f>_xlfn.XLOOKUP(Table32[[#This Row],[Item]],Table13[Decription],Table13[February 2025 - Balance Qty])</f>
        <v>5</v>
      </c>
      <c r="J84" s="168" t="str">
        <f>_xlfn.XLOOKUP(Table32[[#This Row],[Item]],Table13[Decription],Table13[Article])</f>
        <v>Other Supplies</v>
      </c>
    </row>
    <row r="85" spans="1:12" s="43" customFormat="1" ht="10.25" customHeight="1">
      <c r="A85" s="172" t="s">
        <v>252</v>
      </c>
      <c r="B85" s="179"/>
      <c r="C85" s="180"/>
      <c r="D85" s="175" t="s">
        <v>175</v>
      </c>
      <c r="E85" s="176" t="str">
        <f>_xlfn.XLOOKUP(Table32[[#This Row],[Item]],Table13[Decription],Table13[Unit])</f>
        <v>can</v>
      </c>
      <c r="F85" s="176">
        <v>3</v>
      </c>
      <c r="G85" s="176">
        <f>_xlfn.XLOOKUP(Table32[[#This Row],[Item]],Table13[Decription],Table13[Unit Cost])</f>
        <v>165</v>
      </c>
      <c r="H85" s="177">
        <f>Table32[[#This Row],[Unit Cost]]*Table32[[#This Row],[Quantity Issued]]</f>
        <v>495</v>
      </c>
      <c r="I85" s="178">
        <f>_xlfn.XLOOKUP(Table32[[#This Row],[Item]],Table13[Decription],Table13[February 2025 - Balance Qty])</f>
        <v>5</v>
      </c>
      <c r="J85" s="168" t="str">
        <f>_xlfn.XLOOKUP(Table32[[#This Row],[Item]],Table13[Decription],Table13[Article])</f>
        <v>Other Supplies</v>
      </c>
    </row>
    <row r="86" spans="1:12" s="43" customFormat="1" ht="10.5">
      <c r="A86" s="172" t="s">
        <v>252</v>
      </c>
      <c r="B86" s="179"/>
      <c r="C86" s="180"/>
      <c r="D86" s="175" t="s">
        <v>70</v>
      </c>
      <c r="E86" s="176" t="str">
        <f>_xlfn.XLOOKUP(Table32[[#This Row],[Item]],Table13[Decription],Table13[Unit])</f>
        <v>piece</v>
      </c>
      <c r="F86" s="176">
        <v>3</v>
      </c>
      <c r="G86" s="176">
        <f>_xlfn.XLOOKUP(Table32[[#This Row],[Item]],Table13[Decription],Table13[Unit Cost])</f>
        <v>64.67</v>
      </c>
      <c r="H86" s="177">
        <f>Table32[[#This Row],[Unit Cost]]*Table32[[#This Row],[Quantity Issued]]</f>
        <v>194.01</v>
      </c>
      <c r="I86" s="178">
        <f>_xlfn.XLOOKUP(Table32[[#This Row],[Item]],Table13[Decription],Table13[February 2025 - Balance Qty])</f>
        <v>8</v>
      </c>
      <c r="J86" s="168" t="str">
        <f>_xlfn.XLOOKUP(Table32[[#This Row],[Item]],Table13[Decription],Table13[Article])</f>
        <v>Other Supplies</v>
      </c>
    </row>
    <row r="87" spans="1:12" s="36" customFormat="1" ht="10.5">
      <c r="A87" s="172" t="s">
        <v>252</v>
      </c>
      <c r="B87" s="179"/>
      <c r="C87" s="180"/>
      <c r="D87" s="175" t="s">
        <v>180</v>
      </c>
      <c r="E87" s="176" t="str">
        <f>_xlfn.XLOOKUP(Table32[[#This Row],[Item]],Table13[Decription],Table13[Unit])</f>
        <v>piece</v>
      </c>
      <c r="F87" s="176">
        <v>5</v>
      </c>
      <c r="G87" s="176">
        <f>_xlfn.XLOOKUP(Table32[[#This Row],[Item]],Table13[Decription],Table13[Unit Cost])</f>
        <v>18.53</v>
      </c>
      <c r="H87" s="177">
        <f>Table32[[#This Row],[Unit Cost]]*Table32[[#This Row],[Quantity Issued]]</f>
        <v>92.65</v>
      </c>
      <c r="I87" s="178">
        <f>_xlfn.XLOOKUP(Table32[[#This Row],[Item]],Table13[Decription],Table13[February 2025 - Balance Qty])</f>
        <v>27</v>
      </c>
      <c r="J87" s="168" t="str">
        <f>_xlfn.XLOOKUP(Table32[[#This Row],[Item]],Table13[Decription],Table13[Article])</f>
        <v>Other Supplies</v>
      </c>
    </row>
    <row r="88" spans="1:12" s="36" customFormat="1" ht="10.5">
      <c r="A88" s="172" t="s">
        <v>254</v>
      </c>
      <c r="B88" s="179"/>
      <c r="C88" s="180"/>
      <c r="D88" s="175" t="s">
        <v>71</v>
      </c>
      <c r="E88" s="176" t="str">
        <f>_xlfn.XLOOKUP(Table32[[#This Row],[Item]],Table13[Decription],Table13[Unit])</f>
        <v>roll</v>
      </c>
      <c r="F88" s="176">
        <v>8</v>
      </c>
      <c r="G88" s="176">
        <f>_xlfn.XLOOKUP(Table32[[#This Row],[Item]],Table13[Decription],Table13[Unit Cost])</f>
        <v>28.75</v>
      </c>
      <c r="H88" s="177">
        <f>Table32[[#This Row],[Unit Cost]]*Table32[[#This Row],[Quantity Issued]]</f>
        <v>230</v>
      </c>
      <c r="I88" s="178">
        <f>_xlfn.XLOOKUP(Table32[[#This Row],[Item]],Table13[Decription],Table13[February 2025 - Balance Qty])</f>
        <v>95</v>
      </c>
      <c r="J88" s="168" t="str">
        <f>_xlfn.XLOOKUP(Table32[[#This Row],[Item]],Table13[Decription],Table13[Article])</f>
        <v>Other Supplies</v>
      </c>
      <c r="K88" s="58"/>
      <c r="L88" s="58"/>
    </row>
    <row r="89" spans="1:12" s="36" customFormat="1" ht="10.5">
      <c r="A89" s="172" t="s">
        <v>254</v>
      </c>
      <c r="B89" s="179"/>
      <c r="C89" s="180"/>
      <c r="D89" s="175" t="s">
        <v>75</v>
      </c>
      <c r="E89" s="176" t="str">
        <f>_xlfn.XLOOKUP(Table32[[#This Row],[Item]],Table13[Decription],Table13[Unit])</f>
        <v>piece</v>
      </c>
      <c r="F89" s="176">
        <v>4</v>
      </c>
      <c r="G89" s="176">
        <f>_xlfn.XLOOKUP(Table32[[#This Row],[Item]],Table13[Decription],Table13[Unit Cost])</f>
        <v>90.07</v>
      </c>
      <c r="H89" s="177">
        <f>Table32[[#This Row],[Unit Cost]]*Table32[[#This Row],[Quantity Issued]]</f>
        <v>360.28</v>
      </c>
      <c r="I89" s="178">
        <f>_xlfn.XLOOKUP(Table32[[#This Row],[Item]],Table13[Decription],Table13[February 2025 - Balance Qty])</f>
        <v>14</v>
      </c>
      <c r="J89" s="168" t="str">
        <f>_xlfn.XLOOKUP(Table32[[#This Row],[Item]],Table13[Decription],Table13[Article])</f>
        <v>Other Supplies</v>
      </c>
      <c r="K89" s="43"/>
      <c r="L89" s="43"/>
    </row>
    <row r="90" spans="1:12" s="36" customFormat="1" ht="10.5">
      <c r="A90" s="172" t="s">
        <v>254</v>
      </c>
      <c r="B90" s="179"/>
      <c r="C90" s="180"/>
      <c r="D90" s="175" t="s">
        <v>166</v>
      </c>
      <c r="E90" s="176" t="str">
        <f>_xlfn.XLOOKUP(Table32[[#This Row],[Item]],Table13[Decription],Table13[Unit])</f>
        <v>can</v>
      </c>
      <c r="F90" s="176">
        <v>1</v>
      </c>
      <c r="G90" s="176">
        <f>_xlfn.XLOOKUP(Table32[[#This Row],[Item]],Table13[Decription],Table13[Unit Cost])</f>
        <v>572.76</v>
      </c>
      <c r="H90" s="177">
        <f>Table32[[#This Row],[Unit Cost]]*Table32[[#This Row],[Quantity Issued]]</f>
        <v>572.76</v>
      </c>
      <c r="I90" s="178">
        <f>_xlfn.XLOOKUP(Table32[[#This Row],[Item]],Table13[Decription],Table13[February 2025 - Balance Qty])</f>
        <v>8</v>
      </c>
      <c r="J90" s="168" t="str">
        <f>_xlfn.XLOOKUP(Table32[[#This Row],[Item]],Table13[Decription],Table13[Article])</f>
        <v>Other Supplies</v>
      </c>
      <c r="K90" s="43"/>
      <c r="L90" s="43"/>
    </row>
    <row r="91" spans="1:12" s="36" customFormat="1" ht="10.5">
      <c r="A91" s="172" t="s">
        <v>254</v>
      </c>
      <c r="B91" s="179"/>
      <c r="C91" s="180"/>
      <c r="D91" s="175" t="s">
        <v>195</v>
      </c>
      <c r="E91" s="176" t="str">
        <f>_xlfn.XLOOKUP(Table32[[#This Row],[Item]],Table13[Decription],Table13[Unit])</f>
        <v>bottle</v>
      </c>
      <c r="F91" s="176">
        <v>2</v>
      </c>
      <c r="G91" s="176">
        <f>_xlfn.XLOOKUP(Table32[[#This Row],[Item]],Table13[Decription],Table13[Unit Cost])</f>
        <v>168</v>
      </c>
      <c r="H91" s="177">
        <f>Table32[[#This Row],[Unit Cost]]*Table32[[#This Row],[Quantity Issued]]</f>
        <v>336</v>
      </c>
      <c r="I91" s="178">
        <f>_xlfn.XLOOKUP(Table32[[#This Row],[Item]],Table13[Decription],Table13[February 2025 - Balance Qty])</f>
        <v>4</v>
      </c>
      <c r="J91" s="168" t="str">
        <f>_xlfn.XLOOKUP(Table32[[#This Row],[Item]],Table13[Decription],Table13[Article])</f>
        <v>Other Supplies</v>
      </c>
      <c r="K91" s="43"/>
      <c r="L91" s="43"/>
    </row>
    <row r="92" spans="1:12" s="36" customFormat="1" ht="10.5">
      <c r="A92" s="172" t="s">
        <v>257</v>
      </c>
      <c r="B92" s="179"/>
      <c r="C92" s="180"/>
      <c r="D92" s="183" t="s">
        <v>188</v>
      </c>
      <c r="E92" s="176" t="str">
        <f>_xlfn.XLOOKUP(Table32[[#This Row],[Item]],Table13[Decription],Table13[Unit])</f>
        <v>roll</v>
      </c>
      <c r="F92" s="184">
        <v>20</v>
      </c>
      <c r="G92" s="176">
        <f>_xlfn.XLOOKUP(Table32[[#This Row],[Item]],Table13[Decription],Table13[Unit Cost])</f>
        <v>22.27</v>
      </c>
      <c r="H92" s="177">
        <f>Table32[[#This Row],[Unit Cost]]*Table32[[#This Row],[Quantity Issued]]</f>
        <v>445.4</v>
      </c>
      <c r="I92" s="178">
        <f>_xlfn.XLOOKUP(Table32[[#This Row],[Item]],Table13[Decription],Table13[February 2025 - Balance Qty])</f>
        <v>147</v>
      </c>
      <c r="J92" s="192" t="str">
        <f>_xlfn.XLOOKUP(Table32[[#This Row],[Item]],Table13[Decription],Table13[Article])</f>
        <v>Other Supplies</v>
      </c>
      <c r="K92" s="43"/>
      <c r="L92" s="43"/>
    </row>
    <row r="93" spans="1:12" s="36" customFormat="1" ht="10.5">
      <c r="A93" s="172" t="s">
        <v>257</v>
      </c>
      <c r="B93" s="179"/>
      <c r="C93" s="180"/>
      <c r="D93" s="183" t="s">
        <v>189</v>
      </c>
      <c r="E93" s="176" t="str">
        <f>_xlfn.XLOOKUP(Table32[[#This Row],[Item]],Table13[Decription],Table13[Unit])</f>
        <v>roll</v>
      </c>
      <c r="F93" s="184">
        <v>5</v>
      </c>
      <c r="G93" s="176">
        <f>_xlfn.XLOOKUP(Table32[[#This Row],[Item]],Table13[Decription],Table13[Unit Cost])</f>
        <v>40</v>
      </c>
      <c r="H93" s="177">
        <f>Table32[[#This Row],[Unit Cost]]*Table32[[#This Row],[Quantity Issued]]</f>
        <v>200</v>
      </c>
      <c r="I93" s="178">
        <f>_xlfn.XLOOKUP(Table32[[#This Row],[Item]],Table13[Decription],Table13[February 2025 - Balance Qty])</f>
        <v>9</v>
      </c>
      <c r="J93" s="168" t="str">
        <f>_xlfn.XLOOKUP(Table32[[#This Row],[Item]],Table13[Decription],Table13[Article])</f>
        <v>Other Supplies</v>
      </c>
      <c r="K93" s="43"/>
      <c r="L93" s="43"/>
    </row>
    <row r="94" spans="1:12" s="36" customFormat="1" ht="10.5">
      <c r="A94" s="172" t="s">
        <v>260</v>
      </c>
      <c r="B94" s="179"/>
      <c r="C94" s="180"/>
      <c r="D94" s="175" t="s">
        <v>72</v>
      </c>
      <c r="E94" s="176" t="str">
        <f>_xlfn.XLOOKUP(Table32[[#This Row],[Item]],Table13[Decription],Table13[Unit])</f>
        <v>pack</v>
      </c>
      <c r="F94" s="176">
        <v>7</v>
      </c>
      <c r="G94" s="176">
        <f>_xlfn.XLOOKUP(Table32[[#This Row],[Item]],Table13[Decription],Table13[Unit Cost])</f>
        <v>383.93</v>
      </c>
      <c r="H94" s="177">
        <f>Table32[[#This Row],[Unit Cost]]*Table32[[#This Row],[Quantity Issued]]</f>
        <v>2687.51</v>
      </c>
      <c r="I94" s="178">
        <f>_xlfn.XLOOKUP(Table32[[#This Row],[Item]],Table13[Decription],Table13[February 2025 - Balance Qty])</f>
        <v>11</v>
      </c>
      <c r="J94" s="168" t="str">
        <f>_xlfn.XLOOKUP(Table32[[#This Row],[Item]],Table13[Decription],Table13[Article])</f>
        <v>Other Supplies</v>
      </c>
      <c r="K94" s="43"/>
      <c r="L94" s="43"/>
    </row>
    <row r="95" spans="1:12" s="36" customFormat="1" ht="10.5">
      <c r="A95" s="172" t="s">
        <v>260</v>
      </c>
      <c r="B95" s="179"/>
      <c r="C95" s="180"/>
      <c r="D95" s="183" t="s">
        <v>190</v>
      </c>
      <c r="E95" s="176" t="str">
        <f>_xlfn.XLOOKUP(Table32[[#This Row],[Item]],Table13[Decription],Table13[Unit])</f>
        <v>roll</v>
      </c>
      <c r="F95" s="184">
        <v>25</v>
      </c>
      <c r="G95" s="176">
        <f>_xlfn.XLOOKUP(Table32[[#This Row],[Item]],Table13[Decription],Table13[Unit Cost])</f>
        <v>23.84</v>
      </c>
      <c r="H95" s="177">
        <f>Table32[[#This Row],[Unit Cost]]*Table32[[#This Row],[Quantity Issued]]</f>
        <v>596</v>
      </c>
      <c r="I95" s="178">
        <f>_xlfn.XLOOKUP(Table32[[#This Row],[Item]],Table13[Decription],Table13[February 2025 - Balance Qty])</f>
        <v>135</v>
      </c>
      <c r="J95" s="168" t="str">
        <f>_xlfn.XLOOKUP(Table32[[#This Row],[Item]],Table13[Decription],Table13[Article])</f>
        <v>Other Supplies</v>
      </c>
      <c r="K95" s="43"/>
      <c r="L95" s="43"/>
    </row>
    <row r="96" spans="1:12" s="36" customFormat="1" ht="10.5">
      <c r="A96" s="172" t="s">
        <v>263</v>
      </c>
      <c r="B96" s="179"/>
      <c r="C96" s="180"/>
      <c r="D96" s="175" t="s">
        <v>71</v>
      </c>
      <c r="E96" s="176" t="str">
        <f>_xlfn.XLOOKUP(Table32[[#This Row],[Item]],Table13[Decription],Table13[Unit])</f>
        <v>roll</v>
      </c>
      <c r="F96" s="176">
        <v>12</v>
      </c>
      <c r="G96" s="176">
        <f>_xlfn.XLOOKUP(Table32[[#This Row],[Item]],Table13[Decription],Table13[Unit Cost])</f>
        <v>28.75</v>
      </c>
      <c r="H96" s="177">
        <f>Table32[[#This Row],[Unit Cost]]*Table32[[#This Row],[Quantity Issued]]</f>
        <v>345</v>
      </c>
      <c r="I96" s="178">
        <f>_xlfn.XLOOKUP(Table32[[#This Row],[Item]],Table13[Decription],Table13[February 2025 - Balance Qty])</f>
        <v>95</v>
      </c>
      <c r="J96" s="167" t="str">
        <f>_xlfn.XLOOKUP(Table32[[#This Row],[Item]],Table13[Decription],Table13[Article])</f>
        <v>Other Supplies</v>
      </c>
      <c r="K96" s="43"/>
      <c r="L96" s="43"/>
    </row>
    <row r="97" spans="1:12" s="36" customFormat="1" ht="10.5">
      <c r="A97" s="172" t="s">
        <v>265</v>
      </c>
      <c r="B97" s="179"/>
      <c r="C97" s="180"/>
      <c r="D97" s="175" t="s">
        <v>171</v>
      </c>
      <c r="E97" s="176" t="str">
        <f>_xlfn.XLOOKUP(Table32[[#This Row],[Item]],Table13[Decription],Table13[Unit])</f>
        <v>bottle</v>
      </c>
      <c r="F97" s="176">
        <v>1</v>
      </c>
      <c r="G97" s="176">
        <f>_xlfn.XLOOKUP(Table32[[#This Row],[Item]],Table13[Decription],Table13[Unit Cost])</f>
        <v>395</v>
      </c>
      <c r="H97" s="177">
        <f>Table32[[#This Row],[Unit Cost]]*Table32[[#This Row],[Quantity Issued]]</f>
        <v>395</v>
      </c>
      <c r="I97" s="178">
        <f>_xlfn.XLOOKUP(Table32[[#This Row],[Item]],Table13[Decription],Table13[February 2025 - Balance Qty])</f>
        <v>5</v>
      </c>
      <c r="J97" s="168" t="str">
        <f>_xlfn.XLOOKUP(Table32[[#This Row],[Item]],Table13[Decription],Table13[Article])</f>
        <v>Other Supplies</v>
      </c>
      <c r="K97" s="43"/>
      <c r="L97" s="43"/>
    </row>
    <row r="98" spans="1:12" s="36" customFormat="1" ht="10" customHeight="1">
      <c r="A98" s="172" t="s">
        <v>265</v>
      </c>
      <c r="B98" s="179"/>
      <c r="C98" s="180"/>
      <c r="D98" s="175" t="s">
        <v>184</v>
      </c>
      <c r="E98" s="176" t="str">
        <f>_xlfn.XLOOKUP(Table32[[#This Row],[Item]],Table13[Decription],Table13[Unit])</f>
        <v>piece</v>
      </c>
      <c r="F98" s="176">
        <v>50</v>
      </c>
      <c r="G98" s="176">
        <f>_xlfn.XLOOKUP(Table32[[#This Row],[Item]],Table13[Decription],Table13[Unit Cost])</f>
        <v>2.8250149200000001</v>
      </c>
      <c r="H98" s="177">
        <f>Table32[[#This Row],[Unit Cost]]*Table32[[#This Row],[Quantity Issued]]</f>
        <v>141.25074599999999</v>
      </c>
      <c r="I98" s="178">
        <f>_xlfn.XLOOKUP(Table32[[#This Row],[Item]],Table13[Decription],Table13[February 2025 - Balance Qty])</f>
        <v>235</v>
      </c>
      <c r="J98" s="168" t="str">
        <f>_xlfn.XLOOKUP(Table32[[#This Row],[Item]],Table13[Decription],Table13[Article])</f>
        <v>Other Supplies</v>
      </c>
      <c r="K98" s="43"/>
      <c r="L98" s="43"/>
    </row>
    <row r="99" spans="1:12" s="36" customFormat="1" ht="10.5">
      <c r="A99" s="172" t="s">
        <v>265</v>
      </c>
      <c r="B99" s="179"/>
      <c r="C99" s="180"/>
      <c r="D99" s="175" t="s">
        <v>71</v>
      </c>
      <c r="E99" s="176" t="str">
        <f>_xlfn.XLOOKUP(Table32[[#This Row],[Item]],Table13[Decription],Table13[Unit])</f>
        <v>roll</v>
      </c>
      <c r="F99" s="176">
        <v>7</v>
      </c>
      <c r="G99" s="176">
        <f>_xlfn.XLOOKUP(Table32[[#This Row],[Item]],Table13[Decription],Table13[Unit Cost])</f>
        <v>28.75</v>
      </c>
      <c r="H99" s="177">
        <f>Table32[[#This Row],[Unit Cost]]*Table32[[#This Row],[Quantity Issued]]</f>
        <v>201.25</v>
      </c>
      <c r="I99" s="178">
        <f>_xlfn.XLOOKUP(Table32[[#This Row],[Item]],Table13[Decription],Table13[February 2025 - Balance Qty])</f>
        <v>95</v>
      </c>
      <c r="J99" s="168" t="str">
        <f>_xlfn.XLOOKUP(Table32[[#This Row],[Item]],Table13[Decription],Table13[Article])</f>
        <v>Other Supplies</v>
      </c>
      <c r="K99" s="43"/>
      <c r="L99" s="43"/>
    </row>
    <row r="100" spans="1:12" s="36" customFormat="1" ht="10.5">
      <c r="A100" s="172" t="s">
        <v>265</v>
      </c>
      <c r="B100" s="179"/>
      <c r="C100" s="180"/>
      <c r="D100" s="175" t="s">
        <v>74</v>
      </c>
      <c r="E100" s="176" t="str">
        <f>_xlfn.XLOOKUP(Table32[[#This Row],[Item]],Table13[Decription],Table13[Unit])</f>
        <v>pack</v>
      </c>
      <c r="F100" s="176">
        <v>5</v>
      </c>
      <c r="G100" s="176">
        <f>_xlfn.XLOOKUP(Table32[[#This Row],[Item]],Table13[Decription],Table13[Unit Cost])</f>
        <v>30</v>
      </c>
      <c r="H100" s="177">
        <f>Table32[[#This Row],[Unit Cost]]*Table32[[#This Row],[Quantity Issued]]</f>
        <v>150</v>
      </c>
      <c r="I100" s="185">
        <f>_xlfn.XLOOKUP(Table32[[#This Row],[Item]],Table13[Decription],Table13[February 2025 - Balance Qty])</f>
        <v>20</v>
      </c>
      <c r="J100" s="168" t="str">
        <f>_xlfn.XLOOKUP(Table32[[#This Row],[Item]],Table13[Decription],Table13[Article])</f>
        <v>Other Supplies</v>
      </c>
      <c r="K100" s="43"/>
      <c r="L100" s="43"/>
    </row>
    <row r="101" spans="1:12" s="36" customFormat="1" ht="10.5">
      <c r="A101" s="172" t="s">
        <v>265</v>
      </c>
      <c r="B101" s="179"/>
      <c r="C101" s="180"/>
      <c r="D101" s="175" t="s">
        <v>75</v>
      </c>
      <c r="E101" s="176" t="str">
        <f>_xlfn.XLOOKUP(Table32[[#This Row],[Item]],Table13[Decription],Table13[Unit])</f>
        <v>piece</v>
      </c>
      <c r="F101" s="176">
        <v>2</v>
      </c>
      <c r="G101" s="176">
        <f>_xlfn.XLOOKUP(Table32[[#This Row],[Item]],Table13[Decription],Table13[Unit Cost])</f>
        <v>90.07</v>
      </c>
      <c r="H101" s="177">
        <f>Table32[[#This Row],[Unit Cost]]*Table32[[#This Row],[Quantity Issued]]</f>
        <v>180.14</v>
      </c>
      <c r="I101" s="185">
        <f>_xlfn.XLOOKUP(Table32[[#This Row],[Item]],Table13[Decription],Table13[February 2025 - Balance Qty])</f>
        <v>14</v>
      </c>
      <c r="J101" s="168" t="str">
        <f>_xlfn.XLOOKUP(Table32[[#This Row],[Item]],Table13[Decription],Table13[Article])</f>
        <v>Other Supplies</v>
      </c>
      <c r="K101" s="43"/>
      <c r="L101" s="43"/>
    </row>
    <row r="102" spans="1:12" s="36" customFormat="1" ht="10.5">
      <c r="A102" s="172" t="s">
        <v>265</v>
      </c>
      <c r="B102" s="179"/>
      <c r="C102" s="180"/>
      <c r="D102" s="175" t="s">
        <v>173</v>
      </c>
      <c r="E102" s="176" t="str">
        <f>_xlfn.XLOOKUP(Table32[[#This Row],[Item]],Table13[Decription],Table13[Unit])</f>
        <v>box</v>
      </c>
      <c r="F102" s="176">
        <v>2</v>
      </c>
      <c r="G102" s="176">
        <f>_xlfn.XLOOKUP(Table32[[#This Row],[Item]],Table13[Decription],Table13[Unit Cost])</f>
        <v>238</v>
      </c>
      <c r="H102" s="177">
        <f>Table32[[#This Row],[Unit Cost]]*Table32[[#This Row],[Quantity Issued]]</f>
        <v>476</v>
      </c>
      <c r="I102" s="185">
        <f>_xlfn.XLOOKUP(Table32[[#This Row],[Item]],Table13[Decription],Table13[February 2025 - Balance Qty])</f>
        <v>6</v>
      </c>
      <c r="J102" s="168" t="str">
        <f>_xlfn.XLOOKUP(Table32[[#This Row],[Item]],Table13[Decription],Table13[Article])</f>
        <v>Other Supplies</v>
      </c>
      <c r="K102" s="43"/>
      <c r="L102" s="43"/>
    </row>
    <row r="103" spans="1:12" s="36" customFormat="1" ht="10.5">
      <c r="A103" s="172" t="s">
        <v>267</v>
      </c>
      <c r="B103" s="179"/>
      <c r="C103" s="180"/>
      <c r="D103" s="175" t="s">
        <v>192</v>
      </c>
      <c r="E103" s="176" t="str">
        <f>_xlfn.XLOOKUP(Table32[[#This Row],[Item]],Table13[Decription],Table13[Unit])</f>
        <v>piece</v>
      </c>
      <c r="F103" s="176">
        <v>3</v>
      </c>
      <c r="G103" s="176">
        <f>_xlfn.XLOOKUP(Table32[[#This Row],[Item]],Table13[Decription],Table13[Unit Cost])</f>
        <v>442.90907970000364</v>
      </c>
      <c r="H103" s="177">
        <f>Table32[[#This Row],[Unit Cost]]*Table32[[#This Row],[Quantity Issued]]</f>
        <v>1328.727239100011</v>
      </c>
      <c r="I103" s="185">
        <f>_xlfn.XLOOKUP(Table32[[#This Row],[Item]],Table13[Decription],Table13[February 2025 - Balance Qty])</f>
        <v>0</v>
      </c>
      <c r="J103" s="168" t="str">
        <f>_xlfn.XLOOKUP(Table32[[#This Row],[Item]],Table13[Decription],Table13[Article])</f>
        <v>Other Supplies</v>
      </c>
      <c r="K103" s="43"/>
      <c r="L103" s="43"/>
    </row>
    <row r="104" spans="1:12" s="36" customFormat="1" ht="10.5">
      <c r="A104" s="172" t="s">
        <v>267</v>
      </c>
      <c r="B104" s="179"/>
      <c r="C104" s="180"/>
      <c r="D104" s="175" t="s">
        <v>191</v>
      </c>
      <c r="E104" s="176" t="str">
        <f>_xlfn.XLOOKUP(Table32[[#This Row],[Item]],Table13[Decription],Table13[Unit])</f>
        <v>piece</v>
      </c>
      <c r="F104" s="176">
        <v>1</v>
      </c>
      <c r="G104" s="176">
        <f>_xlfn.XLOOKUP(Table32[[#This Row],[Item]],Table13[Decription],Table13[Unit Cost])</f>
        <v>311</v>
      </c>
      <c r="H104" s="177">
        <f>Table32[[#This Row],[Unit Cost]]*Table32[[#This Row],[Quantity Issued]]</f>
        <v>311</v>
      </c>
      <c r="I104" s="185">
        <f>_xlfn.XLOOKUP(Table32[[#This Row],[Item]],Table13[Decription],Table13[February 2025 - Balance Qty])</f>
        <v>2</v>
      </c>
      <c r="J104" s="168" t="str">
        <f>_xlfn.XLOOKUP(Table32[[#This Row],[Item]],Table13[Decription],Table13[Article])</f>
        <v>Other Supplies</v>
      </c>
      <c r="K104" s="43"/>
      <c r="L104" s="43"/>
    </row>
    <row r="105" spans="1:12" s="36" customFormat="1" ht="10.5">
      <c r="A105" s="172" t="s">
        <v>267</v>
      </c>
      <c r="B105" s="179"/>
      <c r="C105" s="180"/>
      <c r="D105" s="175" t="s">
        <v>164</v>
      </c>
      <c r="E105" s="176" t="str">
        <f>_xlfn.XLOOKUP(Table32[[#This Row],[Item]],Table13[Decription],Table13[Unit])</f>
        <v>can</v>
      </c>
      <c r="F105" s="176">
        <v>3</v>
      </c>
      <c r="G105" s="176">
        <f>_xlfn.XLOOKUP(Table32[[#This Row],[Item]],Table13[Decription],Table13[Unit Cost])</f>
        <v>289.68</v>
      </c>
      <c r="H105" s="177">
        <f>Table32[[#This Row],[Unit Cost]]*Table32[[#This Row],[Quantity Issued]]</f>
        <v>869.04</v>
      </c>
      <c r="I105" s="185">
        <f>_xlfn.XLOOKUP(Table32[[#This Row],[Item]],Table13[Decription],Table13[February 2025 - Balance Qty])</f>
        <v>5</v>
      </c>
      <c r="J105" s="168" t="str">
        <f>_xlfn.XLOOKUP(Table32[[#This Row],[Item]],Table13[Decription],Table13[Article])</f>
        <v>Other Supplies</v>
      </c>
      <c r="K105" s="43"/>
      <c r="L105" s="43"/>
    </row>
    <row r="106" spans="1:12" s="36" customFormat="1" ht="21">
      <c r="A106" s="172" t="s">
        <v>267</v>
      </c>
      <c r="B106" s="179"/>
      <c r="C106" s="180"/>
      <c r="D106" s="175" t="s">
        <v>73</v>
      </c>
      <c r="E106" s="176" t="str">
        <f>_xlfn.XLOOKUP(Table32[[#This Row],[Item]],Table13[Decription],Table13[Unit])</f>
        <v>pack</v>
      </c>
      <c r="F106" s="176">
        <v>7</v>
      </c>
      <c r="G106" s="176">
        <f>_xlfn.XLOOKUP(Table32[[#This Row],[Item]],Table13[Decription],Table13[Unit Cost])</f>
        <v>25</v>
      </c>
      <c r="H106" s="177">
        <f>Table32[[#This Row],[Unit Cost]]*Table32[[#This Row],[Quantity Issued]]</f>
        <v>175</v>
      </c>
      <c r="I106" s="185">
        <f>_xlfn.XLOOKUP(Table32[[#This Row],[Item]],Table13[Decription],Table13[February 2025 - Balance Qty])</f>
        <v>17</v>
      </c>
      <c r="J106" s="168" t="str">
        <f>_xlfn.XLOOKUP(Table32[[#This Row],[Item]],Table13[Decription],Table13[Article])</f>
        <v>Other Supplies</v>
      </c>
      <c r="K106" s="43"/>
      <c r="L106" s="43"/>
    </row>
    <row r="107" spans="1:12" s="36" customFormat="1" ht="10.5">
      <c r="A107" s="172" t="s">
        <v>267</v>
      </c>
      <c r="B107" s="179"/>
      <c r="C107" s="180"/>
      <c r="D107" s="175" t="s">
        <v>181</v>
      </c>
      <c r="E107" s="176" t="str">
        <f>_xlfn.XLOOKUP(Table32[[#This Row],[Item]],Table13[Decription],Table13[Unit])</f>
        <v>bottle</v>
      </c>
      <c r="F107" s="176">
        <v>2</v>
      </c>
      <c r="G107" s="176">
        <f>_xlfn.XLOOKUP(Table32[[#This Row],[Item]],Table13[Decription],Table13[Unit Cost])</f>
        <v>310</v>
      </c>
      <c r="H107" s="177">
        <f>Table32[[#This Row],[Unit Cost]]*Table32[[#This Row],[Quantity Issued]]</f>
        <v>620</v>
      </c>
      <c r="I107" s="185">
        <f>_xlfn.XLOOKUP(Table32[[#This Row],[Item]],Table13[Decription],Table13[February 2025 - Balance Qty])</f>
        <v>5</v>
      </c>
      <c r="J107" s="168" t="str">
        <f>_xlfn.XLOOKUP(Table32[[#This Row],[Item]],Table13[Decription],Table13[Article])</f>
        <v>Other Supplies</v>
      </c>
      <c r="K107" s="43"/>
      <c r="L107" s="43"/>
    </row>
    <row r="108" spans="1:12" s="36" customFormat="1" ht="10.5">
      <c r="A108" s="193" t="s">
        <v>267</v>
      </c>
      <c r="B108" s="186"/>
      <c r="C108" s="187"/>
      <c r="D108" s="188" t="s">
        <v>166</v>
      </c>
      <c r="E108" s="189" t="str">
        <f>_xlfn.XLOOKUP(Table32[[#This Row],[Item]],Table13[Decription],Table13[Unit])</f>
        <v>can</v>
      </c>
      <c r="F108" s="189">
        <v>3</v>
      </c>
      <c r="G108" s="189">
        <f>_xlfn.XLOOKUP(Table32[[#This Row],[Item]],Table13[Decription],Table13[Unit Cost])</f>
        <v>572.76</v>
      </c>
      <c r="H108" s="190">
        <f>Table32[[#This Row],[Unit Cost]]*Table32[[#This Row],[Quantity Issued]]</f>
        <v>1718.28</v>
      </c>
      <c r="I108" s="191">
        <f>_xlfn.XLOOKUP(Table32[[#This Row],[Item]],Table13[Decription],Table13[February 2025 - Balance Qty])</f>
        <v>8</v>
      </c>
      <c r="J108" s="168" t="str">
        <f>_xlfn.XLOOKUP(Table32[[#This Row],[Item]],Table13[Decription],Table13[Article])</f>
        <v>Other Supplies</v>
      </c>
      <c r="K108" s="43"/>
      <c r="L108" s="43"/>
    </row>
    <row r="109" spans="1:12">
      <c r="I109" s="43"/>
      <c r="J109" s="43"/>
      <c r="K109" s="43"/>
      <c r="L109" s="43"/>
    </row>
    <row r="110" spans="1:12">
      <c r="I110" s="43"/>
      <c r="J110" s="43"/>
      <c r="K110" s="43"/>
      <c r="L110" s="43"/>
    </row>
    <row r="111" spans="1:12">
      <c r="I111" s="43"/>
      <c r="J111" s="43"/>
      <c r="K111" s="43"/>
      <c r="L111" s="43"/>
    </row>
    <row r="112" spans="1:12">
      <c r="I112" s="43"/>
      <c r="J112" s="43"/>
      <c r="K112" s="43"/>
      <c r="L112" s="43"/>
    </row>
    <row r="113" spans="9:12">
      <c r="I113" s="43"/>
      <c r="J113" s="43"/>
      <c r="K113" s="43"/>
      <c r="L113" s="43"/>
    </row>
    <row r="114" spans="9:12">
      <c r="I114" s="43"/>
      <c r="J114" s="43"/>
      <c r="K114" s="43"/>
      <c r="L114" s="43"/>
    </row>
    <row r="115" spans="9:12">
      <c r="I115" s="43"/>
      <c r="J115" s="43"/>
      <c r="K115" s="43"/>
      <c r="L115" s="43"/>
    </row>
    <row r="116" spans="9:12">
      <c r="I116" s="43"/>
      <c r="J116" s="43"/>
      <c r="K116" s="43"/>
      <c r="L116" s="43"/>
    </row>
    <row r="117" spans="9:12">
      <c r="I117" s="43"/>
      <c r="J117" s="43"/>
      <c r="K117" s="43"/>
      <c r="L117" s="43"/>
    </row>
    <row r="118" spans="9:12">
      <c r="I118" s="43"/>
      <c r="J118" s="43"/>
      <c r="K118" s="43"/>
      <c r="L118" s="43"/>
    </row>
    <row r="119" spans="9:12">
      <c r="I119" s="43"/>
      <c r="J119" s="43"/>
      <c r="K119" s="43"/>
      <c r="L119" s="43"/>
    </row>
    <row r="120" spans="9:12">
      <c r="I120" s="43"/>
      <c r="J120" s="43"/>
      <c r="K120" s="43"/>
      <c r="L120" s="43"/>
    </row>
    <row r="121" spans="9:12">
      <c r="I121" s="43"/>
      <c r="J121" s="43"/>
      <c r="K121" s="43"/>
      <c r="L121" s="43"/>
    </row>
    <row r="122" spans="9:12">
      <c r="I122" s="43"/>
      <c r="J122" s="43"/>
      <c r="K122" s="43"/>
      <c r="L122" s="43"/>
    </row>
    <row r="123" spans="9:12">
      <c r="I123" s="43"/>
      <c r="J123" s="43"/>
      <c r="K123" s="43"/>
      <c r="L123" s="43"/>
    </row>
  </sheetData>
  <dataConsolidate>
    <dataRefs count="1">
      <dataRef name="$D$2:$D$75,$F$2:$F$75"/>
    </dataRefs>
  </dataConsolidate>
  <phoneticPr fontId="17" type="noConversion"/>
  <pageMargins left="0.12" right="0.12" top="0.12" bottom="0.12" header="0.12" footer="0.12"/>
  <pageSetup paperSize="9" scale="78" orientation="portrait" horizontalDpi="1200" verticalDpi="1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5E27EDC-B454-4232-8153-43924F7AAC02}">
          <x14:formula1>
            <xm:f>'Inventory 2025 - Summary'!$C$6:$C$162</xm:f>
          </x14:formula1>
          <xm:sqref>D2:D108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C1313-DA9B-44E8-A32A-10B818016665}">
  <sheetPr codeName="Sheet7">
    <pageSetUpPr fitToPage="1"/>
  </sheetPr>
  <dimension ref="A1:L209"/>
  <sheetViews>
    <sheetView view="pageBreakPreview" zoomScale="115" zoomScaleNormal="100" zoomScaleSheetLayoutView="115" workbookViewId="0">
      <selection activeCell="H12" sqref="H12"/>
    </sheetView>
  </sheetViews>
  <sheetFormatPr defaultColWidth="8.81640625" defaultRowHeight="14.5"/>
  <cols>
    <col min="1" max="1" width="11.1796875" style="11" bestFit="1" customWidth="1"/>
    <col min="2" max="2" width="19" style="11" bestFit="1" customWidth="1"/>
    <col min="3" max="3" width="10.08984375" style="11" bestFit="1" customWidth="1"/>
    <col min="4" max="4" width="32.1796875" style="11" bestFit="1" customWidth="1"/>
    <col min="5" max="5" width="7.36328125" style="11" bestFit="1" customWidth="1"/>
    <col min="6" max="6" width="13.1796875" style="11" bestFit="1" customWidth="1"/>
    <col min="7" max="7" width="9.90625" style="11" bestFit="1" customWidth="1"/>
    <col min="8" max="8" width="9.1796875" style="11" bestFit="1" customWidth="1"/>
    <col min="9" max="9" width="6.81640625" style="11" bestFit="1" customWidth="1"/>
    <col min="10" max="10" width="10.54296875" style="11" bestFit="1" customWidth="1"/>
    <col min="11" max="11" width="32.453125" style="11" bestFit="1" customWidth="1"/>
    <col min="12" max="12" width="3.90625" style="11" bestFit="1" customWidth="1"/>
    <col min="13" max="16384" width="8.81640625" style="11"/>
  </cols>
  <sheetData>
    <row r="1" spans="1:12" s="20" customFormat="1" ht="8.5">
      <c r="A1" s="169" t="s">
        <v>11</v>
      </c>
      <c r="B1" s="170" t="s">
        <v>12</v>
      </c>
      <c r="C1" s="170" t="s">
        <v>13</v>
      </c>
      <c r="D1" s="170" t="s">
        <v>14</v>
      </c>
      <c r="E1" s="170" t="s">
        <v>15</v>
      </c>
      <c r="F1" s="170" t="s">
        <v>16</v>
      </c>
      <c r="G1" s="170" t="s">
        <v>17</v>
      </c>
      <c r="H1" s="171" t="s">
        <v>18</v>
      </c>
      <c r="I1" s="171" t="s">
        <v>241</v>
      </c>
      <c r="J1" s="170" t="s">
        <v>268</v>
      </c>
    </row>
    <row r="2" spans="1:12" s="58" customFormat="1" ht="10.5" customHeight="1">
      <c r="A2" s="172" t="s">
        <v>276</v>
      </c>
      <c r="B2" s="179"/>
      <c r="C2" s="180"/>
      <c r="D2" s="175" t="s">
        <v>102</v>
      </c>
      <c r="E2" s="176" t="str">
        <f>_xlfn.XLOOKUP(Table3267[[#This Row],[Item]],Table13[Decription],Table13[Unit])</f>
        <v>box</v>
      </c>
      <c r="F2" s="176">
        <v>1</v>
      </c>
      <c r="G2" s="176">
        <f>_xlfn.XLOOKUP(Table3267[[#This Row],[Item]],Table13[Decription],Table13[Unit Cost])</f>
        <v>100</v>
      </c>
      <c r="H2" s="177">
        <f>Table3267[[#This Row],[Unit Cost]]*Table3267[[#This Row],[Quantity Issued]]</f>
        <v>100</v>
      </c>
      <c r="I2" s="185">
        <f>_xlfn.XLOOKUP(Table3267[[#This Row],[Item]],Table13[Decription],Table13[February 2025 - Balance Qty])</f>
        <v>3</v>
      </c>
      <c r="J2" s="168" t="str">
        <f>_xlfn.XLOOKUP(Table3267[[#This Row],[Item]],Table13[Decription],Table13[Article])</f>
        <v>Office Supplies</v>
      </c>
    </row>
    <row r="3" spans="1:12" s="58" customFormat="1" ht="10.5" customHeight="1">
      <c r="A3" s="172" t="s">
        <v>276</v>
      </c>
      <c r="B3" s="173"/>
      <c r="C3" s="174"/>
      <c r="D3" s="175" t="s">
        <v>49</v>
      </c>
      <c r="E3" s="176" t="str">
        <f>_xlfn.XLOOKUP(Table3267[[#This Row],[Item]],Table13[Decription],Table13[Unit])</f>
        <v>box</v>
      </c>
      <c r="F3" s="176">
        <v>1</v>
      </c>
      <c r="G3" s="176">
        <f>_xlfn.XLOOKUP(Table3267[[#This Row],[Item]],Table13[Decription],Table13[Unit Cost])</f>
        <v>47.93</v>
      </c>
      <c r="H3" s="177">
        <f>Table3267[[#This Row],[Unit Cost]]*Table3267[[#This Row],[Quantity Issued]]</f>
        <v>47.93</v>
      </c>
      <c r="I3" s="178">
        <f>_xlfn.XLOOKUP(Table3267[[#This Row],[Item]],Table13[Decription],Table13[February 2025 - Balance Qty])</f>
        <v>8</v>
      </c>
      <c r="J3" s="167" t="str">
        <f>_xlfn.XLOOKUP(Table3267[[#This Row],[Item]],Table13[Decription],Table13[Article])</f>
        <v>Office Supplies</v>
      </c>
    </row>
    <row r="4" spans="1:12" s="58" customFormat="1" ht="10.5" customHeight="1">
      <c r="A4" s="172" t="s">
        <v>276</v>
      </c>
      <c r="B4" s="173"/>
      <c r="C4" s="174"/>
      <c r="D4" s="175" t="s">
        <v>47</v>
      </c>
      <c r="E4" s="176" t="str">
        <f>_xlfn.XLOOKUP(Table3267[[#This Row],[Item]],Table13[Decription],Table13[Unit])</f>
        <v>box</v>
      </c>
      <c r="F4" s="176">
        <v>1</v>
      </c>
      <c r="G4" s="176">
        <f>_xlfn.XLOOKUP(Table3267[[#This Row],[Item]],Table13[Decription],Table13[Unit Cost])</f>
        <v>34.33</v>
      </c>
      <c r="H4" s="177">
        <f>Table3267[[#This Row],[Unit Cost]]*Table3267[[#This Row],[Quantity Issued]]</f>
        <v>34.33</v>
      </c>
      <c r="I4" s="178">
        <f>_xlfn.XLOOKUP(Table3267[[#This Row],[Item]],Table13[Decription],Table13[February 2025 - Balance Qty])</f>
        <v>14</v>
      </c>
      <c r="J4" s="167" t="str">
        <f>_xlfn.XLOOKUP(Table3267[[#This Row],[Item]],Table13[Decription],Table13[Article])</f>
        <v>Office Supplies</v>
      </c>
    </row>
    <row r="5" spans="1:12" s="43" customFormat="1" ht="10.5" customHeight="1">
      <c r="A5" s="172" t="s">
        <v>276</v>
      </c>
      <c r="B5" s="173"/>
      <c r="C5" s="174"/>
      <c r="D5" s="175" t="s">
        <v>109</v>
      </c>
      <c r="E5" s="176" t="str">
        <f>_xlfn.XLOOKUP(Table3267[[#This Row],[Item]],Table13[Decription],Table13[Unit])</f>
        <v>piece</v>
      </c>
      <c r="F5" s="176">
        <v>1</v>
      </c>
      <c r="G5" s="176">
        <f>_xlfn.XLOOKUP(Table3267[[#This Row],[Item]],Table13[Decription],Table13[Unit Cost])</f>
        <v>245</v>
      </c>
      <c r="H5" s="177">
        <f>Table3267[[#This Row],[Unit Cost]]*Table3267[[#This Row],[Quantity Issued]]</f>
        <v>245</v>
      </c>
      <c r="I5" s="178">
        <f>_xlfn.XLOOKUP(Table3267[[#This Row],[Item]],Table13[Decription],Table13[February 2025 - Balance Qty])</f>
        <v>4</v>
      </c>
      <c r="J5" s="167" t="str">
        <f>_xlfn.XLOOKUP(Table3267[[#This Row],[Item]],Table13[Decription],Table13[Article])</f>
        <v>Office Supplies</v>
      </c>
    </row>
    <row r="6" spans="1:12" s="43" customFormat="1" ht="10.5" customHeight="1">
      <c r="A6" s="172" t="s">
        <v>277</v>
      </c>
      <c r="B6" s="179"/>
      <c r="C6" s="180"/>
      <c r="D6" s="175" t="s">
        <v>128</v>
      </c>
      <c r="E6" s="176" t="str">
        <f>_xlfn.XLOOKUP(Table3267[[#This Row],[Item]],Table13[Decription],Table13[Unit])</f>
        <v>ream</v>
      </c>
      <c r="F6" s="176">
        <v>2</v>
      </c>
      <c r="G6" s="176">
        <f>_xlfn.XLOOKUP(Table3267[[#This Row],[Item]],Table13[Decription],Table13[Unit Cost])</f>
        <v>285</v>
      </c>
      <c r="H6" s="177">
        <f>Table3267[[#This Row],[Unit Cost]]*Table3267[[#This Row],[Quantity Issued]]</f>
        <v>570</v>
      </c>
      <c r="I6" s="178">
        <f>_xlfn.XLOOKUP(Table3267[[#This Row],[Item]],Table13[Decription],Table13[February 2025 - Balance Qty])</f>
        <v>3</v>
      </c>
      <c r="J6" s="167" t="str">
        <f>_xlfn.XLOOKUP(Table3267[[#This Row],[Item]],Table13[Decription],Table13[Article])</f>
        <v>Office Supplies</v>
      </c>
    </row>
    <row r="7" spans="1:12" s="43" customFormat="1" ht="10.5" customHeight="1">
      <c r="A7" s="172" t="s">
        <v>278</v>
      </c>
      <c r="B7" s="230"/>
      <c r="C7" s="231"/>
      <c r="D7" s="175" t="s">
        <v>54</v>
      </c>
      <c r="E7" s="232" t="str">
        <f>_xlfn.XLOOKUP(Table3267[[#This Row],[Item]],Table13[Decription],Table13[Unit])</f>
        <v>ream</v>
      </c>
      <c r="F7" s="176">
        <v>1</v>
      </c>
      <c r="G7" s="232">
        <f>_xlfn.XLOOKUP(Table3267[[#This Row],[Item]],Table13[Decription],Table13[Unit Cost])</f>
        <v>325</v>
      </c>
      <c r="H7" s="233">
        <f>Table3267[[#This Row],[Unit Cost]]*Table3267[[#This Row],[Quantity Issued]]</f>
        <v>325</v>
      </c>
      <c r="I7" s="234">
        <f>_xlfn.XLOOKUP(Table3267[[#This Row],[Item]],Table13[Decription],Table13[February 2025 - Balance Qty])</f>
        <v>1</v>
      </c>
      <c r="J7" s="293" t="str">
        <f>_xlfn.XLOOKUP(Table3267[[#This Row],[Item]],Table13[Decription],Table13[Article])</f>
        <v>Office Supplies</v>
      </c>
    </row>
    <row r="8" spans="1:12" s="43" customFormat="1" ht="10.5" customHeight="1">
      <c r="A8" s="172" t="s">
        <v>278</v>
      </c>
      <c r="B8" s="179"/>
      <c r="C8" s="180"/>
      <c r="D8" s="175" t="s">
        <v>51</v>
      </c>
      <c r="E8" s="176" t="str">
        <f>_xlfn.XLOOKUP(Table3267[[#This Row],[Item]],Table13[Decription],Table13[Unit])</f>
        <v>ream</v>
      </c>
      <c r="F8" s="176">
        <v>2</v>
      </c>
      <c r="G8" s="176">
        <f>_xlfn.XLOOKUP(Table3267[[#This Row],[Item]],Table13[Decription],Table13[Unit Cost])</f>
        <v>340.17</v>
      </c>
      <c r="H8" s="177">
        <f>Table3267[[#This Row],[Unit Cost]]*Table3267[[#This Row],[Quantity Issued]]</f>
        <v>680.34</v>
      </c>
      <c r="I8" s="178">
        <f>_xlfn.XLOOKUP(Table3267[[#This Row],[Item]],Table13[Decription],Table13[February 2025 - Balance Qty])</f>
        <v>10</v>
      </c>
      <c r="J8" s="168" t="str">
        <f>_xlfn.XLOOKUP(Table3267[[#This Row],[Item]],Table13[Decription],Table13[Article])</f>
        <v>Office Supplies</v>
      </c>
    </row>
    <row r="9" spans="1:12" s="43" customFormat="1" ht="10.5" customHeight="1">
      <c r="A9" s="172" t="s">
        <v>278</v>
      </c>
      <c r="B9" s="179"/>
      <c r="C9" s="180"/>
      <c r="D9" s="175" t="s">
        <v>51</v>
      </c>
      <c r="E9" s="176" t="str">
        <f>_xlfn.XLOOKUP(Table3267[[#This Row],[Item]],Table13[Decription],Table13[Unit])</f>
        <v>ream</v>
      </c>
      <c r="F9" s="176">
        <v>1</v>
      </c>
      <c r="G9" s="176">
        <f>_xlfn.XLOOKUP(Table3267[[#This Row],[Item]],Table13[Decription],Table13[Unit Cost])</f>
        <v>340.17</v>
      </c>
      <c r="H9" s="177">
        <f>Table3267[[#This Row],[Unit Cost]]*Table3267[[#This Row],[Quantity Issued]]</f>
        <v>340.17</v>
      </c>
      <c r="I9" s="178">
        <f>_xlfn.XLOOKUP(Table3267[[#This Row],[Item]],Table13[Decription],Table13[February 2025 - Balance Qty])</f>
        <v>10</v>
      </c>
      <c r="J9" s="168" t="str">
        <f>_xlfn.XLOOKUP(Table3267[[#This Row],[Item]],Table13[Decription],Table13[Article])</f>
        <v>Office Supplies</v>
      </c>
    </row>
    <row r="10" spans="1:12" s="43" customFormat="1" ht="10.5" customHeight="1">
      <c r="A10" s="172" t="s">
        <v>278</v>
      </c>
      <c r="B10" s="179"/>
      <c r="C10" s="180"/>
      <c r="D10" s="175" t="s">
        <v>281</v>
      </c>
      <c r="E10" s="176" t="str">
        <f>_xlfn.XLOOKUP(Table3267[[#This Row],[Item]],Table13[Decription],Table13[Unit])</f>
        <v>piece</v>
      </c>
      <c r="F10" s="176">
        <v>1</v>
      </c>
      <c r="G10" s="176">
        <f>_xlfn.XLOOKUP(Table3267[[#This Row],[Item]],Table13[Decription],Table13[Unit Cost])</f>
        <v>110</v>
      </c>
      <c r="H10" s="177">
        <f>Table3267[[#This Row],[Unit Cost]]*Table3267[[#This Row],[Quantity Issued]]</f>
        <v>110</v>
      </c>
      <c r="I10" s="178">
        <f>_xlfn.XLOOKUP(Table3267[[#This Row],[Item]],Table13[Decription],Table13[February 2025 - Balance Qty])</f>
        <v>30</v>
      </c>
      <c r="J10" s="168" t="str">
        <f>_xlfn.XLOOKUP(Table3267[[#This Row],[Item]],Table13[Decription],Table13[Article])</f>
        <v>Office Supplies</v>
      </c>
    </row>
    <row r="11" spans="1:12" s="43" customFormat="1" ht="10.5" customHeight="1">
      <c r="A11" s="172" t="s">
        <v>282</v>
      </c>
      <c r="B11" s="179"/>
      <c r="C11" s="180"/>
      <c r="D11" s="175" t="s">
        <v>56</v>
      </c>
      <c r="E11" s="176" t="str">
        <f>_xlfn.XLOOKUP(Table3267[[#This Row],[Item]],Table13[Decription],Table13[Unit])</f>
        <v>bottle</v>
      </c>
      <c r="F11" s="176">
        <v>1</v>
      </c>
      <c r="G11" s="176">
        <f>_xlfn.XLOOKUP(Table3267[[#This Row],[Item]],Table13[Decription],Table13[Unit Cost])</f>
        <v>375</v>
      </c>
      <c r="H11" s="177">
        <f>Table3267[[#This Row],[Unit Cost]]*Table3267[[#This Row],[Quantity Issued]]</f>
        <v>375</v>
      </c>
      <c r="I11" s="178">
        <f>_xlfn.XLOOKUP(Table3267[[#This Row],[Item]],Table13[Decription],Table13[February 2025 - Balance Qty])</f>
        <v>3</v>
      </c>
      <c r="J11" s="168" t="str">
        <f>_xlfn.XLOOKUP(Table3267[[#This Row],[Item]],Table13[Decription],Table13[Article])</f>
        <v>Office Supplies</v>
      </c>
    </row>
    <row r="12" spans="1:12" s="43" customFormat="1" ht="10.5" customHeight="1">
      <c r="A12" s="172" t="s">
        <v>282</v>
      </c>
      <c r="B12" s="179"/>
      <c r="C12" s="180"/>
      <c r="D12" s="175" t="s">
        <v>57</v>
      </c>
      <c r="E12" s="176" t="str">
        <f>_xlfn.XLOOKUP(Table3267[[#This Row],[Item]],Table13[Decription],Table13[Unit])</f>
        <v>bottle</v>
      </c>
      <c r="F12" s="176">
        <v>1</v>
      </c>
      <c r="G12" s="176">
        <f>_xlfn.XLOOKUP(Table3267[[#This Row],[Item]],Table13[Decription],Table13[Unit Cost])</f>
        <v>385</v>
      </c>
      <c r="H12" s="177">
        <f>Table3267[[#This Row],[Unit Cost]]*Table3267[[#This Row],[Quantity Issued]]</f>
        <v>385</v>
      </c>
      <c r="I12" s="178">
        <f>_xlfn.XLOOKUP(Table3267[[#This Row],[Item]],Table13[Decription],Table13[February 2025 - Balance Qty])</f>
        <v>2</v>
      </c>
      <c r="J12" s="168" t="str">
        <f>_xlfn.XLOOKUP(Table3267[[#This Row],[Item]],Table13[Decription],Table13[Article])</f>
        <v>Office Supplies</v>
      </c>
    </row>
    <row r="13" spans="1:12" s="43" customFormat="1" ht="10.5" customHeight="1">
      <c r="A13" s="172" t="s">
        <v>282</v>
      </c>
      <c r="B13" s="179"/>
      <c r="C13" s="180"/>
      <c r="D13" s="175" t="s">
        <v>58</v>
      </c>
      <c r="E13" s="176" t="str">
        <f>_xlfn.XLOOKUP(Table3267[[#This Row],[Item]],Table13[Decription],Table13[Unit])</f>
        <v>bottle</v>
      </c>
      <c r="F13" s="176">
        <v>1</v>
      </c>
      <c r="G13" s="176">
        <f>_xlfn.XLOOKUP(Table3267[[#This Row],[Item]],Table13[Decription],Table13[Unit Cost])</f>
        <v>385</v>
      </c>
      <c r="H13" s="177">
        <f>Table3267[[#This Row],[Unit Cost]]*Table3267[[#This Row],[Quantity Issued]]</f>
        <v>385</v>
      </c>
      <c r="I13" s="178">
        <f>_xlfn.XLOOKUP(Table3267[[#This Row],[Item]],Table13[Decription],Table13[February 2025 - Balance Qty])</f>
        <v>1</v>
      </c>
      <c r="J13" s="168" t="str">
        <f>_xlfn.XLOOKUP(Table3267[[#This Row],[Item]],Table13[Decription],Table13[Article])</f>
        <v>Office Supplies</v>
      </c>
    </row>
    <row r="14" spans="1:12" s="43" customFormat="1" ht="10.5" customHeight="1">
      <c r="A14" s="172" t="s">
        <v>282</v>
      </c>
      <c r="B14" s="179"/>
      <c r="C14" s="180"/>
      <c r="D14" s="175" t="s">
        <v>59</v>
      </c>
      <c r="E14" s="176" t="str">
        <f>_xlfn.XLOOKUP(Table3267[[#This Row],[Item]],Table13[Decription],Table13[Unit])</f>
        <v>bottle</v>
      </c>
      <c r="F14" s="176">
        <v>1</v>
      </c>
      <c r="G14" s="176">
        <f>_xlfn.XLOOKUP(Table3267[[#This Row],[Item]],Table13[Decription],Table13[Unit Cost])</f>
        <v>385</v>
      </c>
      <c r="H14" s="177">
        <f>Table3267[[#This Row],[Unit Cost]]*Table3267[[#This Row],[Quantity Issued]]</f>
        <v>385</v>
      </c>
      <c r="I14" s="178">
        <f>_xlfn.XLOOKUP(Table3267[[#This Row],[Item]],Table13[Decription],Table13[February 2025 - Balance Qty])</f>
        <v>2</v>
      </c>
      <c r="J14" s="168" t="str">
        <f>_xlfn.XLOOKUP(Table3267[[#This Row],[Item]],Table13[Decription],Table13[Article])</f>
        <v>Office Supplies</v>
      </c>
      <c r="K14" s="58"/>
      <c r="L14" s="58"/>
    </row>
    <row r="15" spans="1:12" s="43" customFormat="1" ht="10.5" customHeight="1">
      <c r="A15" s="172" t="s">
        <v>283</v>
      </c>
      <c r="B15" s="179"/>
      <c r="C15" s="180"/>
      <c r="D15" s="175" t="s">
        <v>51</v>
      </c>
      <c r="E15" s="176" t="str">
        <f>_xlfn.XLOOKUP(Table3267[[#This Row],[Item]],Table13[Decription],Table13[Unit])</f>
        <v>ream</v>
      </c>
      <c r="F15" s="176">
        <v>1</v>
      </c>
      <c r="G15" s="176">
        <f>_xlfn.XLOOKUP(Table3267[[#This Row],[Item]],Table13[Decription],Table13[Unit Cost])</f>
        <v>340.17</v>
      </c>
      <c r="H15" s="177">
        <f>Table3267[[#This Row],[Unit Cost]]*Table3267[[#This Row],[Quantity Issued]]</f>
        <v>340.17</v>
      </c>
      <c r="I15" s="178">
        <f>_xlfn.XLOOKUP(Table3267[[#This Row],[Item]],Table13[Decription],Table13[February 2025 - Balance Qty])</f>
        <v>10</v>
      </c>
      <c r="J15" s="168" t="str">
        <f>_xlfn.XLOOKUP(Table3267[[#This Row],[Item]],Table13[Decription],Table13[Article])</f>
        <v>Office Supplies</v>
      </c>
      <c r="K15" s="58"/>
      <c r="L15" s="58"/>
    </row>
    <row r="16" spans="1:12" s="43" customFormat="1" ht="10.5" customHeight="1">
      <c r="A16" s="172" t="s">
        <v>283</v>
      </c>
      <c r="B16" s="179"/>
      <c r="C16" s="180"/>
      <c r="D16" s="175" t="s">
        <v>159</v>
      </c>
      <c r="E16" s="176" t="str">
        <f>_xlfn.XLOOKUP(Table3267[[#This Row],[Item]],Table13[Decription],Table13[Unit])</f>
        <v xml:space="preserve">piece </v>
      </c>
      <c r="F16" s="176">
        <v>2</v>
      </c>
      <c r="G16" s="176">
        <f>_xlfn.XLOOKUP(Table3267[[#This Row],[Item]],Table13[Decription],Table13[Unit Cost])</f>
        <v>44</v>
      </c>
      <c r="H16" s="177">
        <f>Table3267[[#This Row],[Unit Cost]]*Table3267[[#This Row],[Quantity Issued]]</f>
        <v>88</v>
      </c>
      <c r="I16" s="178">
        <f>_xlfn.XLOOKUP(Table3267[[#This Row],[Item]],Table13[Decription],Table13[February 2025 - Balance Qty])</f>
        <v>12</v>
      </c>
      <c r="J16" s="168" t="str">
        <f>_xlfn.XLOOKUP(Table3267[[#This Row],[Item]],Table13[Decription],Table13[Article])</f>
        <v>Office Supplies</v>
      </c>
    </row>
    <row r="17" spans="1:10" s="43" customFormat="1" ht="10.5" customHeight="1">
      <c r="A17" s="172" t="s">
        <v>283</v>
      </c>
      <c r="B17" s="179"/>
      <c r="C17" s="180"/>
      <c r="D17" s="175" t="s">
        <v>155</v>
      </c>
      <c r="E17" s="176" t="str">
        <f>_xlfn.XLOOKUP(Table3267[[#This Row],[Item]],Table13[Decription],Table13[Unit])</f>
        <v>bottle</v>
      </c>
      <c r="F17" s="176">
        <v>2</v>
      </c>
      <c r="G17" s="176">
        <f>_xlfn.XLOOKUP(Table3267[[#This Row],[Item]],Table13[Decription],Table13[Unit Cost])</f>
        <v>65</v>
      </c>
      <c r="H17" s="177">
        <f>Table3267[[#This Row],[Unit Cost]]*Table3267[[#This Row],[Quantity Issued]]</f>
        <v>130</v>
      </c>
      <c r="I17" s="178">
        <f>_xlfn.XLOOKUP(Table3267[[#This Row],[Item]],Table13[Decription],Table13[February 2025 - Balance Qty])</f>
        <v>10</v>
      </c>
      <c r="J17" s="168" t="str">
        <f>_xlfn.XLOOKUP(Table3267[[#This Row],[Item]],Table13[Decription],Table13[Article])</f>
        <v>Office Supplies</v>
      </c>
    </row>
    <row r="18" spans="1:10" s="43" customFormat="1" ht="10.5" customHeight="1">
      <c r="A18" s="172" t="s">
        <v>284</v>
      </c>
      <c r="B18" s="173"/>
      <c r="C18" s="173"/>
      <c r="D18" s="175" t="s">
        <v>161</v>
      </c>
      <c r="E18" s="176" t="str">
        <f>_xlfn.XLOOKUP(Table3267[[#This Row],[Item]],Table13[Decription],Table13[Unit])</f>
        <v>piece</v>
      </c>
      <c r="F18" s="176">
        <v>2</v>
      </c>
      <c r="G18" s="176">
        <f>_xlfn.XLOOKUP(Table3267[[#This Row],[Item]],Table13[Decription],Table13[Unit Cost])</f>
        <v>80.540000000000006</v>
      </c>
      <c r="H18" s="177">
        <f>Table3267[[#This Row],[Unit Cost]]*Table3267[[#This Row],[Quantity Issued]]</f>
        <v>161.08000000000001</v>
      </c>
      <c r="I18" s="178">
        <f>_xlfn.XLOOKUP(Table3267[[#This Row],[Item]],Table13[Decription],Table13[February 2025 - Balance Qty])</f>
        <v>64</v>
      </c>
      <c r="J18" s="168" t="str">
        <f>_xlfn.XLOOKUP(Table3267[[#This Row],[Item]],Table13[Decription],Table13[Article])</f>
        <v>Office Supplies</v>
      </c>
    </row>
    <row r="19" spans="1:10" s="43" customFormat="1" ht="10.5" customHeight="1">
      <c r="A19" s="172" t="s">
        <v>284</v>
      </c>
      <c r="B19" s="179"/>
      <c r="C19" s="180"/>
      <c r="D19" s="175" t="s">
        <v>64</v>
      </c>
      <c r="E19" s="176" t="str">
        <f>_xlfn.XLOOKUP(Table3267[[#This Row],[Item]],Table13[Decription],Table13[Unit])</f>
        <v>piece</v>
      </c>
      <c r="F19" s="176">
        <v>57</v>
      </c>
      <c r="G19" s="176">
        <f>_xlfn.XLOOKUP(Table3267[[#This Row],[Item]],Table13[Decription],Table13[Unit Cost])</f>
        <v>8.5755407899999998</v>
      </c>
      <c r="H19" s="177">
        <f>Table3267[[#This Row],[Unit Cost]]*Table3267[[#This Row],[Quantity Issued]]</f>
        <v>488.80582502999999</v>
      </c>
      <c r="I19" s="178">
        <f>_xlfn.XLOOKUP(Table3267[[#This Row],[Item]],Table13[Decription],Table13[February 2025 - Balance Qty])</f>
        <v>395</v>
      </c>
      <c r="J19" s="168" t="str">
        <f>_xlfn.XLOOKUP(Table3267[[#This Row],[Item]],Table13[Decription],Table13[Article])</f>
        <v>Office Supplies</v>
      </c>
    </row>
    <row r="20" spans="1:10" s="43" customFormat="1" ht="10.5" customHeight="1">
      <c r="A20" s="172" t="s">
        <v>284</v>
      </c>
      <c r="B20" s="179"/>
      <c r="C20" s="180"/>
      <c r="D20" s="175" t="s">
        <v>88</v>
      </c>
      <c r="E20" s="176" t="str">
        <f>_xlfn.XLOOKUP(Table3267[[#This Row],[Item]],Table13[Decription],Table13[Unit])</f>
        <v>piece</v>
      </c>
      <c r="F20" s="176">
        <v>2</v>
      </c>
      <c r="G20" s="176">
        <f>_xlfn.XLOOKUP(Table3267[[#This Row],[Item]],Table13[Decription],Table13[Unit Cost])</f>
        <v>470</v>
      </c>
      <c r="H20" s="177">
        <f>Table3267[[#This Row],[Unit Cost]]*Table3267[[#This Row],[Quantity Issued]]</f>
        <v>940</v>
      </c>
      <c r="I20" s="178">
        <f>_xlfn.XLOOKUP(Table3267[[#This Row],[Item]],Table13[Decription],Table13[February 2025 - Balance Qty])</f>
        <v>2</v>
      </c>
      <c r="J20" s="168" t="str">
        <f>_xlfn.XLOOKUP(Table3267[[#This Row],[Item]],Table13[Decription],Table13[Article])</f>
        <v>Office Supplies</v>
      </c>
    </row>
    <row r="21" spans="1:10" s="43" customFormat="1" ht="10.5" customHeight="1">
      <c r="A21" s="172" t="s">
        <v>284</v>
      </c>
      <c r="B21" s="179"/>
      <c r="C21" s="180"/>
      <c r="D21" s="175" t="s">
        <v>158</v>
      </c>
      <c r="E21" s="176" t="str">
        <f>_xlfn.XLOOKUP(Table3267[[#This Row],[Item]],Table13[Decription],Table13[Unit])</f>
        <v>piece</v>
      </c>
      <c r="F21" s="176">
        <v>1</v>
      </c>
      <c r="G21" s="176">
        <f>_xlfn.XLOOKUP(Table3267[[#This Row],[Item]],Table13[Decription],Table13[Unit Cost])</f>
        <v>3.4791666666666599</v>
      </c>
      <c r="H21" s="177">
        <f>Table3267[[#This Row],[Unit Cost]]*Table3267[[#This Row],[Quantity Issued]]</f>
        <v>3.4791666666666599</v>
      </c>
      <c r="I21" s="178">
        <f>_xlfn.XLOOKUP(Table3267[[#This Row],[Item]],Table13[Decription],Table13[February 2025 - Balance Qty])</f>
        <v>1</v>
      </c>
      <c r="J21" s="168" t="str">
        <f>_xlfn.XLOOKUP(Table3267[[#This Row],[Item]],Table13[Decription],Table13[Article])</f>
        <v>Office Supplies</v>
      </c>
    </row>
    <row r="22" spans="1:10" s="43" customFormat="1" ht="10.5" customHeight="1">
      <c r="A22" s="172" t="s">
        <v>284</v>
      </c>
      <c r="B22" s="179"/>
      <c r="C22" s="180"/>
      <c r="D22" s="175" t="s">
        <v>340</v>
      </c>
      <c r="E22" s="176" t="str">
        <f>_xlfn.XLOOKUP(Table3267[[#This Row],[Item]],Table13[Decription],Table13[Unit])</f>
        <v>piece</v>
      </c>
      <c r="F22" s="176">
        <v>1</v>
      </c>
      <c r="G22" s="176">
        <f>_xlfn.XLOOKUP(Table3267[[#This Row],[Item]],Table13[Decription],Table13[Unit Cost])</f>
        <v>75</v>
      </c>
      <c r="H22" s="177">
        <f>Table3267[[#This Row],[Unit Cost]]*Table3267[[#This Row],[Quantity Issued]]</f>
        <v>75</v>
      </c>
      <c r="I22" s="178">
        <f>_xlfn.XLOOKUP(Table3267[[#This Row],[Item]],Table13[Decription],Table13[February 2025 - Balance Qty])</f>
        <v>1</v>
      </c>
      <c r="J22" s="168" t="str">
        <f>_xlfn.XLOOKUP(Table3267[[#This Row],[Item]],Table13[Decription],Table13[Article])</f>
        <v>Office Supplies</v>
      </c>
    </row>
    <row r="23" spans="1:10" s="43" customFormat="1" ht="10.5" customHeight="1">
      <c r="A23" s="172" t="s">
        <v>284</v>
      </c>
      <c r="B23" s="179"/>
      <c r="C23" s="180"/>
      <c r="D23" s="175" t="s">
        <v>159</v>
      </c>
      <c r="E23" s="176" t="str">
        <f>_xlfn.XLOOKUP(Table3267[[#This Row],[Item]],Table13[Decription],Table13[Unit])</f>
        <v xml:space="preserve">piece </v>
      </c>
      <c r="F23" s="176">
        <v>3</v>
      </c>
      <c r="G23" s="176">
        <f>_xlfn.XLOOKUP(Table3267[[#This Row],[Item]],Table13[Decription],Table13[Unit Cost])</f>
        <v>44</v>
      </c>
      <c r="H23" s="177">
        <f>Table3267[[#This Row],[Unit Cost]]*Table3267[[#This Row],[Quantity Issued]]</f>
        <v>132</v>
      </c>
      <c r="I23" s="178">
        <f>_xlfn.XLOOKUP(Table3267[[#This Row],[Item]],Table13[Decription],Table13[February 2025 - Balance Qty])</f>
        <v>12</v>
      </c>
      <c r="J23" s="168" t="str">
        <f>_xlfn.XLOOKUP(Table3267[[#This Row],[Item]],Table13[Decription],Table13[Article])</f>
        <v>Office Supplies</v>
      </c>
    </row>
    <row r="24" spans="1:10" s="43" customFormat="1" ht="10.5" customHeight="1">
      <c r="A24" s="172" t="s">
        <v>285</v>
      </c>
      <c r="B24" s="179"/>
      <c r="C24" s="180"/>
      <c r="D24" s="175" t="s">
        <v>51</v>
      </c>
      <c r="E24" s="176" t="str">
        <f>_xlfn.XLOOKUP(Table3267[[#This Row],[Item]],Table13[Decription],Table13[Unit])</f>
        <v>ream</v>
      </c>
      <c r="F24" s="176">
        <v>1</v>
      </c>
      <c r="G24" s="176">
        <f>_xlfn.XLOOKUP(Table3267[[#This Row],[Item]],Table13[Decription],Table13[Unit Cost])</f>
        <v>340.17</v>
      </c>
      <c r="H24" s="177">
        <f>Table3267[[#This Row],[Unit Cost]]*Table3267[[#This Row],[Quantity Issued]]</f>
        <v>340.17</v>
      </c>
      <c r="I24" s="178">
        <f>_xlfn.XLOOKUP(Table3267[[#This Row],[Item]],Table13[Decription],Table13[February 2025 - Balance Qty])</f>
        <v>10</v>
      </c>
      <c r="J24" s="168" t="str">
        <f>_xlfn.XLOOKUP(Table3267[[#This Row],[Item]],Table13[Decription],Table13[Article])</f>
        <v>Office Supplies</v>
      </c>
    </row>
    <row r="25" spans="1:10" s="43" customFormat="1" ht="10.5" customHeight="1">
      <c r="A25" s="172" t="s">
        <v>286</v>
      </c>
      <c r="B25" s="179"/>
      <c r="C25" s="180"/>
      <c r="D25" s="175" t="s">
        <v>113</v>
      </c>
      <c r="E25" s="176" t="str">
        <f>_xlfn.XLOOKUP(Table3267[[#This Row],[Item]],Table13[Decription],Table13[Unit])</f>
        <v>piece</v>
      </c>
      <c r="F25" s="176">
        <v>4</v>
      </c>
      <c r="G25" s="176">
        <f>_xlfn.XLOOKUP(Table3267[[#This Row],[Item]],Table13[Decription],Table13[Unit Cost])</f>
        <v>15</v>
      </c>
      <c r="H25" s="177">
        <f>Table3267[[#This Row],[Unit Cost]]*Table3267[[#This Row],[Quantity Issued]]</f>
        <v>60</v>
      </c>
      <c r="I25" s="178">
        <f>_xlfn.XLOOKUP(Table3267[[#This Row],[Item]],Table13[Decription],Table13[February 2025 - Balance Qty])</f>
        <v>4</v>
      </c>
      <c r="J25" s="168" t="str">
        <f>_xlfn.XLOOKUP(Table3267[[#This Row],[Item]],Table13[Decription],Table13[Article])</f>
        <v>Office Supplies</v>
      </c>
    </row>
    <row r="26" spans="1:10" s="43" customFormat="1" ht="10.5" customHeight="1">
      <c r="A26" s="172" t="s">
        <v>286</v>
      </c>
      <c r="B26" s="179"/>
      <c r="C26" s="180"/>
      <c r="D26" s="175" t="s">
        <v>64</v>
      </c>
      <c r="E26" s="176" t="str">
        <f>_xlfn.XLOOKUP(Table3267[[#This Row],[Item]],Table13[Decription],Table13[Unit])</f>
        <v>piece</v>
      </c>
      <c r="F26" s="176">
        <v>30</v>
      </c>
      <c r="G26" s="176">
        <f>_xlfn.XLOOKUP(Table3267[[#This Row],[Item]],Table13[Decription],Table13[Unit Cost])</f>
        <v>8.5755407899999998</v>
      </c>
      <c r="H26" s="177">
        <f>Table3267[[#This Row],[Unit Cost]]*Table3267[[#This Row],[Quantity Issued]]</f>
        <v>257.26622370000001</v>
      </c>
      <c r="I26" s="178">
        <f>_xlfn.XLOOKUP(Table3267[[#This Row],[Item]],Table13[Decription],Table13[February 2025 - Balance Qty])</f>
        <v>395</v>
      </c>
      <c r="J26" s="168" t="str">
        <f>_xlfn.XLOOKUP(Table3267[[#This Row],[Item]],Table13[Decription],Table13[Article])</f>
        <v>Office Supplies</v>
      </c>
    </row>
    <row r="27" spans="1:10" s="43" customFormat="1" ht="10.5" customHeight="1">
      <c r="A27" s="172" t="s">
        <v>286</v>
      </c>
      <c r="B27" s="194"/>
      <c r="C27" s="195"/>
      <c r="D27" s="175" t="s">
        <v>126</v>
      </c>
      <c r="E27" s="176" t="str">
        <f>_xlfn.XLOOKUP(Table3267[[#This Row],[Item]],Table13[Decription],Table13[Unit])</f>
        <v>pack</v>
      </c>
      <c r="F27" s="176">
        <v>5</v>
      </c>
      <c r="G27" s="176">
        <f>_xlfn.XLOOKUP(Table3267[[#This Row],[Item]],Table13[Decription],Table13[Unit Cost])</f>
        <v>40</v>
      </c>
      <c r="H27" s="177">
        <f>Table3267[[#This Row],[Unit Cost]]*Table3267[[#This Row],[Quantity Issued]]</f>
        <v>200</v>
      </c>
      <c r="I27" s="178">
        <f>_xlfn.XLOOKUP(Table3267[[#This Row],[Item]],Table13[Decription],Table13[February 2025 - Balance Qty])</f>
        <v>5</v>
      </c>
      <c r="J27" s="168" t="str">
        <f>_xlfn.XLOOKUP(Table3267[[#This Row],[Item]],Table13[Decription],Table13[Article])</f>
        <v>Office Supplies</v>
      </c>
    </row>
    <row r="28" spans="1:10" s="43" customFormat="1" ht="10.5" customHeight="1">
      <c r="A28" s="172" t="s">
        <v>287</v>
      </c>
      <c r="B28" s="179"/>
      <c r="C28" s="180"/>
      <c r="D28" s="175" t="s">
        <v>67</v>
      </c>
      <c r="E28" s="176" t="str">
        <f>_xlfn.XLOOKUP(Table3267[[#This Row],[Item]],Table13[Decription],Table13[Unit])</f>
        <v>pack</v>
      </c>
      <c r="F28" s="176">
        <v>1</v>
      </c>
      <c r="G28" s="176">
        <f>_xlfn.XLOOKUP(Table3267[[#This Row],[Item]],Table13[Decription],Table13[Unit Cost])</f>
        <v>225</v>
      </c>
      <c r="H28" s="177">
        <f>Table3267[[#This Row],[Unit Cost]]*Table3267[[#This Row],[Quantity Issued]]</f>
        <v>225</v>
      </c>
      <c r="I28" s="178">
        <f>_xlfn.XLOOKUP(Table3267[[#This Row],[Item]],Table13[Decription],Table13[February 2025 - Balance Qty])</f>
        <v>9</v>
      </c>
      <c r="J28" s="168" t="str">
        <f>_xlfn.XLOOKUP(Table3267[[#This Row],[Item]],Table13[Decription],Table13[Article])</f>
        <v>Office Supplies</v>
      </c>
    </row>
    <row r="29" spans="1:10" s="43" customFormat="1" ht="10.5" customHeight="1">
      <c r="A29" s="172" t="s">
        <v>287</v>
      </c>
      <c r="B29" s="179"/>
      <c r="C29" s="180"/>
      <c r="D29" s="183" t="s">
        <v>48</v>
      </c>
      <c r="E29" s="176" t="str">
        <f>_xlfn.XLOOKUP(Table3267[[#This Row],[Item]],Table13[Decription],Table13[Unit])</f>
        <v>piece</v>
      </c>
      <c r="F29" s="184">
        <v>1</v>
      </c>
      <c r="G29" s="176">
        <f>_xlfn.XLOOKUP(Table3267[[#This Row],[Item]],Table13[Decription],Table13[Unit Cost])</f>
        <v>3.875</v>
      </c>
      <c r="H29" s="177">
        <f>Table3267[[#This Row],[Unit Cost]]*Table3267[[#This Row],[Quantity Issued]]</f>
        <v>3.875</v>
      </c>
      <c r="I29" s="178">
        <f>_xlfn.XLOOKUP(Table3267[[#This Row],[Item]],Table13[Decription],Table13[February 2025 - Balance Qty])</f>
        <v>105</v>
      </c>
      <c r="J29" s="168" t="str">
        <f>_xlfn.XLOOKUP(Table3267[[#This Row],[Item]],Table13[Decription],Table13[Article])</f>
        <v>Office Supplies</v>
      </c>
    </row>
    <row r="30" spans="1:10" s="43" customFormat="1" ht="10.5" customHeight="1">
      <c r="A30" s="172" t="s">
        <v>287</v>
      </c>
      <c r="B30" s="179"/>
      <c r="C30" s="180"/>
      <c r="D30" s="183" t="s">
        <v>89</v>
      </c>
      <c r="E30" s="176" t="str">
        <f>_xlfn.XLOOKUP(Table3267[[#This Row],[Item]],Table13[Decription],Table13[Unit])</f>
        <v>piece</v>
      </c>
      <c r="F30" s="184">
        <v>1</v>
      </c>
      <c r="G30" s="176">
        <f>_xlfn.XLOOKUP(Table3267[[#This Row],[Item]],Table13[Decription],Table13[Unit Cost])</f>
        <v>38.89</v>
      </c>
      <c r="H30" s="177">
        <f>Table3267[[#This Row],[Unit Cost]]*Table3267[[#This Row],[Quantity Issued]]</f>
        <v>38.89</v>
      </c>
      <c r="I30" s="178">
        <f>_xlfn.XLOOKUP(Table3267[[#This Row],[Item]],Table13[Decription],Table13[February 2025 - Balance Qty])</f>
        <v>30</v>
      </c>
      <c r="J30" s="168" t="str">
        <f>_xlfn.XLOOKUP(Table3267[[#This Row],[Item]],Table13[Decription],Table13[Article])</f>
        <v>Office Supplies</v>
      </c>
    </row>
    <row r="31" spans="1:10" s="43" customFormat="1" ht="10.5" customHeight="1">
      <c r="A31" s="172" t="s">
        <v>287</v>
      </c>
      <c r="B31" s="179"/>
      <c r="C31" s="180"/>
      <c r="D31" s="183" t="s">
        <v>128</v>
      </c>
      <c r="E31" s="176" t="str">
        <f>_xlfn.XLOOKUP(Table3267[[#This Row],[Item]],Table13[Decription],Table13[Unit])</f>
        <v>ream</v>
      </c>
      <c r="F31" s="184">
        <v>1</v>
      </c>
      <c r="G31" s="176">
        <f>_xlfn.XLOOKUP(Table3267[[#This Row],[Item]],Table13[Decription],Table13[Unit Cost])</f>
        <v>285</v>
      </c>
      <c r="H31" s="177">
        <f>Table3267[[#This Row],[Unit Cost]]*Table3267[[#This Row],[Quantity Issued]]</f>
        <v>285</v>
      </c>
      <c r="I31" s="178">
        <f>_xlfn.XLOOKUP(Table3267[[#This Row],[Item]],Table13[Decription],Table13[February 2025 - Balance Qty])</f>
        <v>3</v>
      </c>
      <c r="J31" s="168" t="str">
        <f>_xlfn.XLOOKUP(Table3267[[#This Row],[Item]],Table13[Decription],Table13[Article])</f>
        <v>Office Supplies</v>
      </c>
    </row>
    <row r="32" spans="1:10" s="43" customFormat="1" ht="10.5" customHeight="1">
      <c r="A32" s="172" t="s">
        <v>287</v>
      </c>
      <c r="B32" s="179"/>
      <c r="C32" s="180"/>
      <c r="D32" s="183" t="s">
        <v>86</v>
      </c>
      <c r="E32" s="176" t="str">
        <f>_xlfn.XLOOKUP(Table3267[[#This Row],[Item]],Table13[Decription],Table13[Unit])</f>
        <v>piece</v>
      </c>
      <c r="F32" s="184">
        <v>1</v>
      </c>
      <c r="G32" s="176">
        <f>_xlfn.XLOOKUP(Table3267[[#This Row],[Item]],Table13[Decription],Table13[Unit Cost])</f>
        <v>403</v>
      </c>
      <c r="H32" s="177">
        <f>Table3267[[#This Row],[Unit Cost]]*Table3267[[#This Row],[Quantity Issued]]</f>
        <v>403</v>
      </c>
      <c r="I32" s="178">
        <f>_xlfn.XLOOKUP(Table3267[[#This Row],[Item]],Table13[Decription],Table13[February 2025 - Balance Qty])</f>
        <v>5</v>
      </c>
      <c r="J32" s="168" t="str">
        <f>_xlfn.XLOOKUP(Table3267[[#This Row],[Item]],Table13[Decription],Table13[Article])</f>
        <v>Office Supplies</v>
      </c>
    </row>
    <row r="33" spans="1:10" s="43" customFormat="1" ht="10.5" customHeight="1">
      <c r="A33" s="172" t="s">
        <v>287</v>
      </c>
      <c r="B33" s="179"/>
      <c r="C33" s="180"/>
      <c r="D33" s="183" t="s">
        <v>92</v>
      </c>
      <c r="E33" s="176" t="str">
        <f>_xlfn.XLOOKUP(Table3267[[#This Row],[Item]],Table13[Decription],Table13[Unit])</f>
        <v>piece</v>
      </c>
      <c r="F33" s="184">
        <v>1</v>
      </c>
      <c r="G33" s="176">
        <f>_xlfn.XLOOKUP(Table3267[[#This Row],[Item]],Table13[Decription],Table13[Unit Cost])</f>
        <v>132</v>
      </c>
      <c r="H33" s="177">
        <f>Table3267[[#This Row],[Unit Cost]]*Table3267[[#This Row],[Quantity Issued]]</f>
        <v>132</v>
      </c>
      <c r="I33" s="178">
        <f>_xlfn.XLOOKUP(Table3267[[#This Row],[Item]],Table13[Decription],Table13[February 2025 - Balance Qty])</f>
        <v>4</v>
      </c>
      <c r="J33" s="168" t="str">
        <f>_xlfn.XLOOKUP(Table3267[[#This Row],[Item]],Table13[Decription],Table13[Article])</f>
        <v>Office Supplies</v>
      </c>
    </row>
    <row r="34" spans="1:10" s="43" customFormat="1" ht="10.5" customHeight="1">
      <c r="A34" s="172" t="s">
        <v>288</v>
      </c>
      <c r="B34" s="179"/>
      <c r="C34" s="180"/>
      <c r="D34" s="175" t="s">
        <v>62</v>
      </c>
      <c r="E34" s="176" t="str">
        <f>_xlfn.XLOOKUP(Table3267[[#This Row],[Item]],Table13[Decription],Table13[Unit])</f>
        <v>bottle</v>
      </c>
      <c r="F34" s="176">
        <v>1</v>
      </c>
      <c r="G34" s="176">
        <f>_xlfn.XLOOKUP(Table3267[[#This Row],[Item]],Table13[Decription],Table13[Unit Cost])</f>
        <v>370</v>
      </c>
      <c r="H34" s="177">
        <f>Table3267[[#This Row],[Unit Cost]]*Table3267[[#This Row],[Quantity Issued]]</f>
        <v>370</v>
      </c>
      <c r="I34" s="178">
        <f>_xlfn.XLOOKUP(Table3267[[#This Row],[Item]],Table13[Decription],Table13[February 2025 - Balance Qty])</f>
        <v>8</v>
      </c>
      <c r="J34" s="168" t="str">
        <f>_xlfn.XLOOKUP(Table3267[[#This Row],[Item]],Table13[Decription],Table13[Article])</f>
        <v>Office Supplies</v>
      </c>
    </row>
    <row r="35" spans="1:10" s="43" customFormat="1" ht="10.5" customHeight="1">
      <c r="A35" s="172" t="s">
        <v>288</v>
      </c>
      <c r="B35" s="179"/>
      <c r="C35" s="180"/>
      <c r="D35" s="175" t="s">
        <v>61</v>
      </c>
      <c r="E35" s="176" t="str">
        <f>_xlfn.XLOOKUP(Table3267[[#This Row],[Item]],Table13[Decription],Table13[Unit])</f>
        <v>bottle</v>
      </c>
      <c r="F35" s="176">
        <v>1</v>
      </c>
      <c r="G35" s="176">
        <f>_xlfn.XLOOKUP(Table3267[[#This Row],[Item]],Table13[Decription],Table13[Unit Cost])</f>
        <v>370</v>
      </c>
      <c r="H35" s="177">
        <f>Table3267[[#This Row],[Unit Cost]]*Table3267[[#This Row],[Quantity Issued]]</f>
        <v>370</v>
      </c>
      <c r="I35" s="178">
        <f>_xlfn.XLOOKUP(Table3267[[#This Row],[Item]],Table13[Decription],Table13[February 2025 - Balance Qty])</f>
        <v>18</v>
      </c>
      <c r="J35" s="168" t="str">
        <f>_xlfn.XLOOKUP(Table3267[[#This Row],[Item]],Table13[Decription],Table13[Article])</f>
        <v>Office Supplies</v>
      </c>
    </row>
    <row r="36" spans="1:10" s="43" customFormat="1" ht="10.5" customHeight="1">
      <c r="A36" s="172" t="s">
        <v>288</v>
      </c>
      <c r="B36" s="179"/>
      <c r="C36" s="180"/>
      <c r="D36" s="175" t="s">
        <v>63</v>
      </c>
      <c r="E36" s="176" t="str">
        <f>_xlfn.XLOOKUP(Table3267[[#This Row],[Item]],Table13[Decription],Table13[Unit])</f>
        <v>bottle</v>
      </c>
      <c r="F36" s="176">
        <v>1</v>
      </c>
      <c r="G36" s="176">
        <f>_xlfn.XLOOKUP(Table3267[[#This Row],[Item]],Table13[Decription],Table13[Unit Cost])</f>
        <v>371.36</v>
      </c>
      <c r="H36" s="177">
        <f>Table3267[[#This Row],[Unit Cost]]*Table3267[[#This Row],[Quantity Issued]]</f>
        <v>371.36</v>
      </c>
      <c r="I36" s="178">
        <f>_xlfn.XLOOKUP(Table3267[[#This Row],[Item]],Table13[Decription],Table13[February 2025 - Balance Qty])</f>
        <v>9</v>
      </c>
      <c r="J36" s="168" t="str">
        <f>_xlfn.XLOOKUP(Table3267[[#This Row],[Item]],Table13[Decription],Table13[Article])</f>
        <v>Office Supplies</v>
      </c>
    </row>
    <row r="37" spans="1:10" s="43" customFormat="1" ht="10.5" customHeight="1">
      <c r="A37" s="172" t="s">
        <v>288</v>
      </c>
      <c r="B37" s="179"/>
      <c r="C37" s="180"/>
      <c r="D37" s="175" t="s">
        <v>60</v>
      </c>
      <c r="E37" s="176" t="str">
        <f>_xlfn.XLOOKUP(Table3267[[#This Row],[Item]],Table13[Decription],Table13[Unit])</f>
        <v>bottle</v>
      </c>
      <c r="F37" s="176">
        <v>1</v>
      </c>
      <c r="G37" s="176">
        <f>_xlfn.XLOOKUP(Table3267[[#This Row],[Item]],Table13[Decription],Table13[Unit Cost])</f>
        <v>370.2</v>
      </c>
      <c r="H37" s="177">
        <f>Table3267[[#This Row],[Unit Cost]]*Table3267[[#This Row],[Quantity Issued]]</f>
        <v>370.2</v>
      </c>
      <c r="I37" s="178">
        <f>_xlfn.XLOOKUP(Table3267[[#This Row],[Item]],Table13[Decription],Table13[February 2025 - Balance Qty])</f>
        <v>27</v>
      </c>
      <c r="J37" s="168" t="str">
        <f>_xlfn.XLOOKUP(Table3267[[#This Row],[Item]],Table13[Decription],Table13[Article])</f>
        <v>Office Supplies</v>
      </c>
    </row>
    <row r="38" spans="1:10" s="43" customFormat="1" ht="10.5" customHeight="1">
      <c r="A38" s="172" t="s">
        <v>288</v>
      </c>
      <c r="B38" s="179"/>
      <c r="C38" s="180"/>
      <c r="D38" s="175" t="s">
        <v>94</v>
      </c>
      <c r="E38" s="176" t="str">
        <f>_xlfn.XLOOKUP(Table3267[[#This Row],[Item]],Table13[Decription],Table13[Unit])</f>
        <v>piece</v>
      </c>
      <c r="F38" s="176">
        <v>2</v>
      </c>
      <c r="G38" s="176">
        <f>_xlfn.XLOOKUP(Table3267[[#This Row],[Item]],Table13[Decription],Table13[Unit Cost])</f>
        <v>45</v>
      </c>
      <c r="H38" s="177">
        <f>Table3267[[#This Row],[Unit Cost]]*Table3267[[#This Row],[Quantity Issued]]</f>
        <v>90</v>
      </c>
      <c r="I38" s="178">
        <f>_xlfn.XLOOKUP(Table3267[[#This Row],[Item]],Table13[Decription],Table13[February 2025 - Balance Qty])</f>
        <v>5</v>
      </c>
      <c r="J38" s="168" t="str">
        <f>_xlfn.XLOOKUP(Table3267[[#This Row],[Item]],Table13[Decription],Table13[Article])</f>
        <v>Office Supplies</v>
      </c>
    </row>
    <row r="39" spans="1:10" s="43" customFormat="1" ht="10.5" customHeight="1">
      <c r="A39" s="172" t="s">
        <v>289</v>
      </c>
      <c r="B39" s="179"/>
      <c r="C39" s="180"/>
      <c r="D39" s="183" t="s">
        <v>89</v>
      </c>
      <c r="E39" s="176" t="str">
        <f>_xlfn.XLOOKUP(Table3267[[#This Row],[Item]],Table13[Decription],Table13[Unit])</f>
        <v>piece</v>
      </c>
      <c r="F39" s="184">
        <v>1</v>
      </c>
      <c r="G39" s="176">
        <f>_xlfn.XLOOKUP(Table3267[[#This Row],[Item]],Table13[Decription],Table13[Unit Cost])</f>
        <v>38.89</v>
      </c>
      <c r="H39" s="177">
        <f>Table3267[[#This Row],[Unit Cost]]*Table3267[[#This Row],[Quantity Issued]]</f>
        <v>38.89</v>
      </c>
      <c r="I39" s="178">
        <f>_xlfn.XLOOKUP(Table3267[[#This Row],[Item]],Table13[Decription],Table13[February 2025 - Balance Qty])</f>
        <v>30</v>
      </c>
      <c r="J39" s="168" t="str">
        <f>_xlfn.XLOOKUP(Table3267[[#This Row],[Item]],Table13[Decription],Table13[Article])</f>
        <v>Office Supplies</v>
      </c>
    </row>
    <row r="40" spans="1:10" s="43" customFormat="1" ht="10.5" customHeight="1">
      <c r="A40" s="172" t="s">
        <v>290</v>
      </c>
      <c r="B40" s="179"/>
      <c r="C40" s="180"/>
      <c r="D40" s="183" t="s">
        <v>48</v>
      </c>
      <c r="E40" s="176" t="str">
        <f>_xlfn.XLOOKUP(Table3267[[#This Row],[Item]],Table13[Decription],Table13[Unit])</f>
        <v>piece</v>
      </c>
      <c r="F40" s="184">
        <v>10</v>
      </c>
      <c r="G40" s="176">
        <f>_xlfn.XLOOKUP(Table3267[[#This Row],[Item]],Table13[Decription],Table13[Unit Cost])</f>
        <v>3.875</v>
      </c>
      <c r="H40" s="177">
        <f>Table3267[[#This Row],[Unit Cost]]*Table3267[[#This Row],[Quantity Issued]]</f>
        <v>38.75</v>
      </c>
      <c r="I40" s="178">
        <f>_xlfn.XLOOKUP(Table3267[[#This Row],[Item]],Table13[Decription],Table13[February 2025 - Balance Qty])</f>
        <v>105</v>
      </c>
      <c r="J40" s="168" t="str">
        <f>_xlfn.XLOOKUP(Table3267[[#This Row],[Item]],Table13[Decription],Table13[Article])</f>
        <v>Office Supplies</v>
      </c>
    </row>
    <row r="41" spans="1:10" s="43" customFormat="1" ht="10.5" customHeight="1">
      <c r="A41" s="172" t="s">
        <v>290</v>
      </c>
      <c r="B41" s="179"/>
      <c r="C41" s="180"/>
      <c r="D41" s="183" t="s">
        <v>152</v>
      </c>
      <c r="E41" s="176" t="str">
        <f>_xlfn.XLOOKUP(Table3267[[#This Row],[Item]],Table13[Decription],Table13[Unit])</f>
        <v>roll</v>
      </c>
      <c r="F41" s="184">
        <v>2</v>
      </c>
      <c r="G41" s="176">
        <f>_xlfn.XLOOKUP(Table3267[[#This Row],[Item]],Table13[Decription],Table13[Unit Cost])</f>
        <v>28.72</v>
      </c>
      <c r="H41" s="177">
        <f>Table3267[[#This Row],[Unit Cost]]*Table3267[[#This Row],[Quantity Issued]]</f>
        <v>57.44</v>
      </c>
      <c r="I41" s="178">
        <f>_xlfn.XLOOKUP(Table3267[[#This Row],[Item]],Table13[Decription],Table13[February 2025 - Balance Qty])</f>
        <v>19</v>
      </c>
      <c r="J41" s="168" t="str">
        <f>_xlfn.XLOOKUP(Table3267[[#This Row],[Item]],Table13[Decription],Table13[Article])</f>
        <v>Office Supplies</v>
      </c>
    </row>
    <row r="42" spans="1:10" s="43" customFormat="1" ht="10.5" customHeight="1">
      <c r="A42" s="172" t="s">
        <v>290</v>
      </c>
      <c r="B42" s="179"/>
      <c r="C42" s="180"/>
      <c r="D42" s="175" t="s">
        <v>51</v>
      </c>
      <c r="E42" s="176" t="str">
        <f>_xlfn.XLOOKUP(Table3267[[#This Row],[Item]],Table13[Decription],Table13[Unit])</f>
        <v>ream</v>
      </c>
      <c r="F42" s="176">
        <v>1</v>
      </c>
      <c r="G42" s="176">
        <f>_xlfn.XLOOKUP(Table3267[[#This Row],[Item]],Table13[Decription],Table13[Unit Cost])</f>
        <v>340.17</v>
      </c>
      <c r="H42" s="177">
        <f>Table3267[[#This Row],[Unit Cost]]*Table3267[[#This Row],[Quantity Issued]]</f>
        <v>340.17</v>
      </c>
      <c r="I42" s="178">
        <f>_xlfn.XLOOKUP(Table3267[[#This Row],[Item]],Table13[Decription],Table13[February 2025 - Balance Qty])</f>
        <v>10</v>
      </c>
      <c r="J42" s="168" t="str">
        <f>_xlfn.XLOOKUP(Table3267[[#This Row],[Item]],Table13[Decription],Table13[Article])</f>
        <v>Office Supplies</v>
      </c>
    </row>
    <row r="43" spans="1:10" s="43" customFormat="1" ht="10.5" customHeight="1">
      <c r="A43" s="172" t="s">
        <v>290</v>
      </c>
      <c r="B43" s="179"/>
      <c r="C43" s="180"/>
      <c r="D43" s="183" t="s">
        <v>149</v>
      </c>
      <c r="E43" s="176" t="str">
        <f>_xlfn.XLOOKUP(Table3267[[#This Row],[Item]],Table13[Decription],Table13[Unit])</f>
        <v>roll</v>
      </c>
      <c r="F43" s="184">
        <v>1</v>
      </c>
      <c r="G43" s="176">
        <f>_xlfn.XLOOKUP(Table3267[[#This Row],[Item]],Table13[Decription],Table13[Unit Cost])</f>
        <v>34.75</v>
      </c>
      <c r="H43" s="177">
        <f>Table3267[[#This Row],[Unit Cost]]*Table3267[[#This Row],[Quantity Issued]]</f>
        <v>34.75</v>
      </c>
      <c r="I43" s="178">
        <f>_xlfn.XLOOKUP(Table3267[[#This Row],[Item]],Table13[Decription],Table13[February 2025 - Balance Qty])</f>
        <v>17</v>
      </c>
      <c r="J43" s="168" t="str">
        <f>_xlfn.XLOOKUP(Table3267[[#This Row],[Item]],Table13[Decription],Table13[Article])</f>
        <v>Office Supplies</v>
      </c>
    </row>
    <row r="44" spans="1:10" s="43" customFormat="1" ht="10.5" customHeight="1">
      <c r="A44" s="172" t="s">
        <v>290</v>
      </c>
      <c r="B44" s="194"/>
      <c r="C44" s="195"/>
      <c r="D44" s="183" t="s">
        <v>159</v>
      </c>
      <c r="E44" s="176" t="str">
        <f>_xlfn.XLOOKUP(Table3267[[#This Row],[Item]],Table13[Decription],Table13[Unit])</f>
        <v xml:space="preserve">piece </v>
      </c>
      <c r="F44" s="184">
        <v>1</v>
      </c>
      <c r="G44" s="176">
        <f>_xlfn.XLOOKUP(Table3267[[#This Row],[Item]],Table13[Decription],Table13[Unit Cost])</f>
        <v>44</v>
      </c>
      <c r="H44" s="177">
        <f>Table3267[[#This Row],[Unit Cost]]*Table3267[[#This Row],[Quantity Issued]]</f>
        <v>44</v>
      </c>
      <c r="I44" s="178">
        <f>_xlfn.XLOOKUP(Table3267[[#This Row],[Item]],Table13[Decription],Table13[February 2025 - Balance Qty])</f>
        <v>12</v>
      </c>
      <c r="J44" s="168" t="str">
        <f>_xlfn.XLOOKUP(Table3267[[#This Row],[Item]],Table13[Decription],Table13[Article])</f>
        <v>Office Supplies</v>
      </c>
    </row>
    <row r="45" spans="1:10" s="43" customFormat="1" ht="10.5" customHeight="1">
      <c r="A45" s="172" t="s">
        <v>291</v>
      </c>
      <c r="B45" s="179"/>
      <c r="C45" s="180"/>
      <c r="D45" s="175" t="s">
        <v>66</v>
      </c>
      <c r="E45" s="176" t="str">
        <f>_xlfn.XLOOKUP(Table3267[[#This Row],[Item]],Table13[Decription],Table13[Unit])</f>
        <v>piece</v>
      </c>
      <c r="F45" s="176">
        <v>1</v>
      </c>
      <c r="G45" s="176">
        <f>_xlfn.XLOOKUP(Table3267[[#This Row],[Item]],Table13[Decription],Table13[Unit Cost])</f>
        <v>84</v>
      </c>
      <c r="H45" s="177">
        <f>Table3267[[#This Row],[Unit Cost]]*Table3267[[#This Row],[Quantity Issued]]</f>
        <v>84</v>
      </c>
      <c r="I45" s="178">
        <f>_xlfn.XLOOKUP(Table3267[[#This Row],[Item]],Table13[Decription],Table13[February 2025 - Balance Qty])</f>
        <v>3</v>
      </c>
      <c r="J45" s="168" t="str">
        <f>_xlfn.XLOOKUP(Table3267[[#This Row],[Item]],Table13[Decription],Table13[Article])</f>
        <v>Office Supplies</v>
      </c>
    </row>
    <row r="46" spans="1:10" s="43" customFormat="1" ht="10.5" customHeight="1">
      <c r="A46" s="172" t="s">
        <v>291</v>
      </c>
      <c r="B46" s="179"/>
      <c r="C46" s="180"/>
      <c r="D46" s="175" t="s">
        <v>161</v>
      </c>
      <c r="E46" s="176" t="str">
        <f>_xlfn.XLOOKUP(Table3267[[#This Row],[Item]],Table13[Decription],Table13[Unit])</f>
        <v>piece</v>
      </c>
      <c r="F46" s="176">
        <v>10</v>
      </c>
      <c r="G46" s="176">
        <f>_xlfn.XLOOKUP(Table3267[[#This Row],[Item]],Table13[Decription],Table13[Unit Cost])</f>
        <v>80.540000000000006</v>
      </c>
      <c r="H46" s="177">
        <f>Table3267[[#This Row],[Unit Cost]]*Table3267[[#This Row],[Quantity Issued]]</f>
        <v>805.40000000000009</v>
      </c>
      <c r="I46" s="178">
        <f>_xlfn.XLOOKUP(Table3267[[#This Row],[Item]],Table13[Decription],Table13[February 2025 - Balance Qty])</f>
        <v>64</v>
      </c>
      <c r="J46" s="168" t="str">
        <f>_xlfn.XLOOKUP(Table3267[[#This Row],[Item]],Table13[Decription],Table13[Article])</f>
        <v>Office Supplies</v>
      </c>
    </row>
    <row r="47" spans="1:10" s="43" customFormat="1" ht="10.5" customHeight="1">
      <c r="A47" s="172" t="s">
        <v>291</v>
      </c>
      <c r="B47" s="179"/>
      <c r="C47" s="180"/>
      <c r="D47" s="175" t="s">
        <v>89</v>
      </c>
      <c r="E47" s="176" t="str">
        <f>_xlfn.XLOOKUP(Table3267[[#This Row],[Item]],Table13[Decription],Table13[Unit])</f>
        <v>piece</v>
      </c>
      <c r="F47" s="176">
        <v>1</v>
      </c>
      <c r="G47" s="176">
        <f>_xlfn.XLOOKUP(Table3267[[#This Row],[Item]],Table13[Decription],Table13[Unit Cost])</f>
        <v>38.89</v>
      </c>
      <c r="H47" s="177">
        <f>Table3267[[#This Row],[Unit Cost]]*Table3267[[#This Row],[Quantity Issued]]</f>
        <v>38.89</v>
      </c>
      <c r="I47" s="178">
        <f>_xlfn.XLOOKUP(Table3267[[#This Row],[Item]],Table13[Decription],Table13[February 2025 - Balance Qty])</f>
        <v>30</v>
      </c>
      <c r="J47" s="168" t="str">
        <f>_xlfn.XLOOKUP(Table3267[[#This Row],[Item]],Table13[Decription],Table13[Article])</f>
        <v>Office Supplies</v>
      </c>
    </row>
    <row r="48" spans="1:10" s="43" customFormat="1" ht="10.5" customHeight="1">
      <c r="A48" s="172" t="s">
        <v>291</v>
      </c>
      <c r="B48" s="179"/>
      <c r="C48" s="180"/>
      <c r="D48" s="175" t="s">
        <v>115</v>
      </c>
      <c r="E48" s="176" t="str">
        <f>_xlfn.XLOOKUP(Table3267[[#This Row],[Item]],Table13[Decription],Table13[Unit])</f>
        <v xml:space="preserve">piece </v>
      </c>
      <c r="F48" s="176">
        <v>5</v>
      </c>
      <c r="G48" s="176">
        <f>_xlfn.XLOOKUP(Table3267[[#This Row],[Item]],Table13[Decription],Table13[Unit Cost])</f>
        <v>20</v>
      </c>
      <c r="H48" s="177">
        <f>Table3267[[#This Row],[Unit Cost]]*Table3267[[#This Row],[Quantity Issued]]</f>
        <v>100</v>
      </c>
      <c r="I48" s="178">
        <f>_xlfn.XLOOKUP(Table3267[[#This Row],[Item]],Table13[Decription],Table13[February 2025 - Balance Qty])</f>
        <v>46</v>
      </c>
      <c r="J48" s="168" t="str">
        <f>_xlfn.XLOOKUP(Table3267[[#This Row],[Item]],Table13[Decription],Table13[Article])</f>
        <v>Office Supplies</v>
      </c>
    </row>
    <row r="49" spans="1:10" s="36" customFormat="1" ht="10.5" customHeight="1">
      <c r="A49" s="172" t="s">
        <v>291</v>
      </c>
      <c r="B49" s="179"/>
      <c r="C49" s="180"/>
      <c r="D49" s="183" t="s">
        <v>52</v>
      </c>
      <c r="E49" s="176" t="str">
        <f>_xlfn.XLOOKUP(Table3267[[#This Row],[Item]],Table13[Decription],Table13[Unit])</f>
        <v>piece</v>
      </c>
      <c r="F49" s="184">
        <v>4</v>
      </c>
      <c r="G49" s="176">
        <f>_xlfn.XLOOKUP(Table3267[[#This Row],[Item]],Table13[Decription],Table13[Unit Cost])</f>
        <v>20</v>
      </c>
      <c r="H49" s="177">
        <f>Table3267[[#This Row],[Unit Cost]]*Table3267[[#This Row],[Quantity Issued]]</f>
        <v>80</v>
      </c>
      <c r="I49" s="178">
        <f>_xlfn.XLOOKUP(Table3267[[#This Row],[Item]],Table13[Decription],Table13[February 2025 - Balance Qty])</f>
        <v>92</v>
      </c>
      <c r="J49" s="168" t="str">
        <f>_xlfn.XLOOKUP(Table3267[[#This Row],[Item]],Table13[Decription],Table13[Article])</f>
        <v>Office Supplies</v>
      </c>
    </row>
    <row r="50" spans="1:10" s="43" customFormat="1" ht="10.5" customHeight="1">
      <c r="A50" s="172" t="s">
        <v>293</v>
      </c>
      <c r="B50" s="179"/>
      <c r="C50" s="180"/>
      <c r="D50" s="183" t="s">
        <v>62</v>
      </c>
      <c r="E50" s="176" t="str">
        <f>_xlfn.XLOOKUP(Table3267[[#This Row],[Item]],Table13[Decription],Table13[Unit])</f>
        <v>bottle</v>
      </c>
      <c r="F50" s="184">
        <v>1</v>
      </c>
      <c r="G50" s="176">
        <f>_xlfn.XLOOKUP(Table3267[[#This Row],[Item]],Table13[Decription],Table13[Unit Cost])</f>
        <v>370</v>
      </c>
      <c r="H50" s="177">
        <f>Table3267[[#This Row],[Unit Cost]]*Table3267[[#This Row],[Quantity Issued]]</f>
        <v>370</v>
      </c>
      <c r="I50" s="178">
        <f>_xlfn.XLOOKUP(Table3267[[#This Row],[Item]],Table13[Decription],Table13[February 2025 - Balance Qty])</f>
        <v>8</v>
      </c>
      <c r="J50" s="168" t="str">
        <f>_xlfn.XLOOKUP(Table3267[[#This Row],[Item]],Table13[Decription],Table13[Article])</f>
        <v>Office Supplies</v>
      </c>
    </row>
    <row r="51" spans="1:10" s="43" customFormat="1" ht="10.5" customHeight="1">
      <c r="A51" s="172" t="s">
        <v>293</v>
      </c>
      <c r="B51" s="179"/>
      <c r="C51" s="180"/>
      <c r="D51" s="175" t="s">
        <v>63</v>
      </c>
      <c r="E51" s="176" t="str">
        <f>_xlfn.XLOOKUP(Table3267[[#This Row],[Item]],Table13[Decription],Table13[Unit])</f>
        <v>bottle</v>
      </c>
      <c r="F51" s="176">
        <v>1</v>
      </c>
      <c r="G51" s="176">
        <f>_xlfn.XLOOKUP(Table3267[[#This Row],[Item]],Table13[Decription],Table13[Unit Cost])</f>
        <v>371.36</v>
      </c>
      <c r="H51" s="177">
        <f>Table3267[[#This Row],[Unit Cost]]*Table3267[[#This Row],[Quantity Issued]]</f>
        <v>371.36</v>
      </c>
      <c r="I51" s="185">
        <f>_xlfn.XLOOKUP(Table3267[[#This Row],[Item]],Table13[Decription],Table13[February 2025 - Balance Qty])</f>
        <v>9</v>
      </c>
      <c r="J51" s="168" t="str">
        <f>_xlfn.XLOOKUP(Table3267[[#This Row],[Item]],Table13[Decription],Table13[Article])</f>
        <v>Office Supplies</v>
      </c>
    </row>
    <row r="52" spans="1:10" s="43" customFormat="1" ht="10.5" customHeight="1">
      <c r="A52" s="172" t="s">
        <v>293</v>
      </c>
      <c r="B52" s="179"/>
      <c r="C52" s="180"/>
      <c r="D52" s="175" t="s">
        <v>61</v>
      </c>
      <c r="E52" s="176" t="str">
        <f>_xlfn.XLOOKUP(Table3267[[#This Row],[Item]],Table13[Decription],Table13[Unit])</f>
        <v>bottle</v>
      </c>
      <c r="F52" s="176">
        <v>1</v>
      </c>
      <c r="G52" s="176">
        <f>_xlfn.XLOOKUP(Table3267[[#This Row],[Item]],Table13[Decription],Table13[Unit Cost])</f>
        <v>370</v>
      </c>
      <c r="H52" s="177">
        <f>Table3267[[#This Row],[Unit Cost]]*Table3267[[#This Row],[Quantity Issued]]</f>
        <v>370</v>
      </c>
      <c r="I52" s="185">
        <f>_xlfn.XLOOKUP(Table3267[[#This Row],[Item]],Table13[Decription],Table13[February 2025 - Balance Qty])</f>
        <v>18</v>
      </c>
      <c r="J52" s="168" t="str">
        <f>_xlfn.XLOOKUP(Table3267[[#This Row],[Item]],Table13[Decription],Table13[Article])</f>
        <v>Office Supplies</v>
      </c>
    </row>
    <row r="53" spans="1:10" s="43" customFormat="1" ht="10.5" customHeight="1">
      <c r="A53" s="172" t="s">
        <v>293</v>
      </c>
      <c r="B53" s="179"/>
      <c r="C53" s="180"/>
      <c r="D53" s="175" t="s">
        <v>60</v>
      </c>
      <c r="E53" s="176" t="str">
        <f>_xlfn.XLOOKUP(Table3267[[#This Row],[Item]],Table13[Decription],Table13[Unit])</f>
        <v>bottle</v>
      </c>
      <c r="F53" s="176">
        <v>1</v>
      </c>
      <c r="G53" s="176">
        <f>_xlfn.XLOOKUP(Table3267[[#This Row],[Item]],Table13[Decription],Table13[Unit Cost])</f>
        <v>370.2</v>
      </c>
      <c r="H53" s="177">
        <f>Table3267[[#This Row],[Unit Cost]]*Table3267[[#This Row],[Quantity Issued]]</f>
        <v>370.2</v>
      </c>
      <c r="I53" s="185">
        <f>_xlfn.XLOOKUP(Table3267[[#This Row],[Item]],Table13[Decription],Table13[February 2025 - Balance Qty])</f>
        <v>27</v>
      </c>
      <c r="J53" s="168" t="str">
        <f>_xlfn.XLOOKUP(Table3267[[#This Row],[Item]],Table13[Decription],Table13[Article])</f>
        <v>Office Supplies</v>
      </c>
    </row>
    <row r="54" spans="1:10" s="43" customFormat="1" ht="10.5" customHeight="1">
      <c r="A54" s="172" t="s">
        <v>293</v>
      </c>
      <c r="B54" s="179"/>
      <c r="C54" s="180"/>
      <c r="D54" s="175" t="s">
        <v>138</v>
      </c>
      <c r="E54" s="176" t="str">
        <f>_xlfn.XLOOKUP(Table3267[[#This Row],[Item]],Table13[Decription],Table13[Unit])</f>
        <v>bottle</v>
      </c>
      <c r="F54" s="176">
        <v>2</v>
      </c>
      <c r="G54" s="176">
        <f>_xlfn.XLOOKUP(Table3267[[#This Row],[Item]],Table13[Decription],Table13[Unit Cost])</f>
        <v>468.3</v>
      </c>
      <c r="H54" s="177">
        <f>Table3267[[#This Row],[Unit Cost]]*Table3267[[#This Row],[Quantity Issued]]</f>
        <v>936.6</v>
      </c>
      <c r="I54" s="185">
        <f>_xlfn.XLOOKUP(Table3267[[#This Row],[Item]],Table13[Decription],Table13[February 2025 - Balance Qty])</f>
        <v>13</v>
      </c>
      <c r="J54" s="168" t="str">
        <f>_xlfn.XLOOKUP(Table3267[[#This Row],[Item]],Table13[Decription],Table13[Article])</f>
        <v>Office Supplies</v>
      </c>
    </row>
    <row r="55" spans="1:10" s="43" customFormat="1" ht="10.5" customHeight="1">
      <c r="A55" s="172" t="s">
        <v>293</v>
      </c>
      <c r="B55" s="179"/>
      <c r="C55" s="180"/>
      <c r="D55" s="175" t="s">
        <v>134</v>
      </c>
      <c r="E55" s="176" t="str">
        <f>_xlfn.XLOOKUP(Table3267[[#This Row],[Item]],Table13[Decription],Table13[Unit])</f>
        <v>bottle</v>
      </c>
      <c r="F55" s="176">
        <v>2</v>
      </c>
      <c r="G55" s="176">
        <f>_xlfn.XLOOKUP(Table3267[[#This Row],[Item]],Table13[Decription],Table13[Unit Cost])</f>
        <v>462.43</v>
      </c>
      <c r="H55" s="177">
        <f>Table3267[[#This Row],[Unit Cost]]*Table3267[[#This Row],[Quantity Issued]]</f>
        <v>924.86</v>
      </c>
      <c r="I55" s="185">
        <f>_xlfn.XLOOKUP(Table3267[[#This Row],[Item]],Table13[Decription],Table13[February 2025 - Balance Qty])</f>
        <v>9</v>
      </c>
      <c r="J55" s="168" t="str">
        <f>_xlfn.XLOOKUP(Table3267[[#This Row],[Item]],Table13[Decription],Table13[Article])</f>
        <v>Office Supplies</v>
      </c>
    </row>
    <row r="56" spans="1:10" s="43" customFormat="1" ht="10.5" customHeight="1">
      <c r="A56" s="172" t="s">
        <v>293</v>
      </c>
      <c r="B56" s="179"/>
      <c r="C56" s="180"/>
      <c r="D56" s="175" t="s">
        <v>135</v>
      </c>
      <c r="E56" s="176" t="str">
        <f>_xlfn.XLOOKUP(Table3267[[#This Row],[Item]],Table13[Decription],Table13[Unit])</f>
        <v>bottle</v>
      </c>
      <c r="F56" s="176">
        <v>2</v>
      </c>
      <c r="G56" s="176">
        <f>_xlfn.XLOOKUP(Table3267[[#This Row],[Item]],Table13[Decription],Table13[Unit Cost])</f>
        <v>458.46</v>
      </c>
      <c r="H56" s="177">
        <f>Table3267[[#This Row],[Unit Cost]]*Table3267[[#This Row],[Quantity Issued]]</f>
        <v>916.92</v>
      </c>
      <c r="I56" s="185">
        <f>_xlfn.XLOOKUP(Table3267[[#This Row],[Item]],Table13[Decription],Table13[February 2025 - Balance Qty])</f>
        <v>10</v>
      </c>
      <c r="J56" s="168" t="str">
        <f>_xlfn.XLOOKUP(Table3267[[#This Row],[Item]],Table13[Decription],Table13[Article])</f>
        <v>Office Supplies</v>
      </c>
    </row>
    <row r="57" spans="1:10" s="43" customFormat="1" ht="10.5" customHeight="1">
      <c r="A57" s="172" t="s">
        <v>293</v>
      </c>
      <c r="B57" s="179"/>
      <c r="C57" s="180"/>
      <c r="D57" s="175" t="s">
        <v>136</v>
      </c>
      <c r="E57" s="176" t="str">
        <f>_xlfn.XLOOKUP(Table3267[[#This Row],[Item]],Table13[Decription],Table13[Unit])</f>
        <v>bottle</v>
      </c>
      <c r="F57" s="176">
        <v>2</v>
      </c>
      <c r="G57" s="176">
        <f>_xlfn.XLOOKUP(Table3267[[#This Row],[Item]],Table13[Decription],Table13[Unit Cost])</f>
        <v>458.46</v>
      </c>
      <c r="H57" s="177">
        <f>Table3267[[#This Row],[Unit Cost]]*Table3267[[#This Row],[Quantity Issued]]</f>
        <v>916.92</v>
      </c>
      <c r="I57" s="178">
        <f>_xlfn.XLOOKUP(Table3267[[#This Row],[Item]],Table13[Decription],Table13[February 2025 - Balance Qty])</f>
        <v>10</v>
      </c>
      <c r="J57" s="168" t="str">
        <f>_xlfn.XLOOKUP(Table3267[[#This Row],[Item]],Table13[Decription],Table13[Article])</f>
        <v>Office Supplies</v>
      </c>
    </row>
    <row r="58" spans="1:10" s="43" customFormat="1" ht="10.5" customHeight="1">
      <c r="A58" s="172" t="s">
        <v>293</v>
      </c>
      <c r="B58" s="179"/>
      <c r="C58" s="180"/>
      <c r="D58" s="175" t="s">
        <v>125</v>
      </c>
      <c r="E58" s="176" t="str">
        <f>_xlfn.XLOOKUP(Table3267[[#This Row],[Item]],Table13[Decription],Table13[Unit])</f>
        <v>pack</v>
      </c>
      <c r="F58" s="176">
        <v>3</v>
      </c>
      <c r="G58" s="176">
        <f>_xlfn.XLOOKUP(Table3267[[#This Row],[Item]],Table13[Decription],Table13[Unit Cost])</f>
        <v>150</v>
      </c>
      <c r="H58" s="177">
        <f>Table3267[[#This Row],[Unit Cost]]*Table3267[[#This Row],[Quantity Issued]]</f>
        <v>450</v>
      </c>
      <c r="I58" s="178">
        <f>_xlfn.XLOOKUP(Table3267[[#This Row],[Item]],Table13[Decription],Table13[February 2025 - Balance Qty])</f>
        <v>5</v>
      </c>
      <c r="J58" s="168" t="str">
        <f>_xlfn.XLOOKUP(Table3267[[#This Row],[Item]],Table13[Decription],Table13[Article])</f>
        <v>Office Supplies</v>
      </c>
    </row>
    <row r="59" spans="1:10" s="43" customFormat="1" ht="10.5" customHeight="1">
      <c r="A59" s="172" t="s">
        <v>294</v>
      </c>
      <c r="B59" s="179"/>
      <c r="C59" s="180"/>
      <c r="D59" s="175" t="s">
        <v>51</v>
      </c>
      <c r="E59" s="176" t="str">
        <f>_xlfn.XLOOKUP(Table3267[[#This Row],[Item]],Table13[Decription],Table13[Unit])</f>
        <v>ream</v>
      </c>
      <c r="F59" s="176">
        <v>1</v>
      </c>
      <c r="G59" s="176">
        <f>_xlfn.XLOOKUP(Table3267[[#This Row],[Item]],Table13[Decription],Table13[Unit Cost])</f>
        <v>340.17</v>
      </c>
      <c r="H59" s="177">
        <f>Table3267[[#This Row],[Unit Cost]]*Table3267[[#This Row],[Quantity Issued]]</f>
        <v>340.17</v>
      </c>
      <c r="I59" s="178">
        <f>_xlfn.XLOOKUP(Table3267[[#This Row],[Item]],Table13[Decription],Table13[February 2025 - Balance Qty])</f>
        <v>10</v>
      </c>
      <c r="J59" s="168" t="str">
        <f>_xlfn.XLOOKUP(Table3267[[#This Row],[Item]],Table13[Decription],Table13[Article])</f>
        <v>Office Supplies</v>
      </c>
    </row>
    <row r="60" spans="1:10" s="43" customFormat="1" ht="10.5" customHeight="1">
      <c r="A60" s="172" t="s">
        <v>295</v>
      </c>
      <c r="B60" s="179"/>
      <c r="C60" s="180"/>
      <c r="D60" s="175" t="s">
        <v>129</v>
      </c>
      <c r="E60" s="176" t="str">
        <f>_xlfn.XLOOKUP(Table3267[[#This Row],[Item]],Table13[Decription],Table13[Unit])</f>
        <v>ream</v>
      </c>
      <c r="F60" s="176">
        <v>4</v>
      </c>
      <c r="G60" s="176">
        <f>_xlfn.XLOOKUP(Table3267[[#This Row],[Item]],Table13[Decription],Table13[Unit Cost])</f>
        <v>310</v>
      </c>
      <c r="H60" s="177">
        <f>Table3267[[#This Row],[Unit Cost]]*Table3267[[#This Row],[Quantity Issued]]</f>
        <v>1240</v>
      </c>
      <c r="I60" s="178">
        <f>_xlfn.XLOOKUP(Table3267[[#This Row],[Item]],Table13[Decription],Table13[February 2025 - Balance Qty])</f>
        <v>44</v>
      </c>
      <c r="J60" s="168" t="str">
        <f>_xlfn.XLOOKUP(Table3267[[#This Row],[Item]],Table13[Decription],Table13[Article])</f>
        <v>Office Supplies</v>
      </c>
    </row>
    <row r="61" spans="1:10" s="43" customFormat="1" ht="10.5" customHeight="1">
      <c r="A61" s="172" t="s">
        <v>295</v>
      </c>
      <c r="B61" s="179"/>
      <c r="C61" s="180"/>
      <c r="D61" s="175" t="s">
        <v>159</v>
      </c>
      <c r="E61" s="176" t="str">
        <f>_xlfn.XLOOKUP(Table3267[[#This Row],[Item]],Table13[Decription],Table13[Unit])</f>
        <v xml:space="preserve">piece </v>
      </c>
      <c r="F61" s="176">
        <v>4</v>
      </c>
      <c r="G61" s="176">
        <f>_xlfn.XLOOKUP(Table3267[[#This Row],[Item]],Table13[Decription],Table13[Unit Cost])</f>
        <v>44</v>
      </c>
      <c r="H61" s="177">
        <f>Table3267[[#This Row],[Unit Cost]]*Table3267[[#This Row],[Quantity Issued]]</f>
        <v>176</v>
      </c>
      <c r="I61" s="178">
        <f>_xlfn.XLOOKUP(Table3267[[#This Row],[Item]],Table13[Decription],Table13[February 2025 - Balance Qty])</f>
        <v>12</v>
      </c>
      <c r="J61" s="168" t="str">
        <f>_xlfn.XLOOKUP(Table3267[[#This Row],[Item]],Table13[Decription],Table13[Article])</f>
        <v>Office Supplies</v>
      </c>
    </row>
    <row r="62" spans="1:10" s="43" customFormat="1" ht="10.5" customHeight="1">
      <c r="A62" s="172" t="s">
        <v>295</v>
      </c>
      <c r="B62" s="179"/>
      <c r="C62" s="180"/>
      <c r="D62" s="175" t="s">
        <v>99</v>
      </c>
      <c r="E62" s="176" t="str">
        <f>_xlfn.XLOOKUP(Table3267[[#This Row],[Item]],Table13[Decription],Table13[Unit])</f>
        <v xml:space="preserve">piece </v>
      </c>
      <c r="F62" s="176">
        <v>3</v>
      </c>
      <c r="G62" s="176">
        <f>_xlfn.XLOOKUP(Table3267[[#This Row],[Item]],Table13[Decription],Table13[Unit Cost])</f>
        <v>42</v>
      </c>
      <c r="H62" s="177">
        <f>Table3267[[#This Row],[Unit Cost]]*Table3267[[#This Row],[Quantity Issued]]</f>
        <v>126</v>
      </c>
      <c r="I62" s="178">
        <f>_xlfn.XLOOKUP(Table3267[[#This Row],[Item]],Table13[Decription],Table13[February 2025 - Balance Qty])</f>
        <v>3</v>
      </c>
      <c r="J62" s="168" t="str">
        <f>_xlfn.XLOOKUP(Table3267[[#This Row],[Item]],Table13[Decription],Table13[Article])</f>
        <v>Office Supplies</v>
      </c>
    </row>
    <row r="63" spans="1:10" s="43" customFormat="1" ht="10.5" customHeight="1">
      <c r="A63" s="172" t="s">
        <v>296</v>
      </c>
      <c r="B63" s="179"/>
      <c r="C63" s="180"/>
      <c r="D63" s="175" t="s">
        <v>89</v>
      </c>
      <c r="E63" s="176" t="str">
        <f>_xlfn.XLOOKUP(Table3267[[#This Row],[Item]],Table13[Decription],Table13[Unit])</f>
        <v>piece</v>
      </c>
      <c r="F63" s="176">
        <v>1</v>
      </c>
      <c r="G63" s="176">
        <f>_xlfn.XLOOKUP(Table3267[[#This Row],[Item]],Table13[Decription],Table13[Unit Cost])</f>
        <v>38.89</v>
      </c>
      <c r="H63" s="177">
        <f>Table3267[[#This Row],[Unit Cost]]*Table3267[[#This Row],[Quantity Issued]]</f>
        <v>38.89</v>
      </c>
      <c r="I63" s="178">
        <f>_xlfn.XLOOKUP(Table3267[[#This Row],[Item]],Table13[Decription],Table13[February 2025 - Balance Qty])</f>
        <v>30</v>
      </c>
      <c r="J63" s="168" t="str">
        <f>_xlfn.XLOOKUP(Table3267[[#This Row],[Item]],Table13[Decription],Table13[Article])</f>
        <v>Office Supplies</v>
      </c>
    </row>
    <row r="64" spans="1:10" s="43" customFormat="1" ht="10.5" customHeight="1">
      <c r="A64" s="172" t="s">
        <v>296</v>
      </c>
      <c r="B64" s="179"/>
      <c r="C64" s="180"/>
      <c r="D64" s="175" t="s">
        <v>147</v>
      </c>
      <c r="E64" s="176" t="str">
        <f>_xlfn.XLOOKUP(Table3267[[#This Row],[Item]],Table13[Decription],Table13[Unit])</f>
        <v xml:space="preserve">piece </v>
      </c>
      <c r="F64" s="176">
        <v>2</v>
      </c>
      <c r="G64" s="176">
        <f>_xlfn.XLOOKUP(Table3267[[#This Row],[Item]],Table13[Decription],Table13[Unit Cost])</f>
        <v>45</v>
      </c>
      <c r="H64" s="177">
        <f>Table3267[[#This Row],[Unit Cost]]*Table3267[[#This Row],[Quantity Issued]]</f>
        <v>90</v>
      </c>
      <c r="I64" s="178">
        <f>_xlfn.XLOOKUP(Table3267[[#This Row],[Item]],Table13[Decription],Table13[February 2025 - Balance Qty])</f>
        <v>5</v>
      </c>
      <c r="J64" s="168" t="str">
        <f>_xlfn.XLOOKUP(Table3267[[#This Row],[Item]],Table13[Decription],Table13[Article])</f>
        <v>Office Supplies</v>
      </c>
    </row>
    <row r="65" spans="1:12" s="43" customFormat="1" ht="10.5" customHeight="1">
      <c r="A65" s="172" t="s">
        <v>297</v>
      </c>
      <c r="B65" s="179"/>
      <c r="C65" s="180"/>
      <c r="D65" s="175" t="s">
        <v>66</v>
      </c>
      <c r="E65" s="176" t="str">
        <f>_xlfn.XLOOKUP(Table3267[[#This Row],[Item]],Table13[Decription],Table13[Unit])</f>
        <v>piece</v>
      </c>
      <c r="F65" s="176">
        <v>2</v>
      </c>
      <c r="G65" s="176">
        <f>_xlfn.XLOOKUP(Table3267[[#This Row],[Item]],Table13[Decription],Table13[Unit Cost])</f>
        <v>84</v>
      </c>
      <c r="H65" s="177">
        <f>Table3267[[#This Row],[Unit Cost]]*Table3267[[#This Row],[Quantity Issued]]</f>
        <v>168</v>
      </c>
      <c r="I65" s="178">
        <f>_xlfn.XLOOKUP(Table3267[[#This Row],[Item]],Table13[Decription],Table13[February 2025 - Balance Qty])</f>
        <v>3</v>
      </c>
      <c r="J65" s="168" t="str">
        <f>_xlfn.XLOOKUP(Table3267[[#This Row],[Item]],Table13[Decription],Table13[Article])</f>
        <v>Office Supplies</v>
      </c>
    </row>
    <row r="66" spans="1:12" s="43" customFormat="1" ht="10.5" customHeight="1">
      <c r="A66" s="172" t="s">
        <v>299</v>
      </c>
      <c r="B66" s="179"/>
      <c r="C66" s="180"/>
      <c r="D66" s="175" t="s">
        <v>152</v>
      </c>
      <c r="E66" s="176" t="str">
        <f>_xlfn.XLOOKUP(Table3267[[#This Row],[Item]],Table13[Decription],Table13[Unit])</f>
        <v>roll</v>
      </c>
      <c r="F66" s="176">
        <v>1</v>
      </c>
      <c r="G66" s="176">
        <f>_xlfn.XLOOKUP(Table3267[[#This Row],[Item]],Table13[Decription],Table13[Unit Cost])</f>
        <v>28.72</v>
      </c>
      <c r="H66" s="177">
        <f>Table3267[[#This Row],[Unit Cost]]*Table3267[[#This Row],[Quantity Issued]]</f>
        <v>28.72</v>
      </c>
      <c r="I66" s="178">
        <f>_xlfn.XLOOKUP(Table3267[[#This Row],[Item]],Table13[Decription],Table13[February 2025 - Balance Qty])</f>
        <v>19</v>
      </c>
      <c r="J66" s="168" t="str">
        <f>_xlfn.XLOOKUP(Table3267[[#This Row],[Item]],Table13[Decription],Table13[Article])</f>
        <v>Office Supplies</v>
      </c>
    </row>
    <row r="67" spans="1:12" s="43" customFormat="1" ht="10.5" customHeight="1">
      <c r="A67" s="172" t="s">
        <v>299</v>
      </c>
      <c r="B67" s="179"/>
      <c r="C67" s="180"/>
      <c r="D67" s="175" t="s">
        <v>56</v>
      </c>
      <c r="E67" s="176" t="str">
        <f>_xlfn.XLOOKUP(Table3267[[#This Row],[Item]],Table13[Decription],Table13[Unit])</f>
        <v>bottle</v>
      </c>
      <c r="F67" s="176">
        <v>1</v>
      </c>
      <c r="G67" s="176">
        <f>_xlfn.XLOOKUP(Table3267[[#This Row],[Item]],Table13[Decription],Table13[Unit Cost])</f>
        <v>375</v>
      </c>
      <c r="H67" s="177">
        <f>Table3267[[#This Row],[Unit Cost]]*Table3267[[#This Row],[Quantity Issued]]</f>
        <v>375</v>
      </c>
      <c r="I67" s="178">
        <f>_xlfn.XLOOKUP(Table3267[[#This Row],[Item]],Table13[Decription],Table13[February 2025 - Balance Qty])</f>
        <v>3</v>
      </c>
      <c r="J67" s="168" t="str">
        <f>_xlfn.XLOOKUP(Table3267[[#This Row],[Item]],Table13[Decription],Table13[Article])</f>
        <v>Office Supplies</v>
      </c>
    </row>
    <row r="68" spans="1:12" s="43" customFormat="1" ht="10.5" customHeight="1">
      <c r="A68" s="172" t="s">
        <v>299</v>
      </c>
      <c r="B68" s="179"/>
      <c r="C68" s="180"/>
      <c r="D68" s="175" t="s">
        <v>57</v>
      </c>
      <c r="E68" s="176" t="str">
        <f>_xlfn.XLOOKUP(Table3267[[#This Row],[Item]],Table13[Decription],Table13[Unit])</f>
        <v>bottle</v>
      </c>
      <c r="F68" s="176">
        <v>1</v>
      </c>
      <c r="G68" s="176">
        <f>_xlfn.XLOOKUP(Table3267[[#This Row],[Item]],Table13[Decription],Table13[Unit Cost])</f>
        <v>385</v>
      </c>
      <c r="H68" s="177">
        <f>Table3267[[#This Row],[Unit Cost]]*Table3267[[#This Row],[Quantity Issued]]</f>
        <v>385</v>
      </c>
      <c r="I68" s="178">
        <f>_xlfn.XLOOKUP(Table3267[[#This Row],[Item]],Table13[Decription],Table13[February 2025 - Balance Qty])</f>
        <v>2</v>
      </c>
      <c r="J68" s="168" t="str">
        <f>_xlfn.XLOOKUP(Table3267[[#This Row],[Item]],Table13[Decription],Table13[Article])</f>
        <v>Office Supplies</v>
      </c>
    </row>
    <row r="69" spans="1:12" s="43" customFormat="1" ht="10.5" customHeight="1">
      <c r="A69" s="172" t="s">
        <v>299</v>
      </c>
      <c r="B69" s="179"/>
      <c r="C69" s="180"/>
      <c r="D69" s="175" t="s">
        <v>59</v>
      </c>
      <c r="E69" s="176" t="str">
        <f>_xlfn.XLOOKUP(Table3267[[#This Row],[Item]],Table13[Decription],Table13[Unit])</f>
        <v>bottle</v>
      </c>
      <c r="F69" s="176">
        <v>1</v>
      </c>
      <c r="G69" s="176">
        <f>_xlfn.XLOOKUP(Table3267[[#This Row],[Item]],Table13[Decription],Table13[Unit Cost])</f>
        <v>385</v>
      </c>
      <c r="H69" s="177">
        <f>Table3267[[#This Row],[Unit Cost]]*Table3267[[#This Row],[Quantity Issued]]</f>
        <v>385</v>
      </c>
      <c r="I69" s="178">
        <f>_xlfn.XLOOKUP(Table3267[[#This Row],[Item]],Table13[Decription],Table13[February 2025 - Balance Qty])</f>
        <v>2</v>
      </c>
      <c r="J69" s="168" t="str">
        <f>_xlfn.XLOOKUP(Table3267[[#This Row],[Item]],Table13[Decription],Table13[Article])</f>
        <v>Office Supplies</v>
      </c>
    </row>
    <row r="70" spans="1:12" s="43" customFormat="1" ht="10.5" customHeight="1">
      <c r="A70" s="172" t="s">
        <v>300</v>
      </c>
      <c r="B70" s="179"/>
      <c r="C70" s="180"/>
      <c r="D70" s="175" t="s">
        <v>122</v>
      </c>
      <c r="E70" s="176" t="str">
        <f>_xlfn.XLOOKUP(Table3267[[#This Row],[Item]],Table13[Decription],Table13[Unit])</f>
        <v xml:space="preserve">piece </v>
      </c>
      <c r="F70" s="176">
        <v>9</v>
      </c>
      <c r="G70" s="176">
        <f>_xlfn.XLOOKUP(Table3267[[#This Row],[Item]],Table13[Decription],Table13[Unit Cost])</f>
        <v>83.18</v>
      </c>
      <c r="H70" s="177">
        <f>Table3267[[#This Row],[Unit Cost]]*Table3267[[#This Row],[Quantity Issued]]</f>
        <v>748.62000000000012</v>
      </c>
      <c r="I70" s="178">
        <f>_xlfn.XLOOKUP(Table3267[[#This Row],[Item]],Table13[Decription],Table13[February 2025 - Balance Qty])</f>
        <v>43</v>
      </c>
      <c r="J70" s="168" t="str">
        <f>_xlfn.XLOOKUP(Table3267[[#This Row],[Item]],Table13[Decription],Table13[Article])</f>
        <v>Office Supplies</v>
      </c>
    </row>
    <row r="71" spans="1:12" s="43" customFormat="1" ht="10.5" customHeight="1">
      <c r="A71" s="172" t="s">
        <v>300</v>
      </c>
      <c r="B71" s="179"/>
      <c r="C71" s="180"/>
      <c r="D71" s="175" t="s">
        <v>120</v>
      </c>
      <c r="E71" s="176" t="str">
        <f>_xlfn.XLOOKUP(Table3267[[#This Row],[Item]],Table13[Decription],Table13[Unit])</f>
        <v>pack</v>
      </c>
      <c r="F71" s="176">
        <v>7</v>
      </c>
      <c r="G71" s="176">
        <f>_xlfn.XLOOKUP(Table3267[[#This Row],[Item]],Table13[Decription],Table13[Unit Cost])</f>
        <v>80.558285699999999</v>
      </c>
      <c r="H71" s="177">
        <f>Table3267[[#This Row],[Unit Cost]]*Table3267[[#This Row],[Quantity Issued]]</f>
        <v>563.90799990000005</v>
      </c>
      <c r="I71" s="178">
        <f>_xlfn.XLOOKUP(Table3267[[#This Row],[Item]],Table13[Decription],Table13[February 2025 - Balance Qty])</f>
        <v>34</v>
      </c>
      <c r="J71" s="168" t="str">
        <f>_xlfn.XLOOKUP(Table3267[[#This Row],[Item]],Table13[Decription],Table13[Article])</f>
        <v>Office Supplies</v>
      </c>
    </row>
    <row r="72" spans="1:12" s="43" customFormat="1" ht="10.5" customHeight="1">
      <c r="A72" s="172" t="s">
        <v>301</v>
      </c>
      <c r="B72" s="179"/>
      <c r="C72" s="180"/>
      <c r="D72" s="175" t="s">
        <v>150</v>
      </c>
      <c r="E72" s="176" t="str">
        <f>_xlfn.XLOOKUP(Table3267[[#This Row],[Item]],Table13[Decription],Table13[Unit])</f>
        <v>piece</v>
      </c>
      <c r="F72" s="176">
        <v>1</v>
      </c>
      <c r="G72" s="176">
        <f>_xlfn.XLOOKUP(Table3267[[#This Row],[Item]],Table13[Decription],Table13[Unit Cost])</f>
        <v>30</v>
      </c>
      <c r="H72" s="177">
        <f>Table3267[[#This Row],[Unit Cost]]*Table3267[[#This Row],[Quantity Issued]]</f>
        <v>30</v>
      </c>
      <c r="I72" s="178">
        <f>_xlfn.XLOOKUP(Table3267[[#This Row],[Item]],Table13[Decription],Table13[February 2025 - Balance Qty])</f>
        <v>29</v>
      </c>
      <c r="J72" s="168" t="str">
        <f>_xlfn.XLOOKUP(Table3267[[#This Row],[Item]],Table13[Decription],Table13[Article])</f>
        <v>Office Supplies</v>
      </c>
    </row>
    <row r="73" spans="1:12" s="43" customFormat="1" ht="10.5" customHeight="1">
      <c r="A73" s="172" t="s">
        <v>301</v>
      </c>
      <c r="B73" s="179"/>
      <c r="C73" s="180"/>
      <c r="D73" s="175" t="s">
        <v>116</v>
      </c>
      <c r="E73" s="176" t="str">
        <f>_xlfn.XLOOKUP(Table3267[[#This Row],[Item]],Table13[Decription],Table13[Unit])</f>
        <v>box</v>
      </c>
      <c r="F73" s="176">
        <v>1</v>
      </c>
      <c r="G73" s="176">
        <f>_xlfn.XLOOKUP(Table3267[[#This Row],[Item]],Table13[Decription],Table13[Unit Cost])</f>
        <v>88.46</v>
      </c>
      <c r="H73" s="177">
        <f>Table3267[[#This Row],[Unit Cost]]*Table3267[[#This Row],[Quantity Issued]]</f>
        <v>88.46</v>
      </c>
      <c r="I73" s="178">
        <f>_xlfn.XLOOKUP(Table3267[[#This Row],[Item]],Table13[Decription],Table13[February 2025 - Balance Qty])</f>
        <v>2</v>
      </c>
      <c r="J73" s="168" t="str">
        <f>_xlfn.XLOOKUP(Table3267[[#This Row],[Item]],Table13[Decription],Table13[Article])</f>
        <v>Office Supplies</v>
      </c>
    </row>
    <row r="74" spans="1:12" s="43" customFormat="1" ht="10.5" customHeight="1">
      <c r="A74" s="172" t="s">
        <v>301</v>
      </c>
      <c r="B74" s="179"/>
      <c r="C74" s="180"/>
      <c r="D74" s="175" t="s">
        <v>90</v>
      </c>
      <c r="E74" s="176" t="str">
        <f>_xlfn.XLOOKUP(Table3267[[#This Row],[Item]],Table13[Decription],Table13[Unit])</f>
        <v>piece</v>
      </c>
      <c r="F74" s="176">
        <v>1</v>
      </c>
      <c r="G74" s="176">
        <f>_xlfn.XLOOKUP(Table3267[[#This Row],[Item]],Table13[Decription],Table13[Unit Cost])</f>
        <v>290</v>
      </c>
      <c r="H74" s="177">
        <f>Table3267[[#This Row],[Unit Cost]]*Table3267[[#This Row],[Quantity Issued]]</f>
        <v>290</v>
      </c>
      <c r="I74" s="178">
        <f>_xlfn.XLOOKUP(Table3267[[#This Row],[Item]],Table13[Decription],Table13[February 2025 - Balance Qty])</f>
        <v>2</v>
      </c>
      <c r="J74" s="168" t="str">
        <f>_xlfn.XLOOKUP(Table3267[[#This Row],[Item]],Table13[Decription],Table13[Article])</f>
        <v>Office Supplies</v>
      </c>
    </row>
    <row r="75" spans="1:12" s="36" customFormat="1" ht="10.5" customHeight="1">
      <c r="A75" s="229" t="s">
        <v>301</v>
      </c>
      <c r="B75" s="230"/>
      <c r="C75" s="231"/>
      <c r="D75" s="175" t="s">
        <v>49</v>
      </c>
      <c r="E75" s="232" t="str">
        <f>_xlfn.XLOOKUP(Table3267[[#This Row],[Item]],Table13[Decription],Table13[Unit])</f>
        <v>box</v>
      </c>
      <c r="F75" s="176">
        <v>2</v>
      </c>
      <c r="G75" s="232">
        <f>_xlfn.XLOOKUP(Table3267[[#This Row],[Item]],Table13[Decription],Table13[Unit Cost])</f>
        <v>47.93</v>
      </c>
      <c r="H75" s="233">
        <f>Table3267[[#This Row],[Unit Cost]]*Table3267[[#This Row],[Quantity Issued]]</f>
        <v>95.86</v>
      </c>
      <c r="I75" s="234">
        <f>_xlfn.XLOOKUP(Table3267[[#This Row],[Item]],Table13[Decription],Table13[February 2025 - Balance Qty])</f>
        <v>8</v>
      </c>
      <c r="J75" s="235" t="str">
        <f>_xlfn.XLOOKUP(Table3267[[#This Row],[Item]],Table13[Decription],Table13[Article])</f>
        <v>Office Supplies</v>
      </c>
    </row>
    <row r="76" spans="1:12" s="36" customFormat="1" ht="10.5" customHeight="1">
      <c r="A76" s="229" t="s">
        <v>302</v>
      </c>
      <c r="B76" s="230"/>
      <c r="C76" s="231"/>
      <c r="D76" s="175" t="s">
        <v>64</v>
      </c>
      <c r="E76" s="232" t="str">
        <f>_xlfn.XLOOKUP(Table3267[[#This Row],[Item]],Table13[Decription],Table13[Unit])</f>
        <v>piece</v>
      </c>
      <c r="F76" s="176">
        <v>16</v>
      </c>
      <c r="G76" s="232">
        <f>_xlfn.XLOOKUP(Table3267[[#This Row],[Item]],Table13[Decription],Table13[Unit Cost])</f>
        <v>8.5755407899999998</v>
      </c>
      <c r="H76" s="233">
        <f>Table3267[[#This Row],[Unit Cost]]*Table3267[[#This Row],[Quantity Issued]]</f>
        <v>137.20865264</v>
      </c>
      <c r="I76" s="234">
        <f>_xlfn.XLOOKUP(Table3267[[#This Row],[Item]],Table13[Decription],Table13[February 2025 - Balance Qty])</f>
        <v>395</v>
      </c>
      <c r="J76" s="235" t="str">
        <f>_xlfn.XLOOKUP(Table3267[[#This Row],[Item]],Table13[Decription],Table13[Article])</f>
        <v>Office Supplies</v>
      </c>
      <c r="K76" s="58"/>
      <c r="L76" s="58"/>
    </row>
    <row r="77" spans="1:12" s="36" customFormat="1" ht="10.5" customHeight="1">
      <c r="A77" s="229" t="s">
        <v>302</v>
      </c>
      <c r="B77" s="230"/>
      <c r="C77" s="231"/>
      <c r="D77" s="175" t="s">
        <v>68</v>
      </c>
      <c r="E77" s="232" t="str">
        <f>_xlfn.XLOOKUP(Table3267[[#This Row],[Item]],Table13[Decription],Table13[Unit])</f>
        <v>box</v>
      </c>
      <c r="F77" s="176">
        <v>2</v>
      </c>
      <c r="G77" s="232">
        <f>_xlfn.XLOOKUP(Table3267[[#This Row],[Item]],Table13[Decription],Table13[Unit Cost])</f>
        <v>20</v>
      </c>
      <c r="H77" s="233">
        <f>Table3267[[#This Row],[Unit Cost]]*Table3267[[#This Row],[Quantity Issued]]</f>
        <v>40</v>
      </c>
      <c r="I77" s="234">
        <f>_xlfn.XLOOKUP(Table3267[[#This Row],[Item]],Table13[Decription],Table13[February 2025 - Balance Qty])</f>
        <v>3</v>
      </c>
      <c r="J77" s="235" t="str">
        <f>_xlfn.XLOOKUP(Table3267[[#This Row],[Item]],Table13[Decription],Table13[Article])</f>
        <v>Office Supplies</v>
      </c>
      <c r="K77" s="43"/>
      <c r="L77" s="43"/>
    </row>
    <row r="78" spans="1:12" s="36" customFormat="1" ht="10.5" customHeight="1">
      <c r="A78" s="229" t="s">
        <v>302</v>
      </c>
      <c r="B78" s="230"/>
      <c r="C78" s="231"/>
      <c r="D78" s="175" t="s">
        <v>112</v>
      </c>
      <c r="E78" s="232" t="str">
        <f>_xlfn.XLOOKUP(Table3267[[#This Row],[Item]],Table13[Decription],Table13[Unit])</f>
        <v>box</v>
      </c>
      <c r="F78" s="176">
        <v>3</v>
      </c>
      <c r="G78" s="232">
        <f>_xlfn.XLOOKUP(Table3267[[#This Row],[Item]],Table13[Decription],Table13[Unit Cost])</f>
        <v>33.93</v>
      </c>
      <c r="H78" s="233">
        <f>Table3267[[#This Row],[Unit Cost]]*Table3267[[#This Row],[Quantity Issued]]</f>
        <v>101.78999999999999</v>
      </c>
      <c r="I78" s="234">
        <f>_xlfn.XLOOKUP(Table3267[[#This Row],[Item]],Table13[Decription],Table13[February 2025 - Balance Qty])</f>
        <v>6</v>
      </c>
      <c r="J78" s="235" t="str">
        <f>_xlfn.XLOOKUP(Table3267[[#This Row],[Item]],Table13[Decription],Table13[Article])</f>
        <v>Office Supplies</v>
      </c>
      <c r="K78" s="43"/>
      <c r="L78" s="43"/>
    </row>
    <row r="79" spans="1:12" s="36" customFormat="1" ht="10.5" customHeight="1">
      <c r="A79" s="229" t="s">
        <v>302</v>
      </c>
      <c r="B79" s="230"/>
      <c r="C79" s="231"/>
      <c r="D79" s="175" t="s">
        <v>155</v>
      </c>
      <c r="E79" s="232" t="str">
        <f>_xlfn.XLOOKUP(Table3267[[#This Row],[Item]],Table13[Decription],Table13[Unit])</f>
        <v>bottle</v>
      </c>
      <c r="F79" s="176">
        <v>2</v>
      </c>
      <c r="G79" s="232">
        <f>_xlfn.XLOOKUP(Table3267[[#This Row],[Item]],Table13[Decription],Table13[Unit Cost])</f>
        <v>65</v>
      </c>
      <c r="H79" s="233">
        <f>Table3267[[#This Row],[Unit Cost]]*Table3267[[#This Row],[Quantity Issued]]</f>
        <v>130</v>
      </c>
      <c r="I79" s="234">
        <f>_xlfn.XLOOKUP(Table3267[[#This Row],[Item]],Table13[Decription],Table13[February 2025 - Balance Qty])</f>
        <v>10</v>
      </c>
      <c r="J79" s="235" t="str">
        <f>_xlfn.XLOOKUP(Table3267[[#This Row],[Item]],Table13[Decription],Table13[Article])</f>
        <v>Office Supplies</v>
      </c>
      <c r="K79" s="43"/>
      <c r="L79" s="43"/>
    </row>
    <row r="80" spans="1:12" s="36" customFormat="1" ht="10.5" customHeight="1">
      <c r="A80" s="172" t="s">
        <v>303</v>
      </c>
      <c r="B80" s="179"/>
      <c r="C80" s="180"/>
      <c r="D80" s="175" t="s">
        <v>48</v>
      </c>
      <c r="E80" s="176" t="str">
        <f>_xlfn.XLOOKUP(Table3267[[#This Row],[Item]],Table13[Decription],Table13[Unit])</f>
        <v>piece</v>
      </c>
      <c r="F80" s="176">
        <v>10</v>
      </c>
      <c r="G80" s="176">
        <f>_xlfn.XLOOKUP(Table3267[[#This Row],[Item]],Table13[Decription],Table13[Unit Cost])</f>
        <v>3.875</v>
      </c>
      <c r="H80" s="177">
        <f>Table3267[[#This Row],[Unit Cost]]*Table3267[[#This Row],[Quantity Issued]]</f>
        <v>38.75</v>
      </c>
      <c r="I80" s="178">
        <f>_xlfn.XLOOKUP(Table3267[[#This Row],[Item]],Table13[Decription],Table13[February 2025 - Balance Qty])</f>
        <v>105</v>
      </c>
      <c r="J80" s="168" t="str">
        <f>_xlfn.XLOOKUP(Table3267[[#This Row],[Item]],Table13[Decription],Table13[Article])</f>
        <v>Office Supplies</v>
      </c>
      <c r="K80" s="43"/>
      <c r="L80" s="43"/>
    </row>
    <row r="81" spans="1:12" s="36" customFormat="1" ht="10.5" customHeight="1">
      <c r="A81" s="172" t="s">
        <v>303</v>
      </c>
      <c r="B81" s="179"/>
      <c r="C81" s="180"/>
      <c r="D81" s="175" t="s">
        <v>112</v>
      </c>
      <c r="E81" s="176" t="str">
        <f>_xlfn.XLOOKUP(Table3267[[#This Row],[Item]],Table13[Decription],Table13[Unit])</f>
        <v>box</v>
      </c>
      <c r="F81" s="176">
        <v>3</v>
      </c>
      <c r="G81" s="176">
        <f>_xlfn.XLOOKUP(Table3267[[#This Row],[Item]],Table13[Decription],Table13[Unit Cost])</f>
        <v>33.93</v>
      </c>
      <c r="H81" s="177">
        <f>Table3267[[#This Row],[Unit Cost]]*Table3267[[#This Row],[Quantity Issued]]</f>
        <v>101.78999999999999</v>
      </c>
      <c r="I81" s="178">
        <f>_xlfn.XLOOKUP(Table3267[[#This Row],[Item]],Table13[Decription],Table13[February 2025 - Balance Qty])</f>
        <v>6</v>
      </c>
      <c r="J81" s="168" t="str">
        <f>_xlfn.XLOOKUP(Table3267[[#This Row],[Item]],Table13[Decription],Table13[Article])</f>
        <v>Office Supplies</v>
      </c>
      <c r="K81" s="43"/>
      <c r="L81" s="43"/>
    </row>
    <row r="82" spans="1:12" s="36" customFormat="1" ht="10.5" customHeight="1">
      <c r="A82" s="172" t="s">
        <v>303</v>
      </c>
      <c r="B82" s="179"/>
      <c r="C82" s="180"/>
      <c r="D82" s="175" t="s">
        <v>86</v>
      </c>
      <c r="E82" s="176" t="str">
        <f>_xlfn.XLOOKUP(Table3267[[#This Row],[Item]],Table13[Decription],Table13[Unit])</f>
        <v>piece</v>
      </c>
      <c r="F82" s="176">
        <v>2</v>
      </c>
      <c r="G82" s="176">
        <f>_xlfn.XLOOKUP(Table3267[[#This Row],[Item]],Table13[Decription],Table13[Unit Cost])</f>
        <v>403</v>
      </c>
      <c r="H82" s="177">
        <f>Table3267[[#This Row],[Unit Cost]]*Table3267[[#This Row],[Quantity Issued]]</f>
        <v>806</v>
      </c>
      <c r="I82" s="178">
        <f>_xlfn.XLOOKUP(Table3267[[#This Row],[Item]],Table13[Decription],Table13[February 2025 - Balance Qty])</f>
        <v>5</v>
      </c>
      <c r="J82" s="168" t="str">
        <f>_xlfn.XLOOKUP(Table3267[[#This Row],[Item]],Table13[Decription],Table13[Article])</f>
        <v>Office Supplies</v>
      </c>
      <c r="K82" s="43"/>
      <c r="L82" s="43"/>
    </row>
    <row r="83" spans="1:12" s="36" customFormat="1" ht="10.5" customHeight="1">
      <c r="A83" s="229" t="s">
        <v>303</v>
      </c>
      <c r="B83" s="230"/>
      <c r="C83" s="231"/>
      <c r="D83" s="175" t="s">
        <v>53</v>
      </c>
      <c r="E83" s="232" t="str">
        <f>_xlfn.XLOOKUP(Table3267[[#This Row],[Item]],Table13[Decription],Table13[Unit])</f>
        <v>piece</v>
      </c>
      <c r="F83" s="176">
        <v>3</v>
      </c>
      <c r="G83" s="232">
        <f>_xlfn.XLOOKUP(Table3267[[#This Row],[Item]],Table13[Decription],Table13[Unit Cost])</f>
        <v>20</v>
      </c>
      <c r="H83" s="233">
        <f>Table3267[[#This Row],[Unit Cost]]*Table3267[[#This Row],[Quantity Issued]]</f>
        <v>60</v>
      </c>
      <c r="I83" s="234">
        <f>_xlfn.XLOOKUP(Table3267[[#This Row],[Item]],Table13[Decription],Table13[February 2025 - Balance Qty])</f>
        <v>36</v>
      </c>
      <c r="J83" s="235" t="str">
        <f>_xlfn.XLOOKUP(Table3267[[#This Row],[Item]],Table13[Decription],Table13[Article])</f>
        <v>Office Supplies</v>
      </c>
      <c r="K83" s="43"/>
      <c r="L83" s="43"/>
    </row>
    <row r="84" spans="1:12" s="36" customFormat="1" ht="10.5" customHeight="1">
      <c r="A84" s="229" t="s">
        <v>304</v>
      </c>
      <c r="B84" s="230"/>
      <c r="C84" s="231"/>
      <c r="D84" s="175" t="s">
        <v>49</v>
      </c>
      <c r="E84" s="232" t="str">
        <f>_xlfn.XLOOKUP(Table3267[[#This Row],[Item]],Table13[Decription],Table13[Unit])</f>
        <v>box</v>
      </c>
      <c r="F84" s="176">
        <v>1</v>
      </c>
      <c r="G84" s="232">
        <f>_xlfn.XLOOKUP(Table3267[[#This Row],[Item]],Table13[Decription],Table13[Unit Cost])</f>
        <v>47.93</v>
      </c>
      <c r="H84" s="233">
        <f>Table3267[[#This Row],[Unit Cost]]*Table3267[[#This Row],[Quantity Issued]]</f>
        <v>47.93</v>
      </c>
      <c r="I84" s="234">
        <f>_xlfn.XLOOKUP(Table3267[[#This Row],[Item]],Table13[Decription],Table13[February 2025 - Balance Qty])</f>
        <v>8</v>
      </c>
      <c r="J84" s="235" t="str">
        <f>_xlfn.XLOOKUP(Table3267[[#This Row],[Item]],Table13[Decription],Table13[Article])</f>
        <v>Office Supplies</v>
      </c>
      <c r="K84" s="43"/>
      <c r="L84" s="43"/>
    </row>
    <row r="85" spans="1:12" s="36" customFormat="1" ht="10.5" customHeight="1">
      <c r="A85" s="229" t="s">
        <v>304</v>
      </c>
      <c r="B85" s="230"/>
      <c r="C85" s="231"/>
      <c r="D85" s="175" t="s">
        <v>55</v>
      </c>
      <c r="E85" s="232" t="str">
        <f>_xlfn.XLOOKUP(Table3267[[#This Row],[Item]],Table13[Decription],Table13[Unit])</f>
        <v>roll</v>
      </c>
      <c r="F85" s="176">
        <v>1</v>
      </c>
      <c r="G85" s="232">
        <f>_xlfn.XLOOKUP(Table3267[[#This Row],[Item]],Table13[Decription],Table13[Unit Cost])</f>
        <v>42.15</v>
      </c>
      <c r="H85" s="233">
        <f>Table3267[[#This Row],[Unit Cost]]*Table3267[[#This Row],[Quantity Issued]]</f>
        <v>42.15</v>
      </c>
      <c r="I85" s="234">
        <f>_xlfn.XLOOKUP(Table3267[[#This Row],[Item]],Table13[Decription],Table13[February 2025 - Balance Qty])</f>
        <v>14</v>
      </c>
      <c r="J85" s="235" t="str">
        <f>_xlfn.XLOOKUP(Table3267[[#This Row],[Item]],Table13[Decription],Table13[Article])</f>
        <v>Office Supplies</v>
      </c>
      <c r="K85" s="43"/>
      <c r="L85" s="43"/>
    </row>
    <row r="86" spans="1:12" s="36" customFormat="1" ht="10.5" customHeight="1">
      <c r="A86" s="229" t="s">
        <v>305</v>
      </c>
      <c r="B86" s="230"/>
      <c r="C86" s="231"/>
      <c r="D86" s="175" t="s">
        <v>64</v>
      </c>
      <c r="E86" s="232" t="str">
        <f>_xlfn.XLOOKUP(Table3267[[#This Row],[Item]],Table13[Decription],Table13[Unit])</f>
        <v>piece</v>
      </c>
      <c r="F86" s="176">
        <v>130</v>
      </c>
      <c r="G86" s="232">
        <f>_xlfn.XLOOKUP(Table3267[[#This Row],[Item]],Table13[Decription],Table13[Unit Cost])</f>
        <v>8.5755407899999998</v>
      </c>
      <c r="H86" s="233">
        <f>Table3267[[#This Row],[Unit Cost]]*Table3267[[#This Row],[Quantity Issued]]</f>
        <v>1114.8203027</v>
      </c>
      <c r="I86" s="234">
        <f>_xlfn.XLOOKUP(Table3267[[#This Row],[Item]],Table13[Decription],Table13[February 2025 - Balance Qty])</f>
        <v>395</v>
      </c>
      <c r="J86" s="235" t="str">
        <f>_xlfn.XLOOKUP(Table3267[[#This Row],[Item]],Table13[Decription],Table13[Article])</f>
        <v>Office Supplies</v>
      </c>
      <c r="K86" s="43"/>
      <c r="L86" s="43"/>
    </row>
    <row r="87" spans="1:12" s="36" customFormat="1" ht="10.5" customHeight="1">
      <c r="A87" s="229" t="s">
        <v>306</v>
      </c>
      <c r="B87" s="230"/>
      <c r="C87" s="231"/>
      <c r="D87" s="175" t="s">
        <v>108</v>
      </c>
      <c r="E87" s="232" t="str">
        <f>_xlfn.XLOOKUP(Table3267[[#This Row],[Item]],Table13[Decription],Table13[Unit])</f>
        <v>box</v>
      </c>
      <c r="F87" s="176">
        <v>4</v>
      </c>
      <c r="G87" s="232">
        <f>_xlfn.XLOOKUP(Table3267[[#This Row],[Item]],Table13[Decription],Table13[Unit Cost])</f>
        <v>43.53</v>
      </c>
      <c r="H87" s="233">
        <f>Table3267[[#This Row],[Unit Cost]]*Table3267[[#This Row],[Quantity Issued]]</f>
        <v>174.12</v>
      </c>
      <c r="I87" s="234">
        <f>_xlfn.XLOOKUP(Table3267[[#This Row],[Item]],Table13[Decription],Table13[February 2025 - Balance Qty])</f>
        <v>14</v>
      </c>
      <c r="J87" s="235" t="str">
        <f>_xlfn.XLOOKUP(Table3267[[#This Row],[Item]],Table13[Decription],Table13[Article])</f>
        <v>Office Supplies</v>
      </c>
      <c r="K87" s="43"/>
      <c r="L87" s="43"/>
    </row>
    <row r="88" spans="1:12" s="36" customFormat="1" ht="10.5" customHeight="1">
      <c r="A88" s="229" t="s">
        <v>306</v>
      </c>
      <c r="B88" s="230"/>
      <c r="C88" s="231"/>
      <c r="D88" s="175" t="s">
        <v>138</v>
      </c>
      <c r="E88" s="232" t="str">
        <f>_xlfn.XLOOKUP(Table3267[[#This Row],[Item]],Table13[Decription],Table13[Unit])</f>
        <v>bottle</v>
      </c>
      <c r="F88" s="176">
        <v>1</v>
      </c>
      <c r="G88" s="232">
        <f>_xlfn.XLOOKUP(Table3267[[#This Row],[Item]],Table13[Decription],Table13[Unit Cost])</f>
        <v>468.3</v>
      </c>
      <c r="H88" s="233">
        <f>Table3267[[#This Row],[Unit Cost]]*Table3267[[#This Row],[Quantity Issued]]</f>
        <v>468.3</v>
      </c>
      <c r="I88" s="234">
        <f>_xlfn.XLOOKUP(Table3267[[#This Row],[Item]],Table13[Decription],Table13[February 2025 - Balance Qty])</f>
        <v>13</v>
      </c>
      <c r="J88" s="235" t="str">
        <f>_xlfn.XLOOKUP(Table3267[[#This Row],[Item]],Table13[Decription],Table13[Article])</f>
        <v>Office Supplies</v>
      </c>
      <c r="K88" s="43"/>
      <c r="L88" s="43"/>
    </row>
    <row r="89" spans="1:12" s="36" customFormat="1" ht="10.5" customHeight="1">
      <c r="A89" s="229" t="s">
        <v>306</v>
      </c>
      <c r="B89" s="230"/>
      <c r="C89" s="231"/>
      <c r="D89" s="175" t="s">
        <v>134</v>
      </c>
      <c r="E89" s="232" t="str">
        <f>_xlfn.XLOOKUP(Table3267[[#This Row],[Item]],Table13[Decription],Table13[Unit])</f>
        <v>bottle</v>
      </c>
      <c r="F89" s="176">
        <v>2</v>
      </c>
      <c r="G89" s="232">
        <f>_xlfn.XLOOKUP(Table3267[[#This Row],[Item]],Table13[Decription],Table13[Unit Cost])</f>
        <v>462.43</v>
      </c>
      <c r="H89" s="233">
        <f>Table3267[[#This Row],[Unit Cost]]*Table3267[[#This Row],[Quantity Issued]]</f>
        <v>924.86</v>
      </c>
      <c r="I89" s="234">
        <f>_xlfn.XLOOKUP(Table3267[[#This Row],[Item]],Table13[Decription],Table13[February 2025 - Balance Qty])</f>
        <v>9</v>
      </c>
      <c r="J89" s="235" t="str">
        <f>_xlfn.XLOOKUP(Table3267[[#This Row],[Item]],Table13[Decription],Table13[Article])</f>
        <v>Office Supplies</v>
      </c>
      <c r="K89" s="43"/>
      <c r="L89" s="43"/>
    </row>
    <row r="90" spans="1:12" s="36" customFormat="1" ht="10.5" customHeight="1">
      <c r="A90" s="229" t="s">
        <v>306</v>
      </c>
      <c r="B90" s="230"/>
      <c r="C90" s="231"/>
      <c r="D90" s="175" t="s">
        <v>135</v>
      </c>
      <c r="E90" s="232" t="str">
        <f>_xlfn.XLOOKUP(Table3267[[#This Row],[Item]],Table13[Decription],Table13[Unit])</f>
        <v>bottle</v>
      </c>
      <c r="F90" s="176">
        <v>2</v>
      </c>
      <c r="G90" s="232">
        <f>_xlfn.XLOOKUP(Table3267[[#This Row],[Item]],Table13[Decription],Table13[Unit Cost])</f>
        <v>458.46</v>
      </c>
      <c r="H90" s="233">
        <f>Table3267[[#This Row],[Unit Cost]]*Table3267[[#This Row],[Quantity Issued]]</f>
        <v>916.92</v>
      </c>
      <c r="I90" s="234">
        <f>_xlfn.XLOOKUP(Table3267[[#This Row],[Item]],Table13[Decription],Table13[February 2025 - Balance Qty])</f>
        <v>10</v>
      </c>
      <c r="J90" s="235" t="str">
        <f>_xlfn.XLOOKUP(Table3267[[#This Row],[Item]],Table13[Decription],Table13[Article])</f>
        <v>Office Supplies</v>
      </c>
      <c r="K90" s="43"/>
      <c r="L90" s="43"/>
    </row>
    <row r="91" spans="1:12" s="36" customFormat="1" ht="10.5" customHeight="1">
      <c r="A91" s="229" t="s">
        <v>306</v>
      </c>
      <c r="B91" s="230"/>
      <c r="C91" s="231"/>
      <c r="D91" s="175" t="s">
        <v>136</v>
      </c>
      <c r="E91" s="232" t="str">
        <f>_xlfn.XLOOKUP(Table3267[[#This Row],[Item]],Table13[Decription],Table13[Unit])</f>
        <v>bottle</v>
      </c>
      <c r="F91" s="176">
        <v>1</v>
      </c>
      <c r="G91" s="232">
        <f>_xlfn.XLOOKUP(Table3267[[#This Row],[Item]],Table13[Decription],Table13[Unit Cost])</f>
        <v>458.46</v>
      </c>
      <c r="H91" s="233">
        <f>Table3267[[#This Row],[Unit Cost]]*Table3267[[#This Row],[Quantity Issued]]</f>
        <v>458.46</v>
      </c>
      <c r="I91" s="234">
        <f>_xlfn.XLOOKUP(Table3267[[#This Row],[Item]],Table13[Decription],Table13[February 2025 - Balance Qty])</f>
        <v>10</v>
      </c>
      <c r="J91" s="235" t="str">
        <f>_xlfn.XLOOKUP(Table3267[[#This Row],[Item]],Table13[Decription],Table13[Article])</f>
        <v>Office Supplies</v>
      </c>
      <c r="K91" s="43"/>
      <c r="L91" s="43"/>
    </row>
    <row r="92" spans="1:12" s="36" customFormat="1" ht="10.5" customHeight="1">
      <c r="A92" s="229" t="s">
        <v>306</v>
      </c>
      <c r="B92" s="230"/>
      <c r="C92" s="231"/>
      <c r="D92" s="175" t="s">
        <v>131</v>
      </c>
      <c r="E92" s="232" t="str">
        <f>_xlfn.XLOOKUP(Table3267[[#This Row],[Item]],Table13[Decription],Table13[Unit])</f>
        <v>pack</v>
      </c>
      <c r="F92" s="176">
        <v>3</v>
      </c>
      <c r="G92" s="232">
        <f>_xlfn.XLOOKUP(Table3267[[#This Row],[Item]],Table13[Decription],Table13[Unit Cost])</f>
        <v>40</v>
      </c>
      <c r="H92" s="233">
        <f>Table3267[[#This Row],[Unit Cost]]*Table3267[[#This Row],[Quantity Issued]]</f>
        <v>120</v>
      </c>
      <c r="I92" s="234">
        <f>_xlfn.XLOOKUP(Table3267[[#This Row],[Item]],Table13[Decription],Table13[February 2025 - Balance Qty])</f>
        <v>12</v>
      </c>
      <c r="J92" s="235" t="str">
        <f>_xlfn.XLOOKUP(Table3267[[#This Row],[Item]],Table13[Decription],Table13[Article])</f>
        <v>Office Supplies</v>
      </c>
      <c r="K92" s="43"/>
      <c r="L92" s="43"/>
    </row>
    <row r="93" spans="1:12" s="36" customFormat="1" ht="10.5" customHeight="1">
      <c r="A93" s="229" t="s">
        <v>307</v>
      </c>
      <c r="B93" s="230"/>
      <c r="C93" s="231"/>
      <c r="D93" s="175" t="s">
        <v>51</v>
      </c>
      <c r="E93" s="232" t="str">
        <f>_xlfn.XLOOKUP(Table3267[[#This Row],[Item]],Table13[Decription],Table13[Unit])</f>
        <v>ream</v>
      </c>
      <c r="F93" s="176">
        <v>2</v>
      </c>
      <c r="G93" s="232">
        <f>_xlfn.XLOOKUP(Table3267[[#This Row],[Item]],Table13[Decription],Table13[Unit Cost])</f>
        <v>340.17</v>
      </c>
      <c r="H93" s="233">
        <f>Table3267[[#This Row],[Unit Cost]]*Table3267[[#This Row],[Quantity Issued]]</f>
        <v>680.34</v>
      </c>
      <c r="I93" s="234">
        <f>_xlfn.XLOOKUP(Table3267[[#This Row],[Item]],Table13[Decription],Table13[February 2025 - Balance Qty])</f>
        <v>10</v>
      </c>
      <c r="J93" s="235" t="str">
        <f>_xlfn.XLOOKUP(Table3267[[#This Row],[Item]],Table13[Decription],Table13[Article])</f>
        <v>Office Supplies</v>
      </c>
      <c r="K93" s="43"/>
      <c r="L93" s="43"/>
    </row>
    <row r="94" spans="1:12" s="36" customFormat="1" ht="10.5" customHeight="1">
      <c r="A94" s="229" t="s">
        <v>309</v>
      </c>
      <c r="B94" s="230"/>
      <c r="C94" s="231"/>
      <c r="D94" s="175" t="s">
        <v>85</v>
      </c>
      <c r="E94" s="232" t="str">
        <f>_xlfn.XLOOKUP(Table3267[[#This Row],[Item]],Table13[Decription],Table13[Unit])</f>
        <v>piece</v>
      </c>
      <c r="F94" s="176">
        <v>1</v>
      </c>
      <c r="G94" s="232">
        <f>_xlfn.XLOOKUP(Table3267[[#This Row],[Item]],Table13[Decription],Table13[Unit Cost])</f>
        <v>110</v>
      </c>
      <c r="H94" s="233">
        <f>Table3267[[#This Row],[Unit Cost]]*Table3267[[#This Row],[Quantity Issued]]</f>
        <v>110</v>
      </c>
      <c r="I94" s="234">
        <f>_xlfn.XLOOKUP(Table3267[[#This Row],[Item]],Table13[Decription],Table13[February 2025 - Balance Qty])</f>
        <v>3</v>
      </c>
      <c r="J94" s="235" t="str">
        <f>_xlfn.XLOOKUP(Table3267[[#This Row],[Item]],Table13[Decription],Table13[Article])</f>
        <v>Office Supplies</v>
      </c>
      <c r="K94" s="43"/>
      <c r="L94" s="43"/>
    </row>
    <row r="95" spans="1:12" s="36" customFormat="1" ht="10.5" customHeight="1">
      <c r="A95" s="172" t="s">
        <v>309</v>
      </c>
      <c r="B95" s="179"/>
      <c r="C95" s="180"/>
      <c r="D95" s="175" t="s">
        <v>89</v>
      </c>
      <c r="E95" s="176" t="str">
        <f>_xlfn.XLOOKUP(Table3267[[#This Row],[Item]],Table13[Decription],Table13[Unit])</f>
        <v>piece</v>
      </c>
      <c r="F95" s="176">
        <v>1</v>
      </c>
      <c r="G95" s="176">
        <f>_xlfn.XLOOKUP(Table3267[[#This Row],[Item]],Table13[Decription],Table13[Unit Cost])</f>
        <v>38.89</v>
      </c>
      <c r="H95" s="177">
        <f>Table3267[[#This Row],[Unit Cost]]*Table3267[[#This Row],[Quantity Issued]]</f>
        <v>38.89</v>
      </c>
      <c r="I95" s="178">
        <f>_xlfn.XLOOKUP(Table3267[[#This Row],[Item]],Table13[Decription],Table13[February 2025 - Balance Qty])</f>
        <v>30</v>
      </c>
      <c r="J95" s="168" t="str">
        <f>_xlfn.XLOOKUP(Table3267[[#This Row],[Item]],Table13[Decription],Table13[Article])</f>
        <v>Office Supplies</v>
      </c>
      <c r="K95" s="43"/>
      <c r="L95" s="43"/>
    </row>
    <row r="96" spans="1:12" s="36" customFormat="1" ht="10.5" customHeight="1">
      <c r="A96" s="172" t="s">
        <v>309</v>
      </c>
      <c r="B96" s="179"/>
      <c r="C96" s="180"/>
      <c r="D96" s="183" t="s">
        <v>122</v>
      </c>
      <c r="E96" s="176" t="str">
        <f>_xlfn.XLOOKUP(Table3267[[#This Row],[Item]],Table13[Decription],Table13[Unit])</f>
        <v xml:space="preserve">piece </v>
      </c>
      <c r="F96" s="184">
        <v>2</v>
      </c>
      <c r="G96" s="176">
        <f>_xlfn.XLOOKUP(Table3267[[#This Row],[Item]],Table13[Decription],Table13[Unit Cost])</f>
        <v>83.18</v>
      </c>
      <c r="H96" s="177">
        <f>Table3267[[#This Row],[Unit Cost]]*Table3267[[#This Row],[Quantity Issued]]</f>
        <v>166.36</v>
      </c>
      <c r="I96" s="178">
        <f>_xlfn.XLOOKUP(Table3267[[#This Row],[Item]],Table13[Decription],Table13[February 2025 - Balance Qty])</f>
        <v>43</v>
      </c>
      <c r="J96" s="192" t="str">
        <f>_xlfn.XLOOKUP(Table3267[[#This Row],[Item]],Table13[Decription],Table13[Article])</f>
        <v>Office Supplies</v>
      </c>
      <c r="K96" s="43"/>
      <c r="L96" s="43"/>
    </row>
    <row r="97" spans="1:12" s="36" customFormat="1" ht="10.5" customHeight="1">
      <c r="A97" s="172" t="s">
        <v>309</v>
      </c>
      <c r="B97" s="179"/>
      <c r="C97" s="180"/>
      <c r="D97" s="183" t="s">
        <v>115</v>
      </c>
      <c r="E97" s="176" t="str">
        <f>_xlfn.XLOOKUP(Table3267[[#This Row],[Item]],Table13[Decription],Table13[Unit])</f>
        <v xml:space="preserve">piece </v>
      </c>
      <c r="F97" s="184">
        <v>10</v>
      </c>
      <c r="G97" s="176">
        <f>_xlfn.XLOOKUP(Table3267[[#This Row],[Item]],Table13[Decription],Table13[Unit Cost])</f>
        <v>20</v>
      </c>
      <c r="H97" s="177">
        <f>Table3267[[#This Row],[Unit Cost]]*Table3267[[#This Row],[Quantity Issued]]</f>
        <v>200</v>
      </c>
      <c r="I97" s="178">
        <f>_xlfn.XLOOKUP(Table3267[[#This Row],[Item]],Table13[Decription],Table13[February 2025 - Balance Qty])</f>
        <v>46</v>
      </c>
      <c r="J97" s="168" t="str">
        <f>_xlfn.XLOOKUP(Table3267[[#This Row],[Item]],Table13[Decription],Table13[Article])</f>
        <v>Office Supplies</v>
      </c>
      <c r="K97" s="43"/>
      <c r="L97" s="43"/>
    </row>
    <row r="98" spans="1:12" s="36" customFormat="1" ht="10.5" customHeight="1">
      <c r="A98" s="172" t="s">
        <v>310</v>
      </c>
      <c r="B98" s="179"/>
      <c r="C98" s="180"/>
      <c r="D98" s="175" t="s">
        <v>152</v>
      </c>
      <c r="E98" s="176" t="str">
        <f>_xlfn.XLOOKUP(Table3267[[#This Row],[Item]],Table13[Decription],Table13[Unit])</f>
        <v>roll</v>
      </c>
      <c r="F98" s="176">
        <v>1</v>
      </c>
      <c r="G98" s="176">
        <f>_xlfn.XLOOKUP(Table3267[[#This Row],[Item]],Table13[Decription],Table13[Unit Cost])</f>
        <v>28.72</v>
      </c>
      <c r="H98" s="177">
        <f>Table3267[[#This Row],[Unit Cost]]*Table3267[[#This Row],[Quantity Issued]]</f>
        <v>28.72</v>
      </c>
      <c r="I98" s="178">
        <f>_xlfn.XLOOKUP(Table3267[[#This Row],[Item]],Table13[Decription],Table13[February 2025 - Balance Qty])</f>
        <v>19</v>
      </c>
      <c r="J98" s="168" t="str">
        <f>_xlfn.XLOOKUP(Table3267[[#This Row],[Item]],Table13[Decription],Table13[Article])</f>
        <v>Office Supplies</v>
      </c>
      <c r="K98" s="43"/>
      <c r="L98" s="43"/>
    </row>
    <row r="99" spans="1:12" s="36" customFormat="1" ht="10.5" customHeight="1">
      <c r="A99" s="172" t="s">
        <v>310</v>
      </c>
      <c r="B99" s="179"/>
      <c r="C99" s="180"/>
      <c r="D99" s="183" t="s">
        <v>91</v>
      </c>
      <c r="E99" s="176" t="str">
        <f>_xlfn.XLOOKUP(Table3267[[#This Row],[Item]],Table13[Decription],Table13[Unit])</f>
        <v>piece</v>
      </c>
      <c r="F99" s="184">
        <v>2</v>
      </c>
      <c r="G99" s="176">
        <f>_xlfn.XLOOKUP(Table3267[[#This Row],[Item]],Table13[Decription],Table13[Unit Cost])</f>
        <v>6</v>
      </c>
      <c r="H99" s="177">
        <f>Table3267[[#This Row],[Unit Cost]]*Table3267[[#This Row],[Quantity Issued]]</f>
        <v>12</v>
      </c>
      <c r="I99" s="178">
        <f>_xlfn.XLOOKUP(Table3267[[#This Row],[Item]],Table13[Decription],Table13[February 2025 - Balance Qty])</f>
        <v>5</v>
      </c>
      <c r="J99" s="168" t="str">
        <f>_xlfn.XLOOKUP(Table3267[[#This Row],[Item]],Table13[Decription],Table13[Article])</f>
        <v>Office Supplies</v>
      </c>
      <c r="K99" s="43"/>
      <c r="L99" s="43"/>
    </row>
    <row r="100" spans="1:12" s="36" customFormat="1" ht="10.5" customHeight="1">
      <c r="A100" s="229" t="s">
        <v>310</v>
      </c>
      <c r="B100" s="230"/>
      <c r="C100" s="231"/>
      <c r="D100" s="175" t="s">
        <v>160</v>
      </c>
      <c r="E100" s="232" t="str">
        <f>_xlfn.XLOOKUP(Table3267[[#This Row],[Item]],Table13[Decription],Table13[Unit])</f>
        <v>piece</v>
      </c>
      <c r="F100" s="176">
        <v>3</v>
      </c>
      <c r="G100" s="232">
        <f>_xlfn.XLOOKUP(Table3267[[#This Row],[Item]],Table13[Decription],Table13[Unit Cost])</f>
        <v>83</v>
      </c>
      <c r="H100" s="233">
        <f>Table3267[[#This Row],[Unit Cost]]*Table3267[[#This Row],[Quantity Issued]]</f>
        <v>249</v>
      </c>
      <c r="I100" s="234">
        <f>_xlfn.XLOOKUP(Table3267[[#This Row],[Item]],Table13[Decription],Table13[February 2025 - Balance Qty])</f>
        <v>3</v>
      </c>
      <c r="J100" s="235" t="str">
        <f>_xlfn.XLOOKUP(Table3267[[#This Row],[Item]],Table13[Decription],Table13[Article])</f>
        <v>Office Supplies</v>
      </c>
      <c r="K100" s="43"/>
      <c r="L100" s="43"/>
    </row>
    <row r="101" spans="1:12" ht="10.5" customHeight="1">
      <c r="A101" s="229" t="s">
        <v>310</v>
      </c>
      <c r="B101" s="230"/>
      <c r="C101" s="231"/>
      <c r="D101" s="175" t="s">
        <v>149</v>
      </c>
      <c r="E101" s="232" t="str">
        <f>_xlfn.XLOOKUP(Table3267[[#This Row],[Item]],Table13[Decription],Table13[Unit])</f>
        <v>roll</v>
      </c>
      <c r="F101" s="176">
        <v>3</v>
      </c>
      <c r="G101" s="232">
        <f>_xlfn.XLOOKUP(Table3267[[#This Row],[Item]],Table13[Decription],Table13[Unit Cost])</f>
        <v>34.75</v>
      </c>
      <c r="H101" s="233">
        <f>Table3267[[#This Row],[Unit Cost]]*Table3267[[#This Row],[Quantity Issued]]</f>
        <v>104.25</v>
      </c>
      <c r="I101" s="234">
        <f>_xlfn.XLOOKUP(Table3267[[#This Row],[Item]],Table13[Decription],Table13[February 2025 - Balance Qty])</f>
        <v>17</v>
      </c>
      <c r="J101" s="235" t="str">
        <f>_xlfn.XLOOKUP(Table3267[[#This Row],[Item]],Table13[Decription],Table13[Article])</f>
        <v>Office Supplies</v>
      </c>
      <c r="K101" s="43"/>
      <c r="L101" s="43"/>
    </row>
    <row r="102" spans="1:12" ht="10.5" customHeight="1">
      <c r="A102" s="229" t="s">
        <v>311</v>
      </c>
      <c r="B102" s="230"/>
      <c r="C102" s="231"/>
      <c r="D102" s="175" t="s">
        <v>138</v>
      </c>
      <c r="E102" s="232" t="str">
        <f>_xlfn.XLOOKUP(Table3267[[#This Row],[Item]],Table13[Decription],Table13[Unit])</f>
        <v>bottle</v>
      </c>
      <c r="F102" s="176">
        <v>1</v>
      </c>
      <c r="G102" s="232">
        <f>_xlfn.XLOOKUP(Table3267[[#This Row],[Item]],Table13[Decription],Table13[Unit Cost])</f>
        <v>468.3</v>
      </c>
      <c r="H102" s="233">
        <f>Table3267[[#This Row],[Unit Cost]]*Table3267[[#This Row],[Quantity Issued]]</f>
        <v>468.3</v>
      </c>
      <c r="I102" s="234">
        <f>_xlfn.XLOOKUP(Table3267[[#This Row],[Item]],Table13[Decription],Table13[February 2025 - Balance Qty])</f>
        <v>13</v>
      </c>
      <c r="J102" s="235" t="str">
        <f>_xlfn.XLOOKUP(Table3267[[#This Row],[Item]],Table13[Decription],Table13[Article])</f>
        <v>Office Supplies</v>
      </c>
      <c r="K102" s="43"/>
      <c r="L102" s="43"/>
    </row>
    <row r="103" spans="1:12" ht="10.5" customHeight="1">
      <c r="A103" s="229" t="s">
        <v>311</v>
      </c>
      <c r="B103" s="230"/>
      <c r="C103" s="231"/>
      <c r="D103" s="175" t="s">
        <v>125</v>
      </c>
      <c r="E103" s="232" t="str">
        <f>_xlfn.XLOOKUP(Table3267[[#This Row],[Item]],Table13[Decription],Table13[Unit])</f>
        <v>pack</v>
      </c>
      <c r="F103" s="176">
        <v>2</v>
      </c>
      <c r="G103" s="232">
        <f>_xlfn.XLOOKUP(Table3267[[#This Row],[Item]],Table13[Decription],Table13[Unit Cost])</f>
        <v>150</v>
      </c>
      <c r="H103" s="233">
        <f>Table3267[[#This Row],[Unit Cost]]*Table3267[[#This Row],[Quantity Issued]]</f>
        <v>300</v>
      </c>
      <c r="I103" s="234">
        <f>_xlfn.XLOOKUP(Table3267[[#This Row],[Item]],Table13[Decription],Table13[February 2025 - Balance Qty])</f>
        <v>5</v>
      </c>
      <c r="J103" s="235" t="str">
        <f>_xlfn.XLOOKUP(Table3267[[#This Row],[Item]],Table13[Decription],Table13[Article])</f>
        <v>Office Supplies</v>
      </c>
      <c r="K103" s="43"/>
      <c r="L103" s="43"/>
    </row>
    <row r="104" spans="1:12" ht="10.5" customHeight="1">
      <c r="A104" s="229" t="s">
        <v>312</v>
      </c>
      <c r="B104" s="230"/>
      <c r="C104" s="231"/>
      <c r="D104" s="175" t="s">
        <v>157</v>
      </c>
      <c r="E104" s="232" t="str">
        <f>_xlfn.XLOOKUP(Table3267[[#This Row],[Item]],Table13[Decription],Table13[Unit])</f>
        <v>piece</v>
      </c>
      <c r="F104" s="176">
        <v>2</v>
      </c>
      <c r="G104" s="232">
        <f>_xlfn.XLOOKUP(Table3267[[#This Row],[Item]],Table13[Decription],Table13[Unit Cost])</f>
        <v>8.4</v>
      </c>
      <c r="H104" s="233">
        <f>Table3267[[#This Row],[Unit Cost]]*Table3267[[#This Row],[Quantity Issued]]</f>
        <v>16.8</v>
      </c>
      <c r="I104" s="234">
        <f>_xlfn.XLOOKUP(Table3267[[#This Row],[Item]],Table13[Decription],Table13[February 2025 - Balance Qty])</f>
        <v>62</v>
      </c>
      <c r="J104" s="235" t="str">
        <f>_xlfn.XLOOKUP(Table3267[[#This Row],[Item]],Table13[Decription],Table13[Article])</f>
        <v>Office Supplies</v>
      </c>
      <c r="K104" s="43"/>
      <c r="L104" s="43"/>
    </row>
    <row r="105" spans="1:12" ht="10.5" customHeight="1">
      <c r="A105" s="229" t="s">
        <v>313</v>
      </c>
      <c r="B105" s="230"/>
      <c r="C105" s="231"/>
      <c r="D105" s="175" t="s">
        <v>149</v>
      </c>
      <c r="E105" s="232" t="str">
        <f>_xlfn.XLOOKUP(Table3267[[#This Row],[Item]],Table13[Decription],Table13[Unit])</f>
        <v>roll</v>
      </c>
      <c r="F105" s="176">
        <v>1</v>
      </c>
      <c r="G105" s="232">
        <f>_xlfn.XLOOKUP(Table3267[[#This Row],[Item]],Table13[Decription],Table13[Unit Cost])</f>
        <v>34.75</v>
      </c>
      <c r="H105" s="233">
        <f>Table3267[[#This Row],[Unit Cost]]*Table3267[[#This Row],[Quantity Issued]]</f>
        <v>34.75</v>
      </c>
      <c r="I105" s="234">
        <f>_xlfn.XLOOKUP(Table3267[[#This Row],[Item]],Table13[Decription],Table13[February 2025 - Balance Qty])</f>
        <v>17</v>
      </c>
      <c r="J105" s="235" t="str">
        <f>_xlfn.XLOOKUP(Table3267[[#This Row],[Item]],Table13[Decription],Table13[Article])</f>
        <v>Office Supplies</v>
      </c>
      <c r="K105" s="43"/>
      <c r="L105" s="43"/>
    </row>
    <row r="106" spans="1:12" ht="10.5" customHeight="1">
      <c r="A106" s="229" t="s">
        <v>313</v>
      </c>
      <c r="B106" s="230"/>
      <c r="C106" s="231"/>
      <c r="D106" s="175" t="s">
        <v>64</v>
      </c>
      <c r="E106" s="232" t="str">
        <f>_xlfn.XLOOKUP(Table3267[[#This Row],[Item]],Table13[Decription],Table13[Unit])</f>
        <v>piece</v>
      </c>
      <c r="F106" s="176">
        <v>1</v>
      </c>
      <c r="G106" s="232">
        <f>_xlfn.XLOOKUP(Table3267[[#This Row],[Item]],Table13[Decription],Table13[Unit Cost])</f>
        <v>8.5755407899999998</v>
      </c>
      <c r="H106" s="233">
        <f>Table3267[[#This Row],[Unit Cost]]*Table3267[[#This Row],[Quantity Issued]]</f>
        <v>8.5755407899999998</v>
      </c>
      <c r="I106" s="234">
        <f>_xlfn.XLOOKUP(Table3267[[#This Row],[Item]],Table13[Decription],Table13[February 2025 - Balance Qty])</f>
        <v>395</v>
      </c>
      <c r="J106" s="235" t="str">
        <f>_xlfn.XLOOKUP(Table3267[[#This Row],[Item]],Table13[Decription],Table13[Article])</f>
        <v>Office Supplies</v>
      </c>
      <c r="K106" s="43"/>
      <c r="L106" s="43"/>
    </row>
    <row r="107" spans="1:12" ht="10.5" customHeight="1">
      <c r="A107" s="229" t="s">
        <v>313</v>
      </c>
      <c r="B107" s="230"/>
      <c r="C107" s="231"/>
      <c r="D107" s="175" t="s">
        <v>48</v>
      </c>
      <c r="E107" s="232" t="str">
        <f>_xlfn.XLOOKUP(Table3267[[#This Row],[Item]],Table13[Decription],Table13[Unit])</f>
        <v>piece</v>
      </c>
      <c r="F107" s="176">
        <v>5</v>
      </c>
      <c r="G107" s="232">
        <f>_xlfn.XLOOKUP(Table3267[[#This Row],[Item]],Table13[Decription],Table13[Unit Cost])</f>
        <v>3.875</v>
      </c>
      <c r="H107" s="233">
        <f>Table3267[[#This Row],[Unit Cost]]*Table3267[[#This Row],[Quantity Issued]]</f>
        <v>19.375</v>
      </c>
      <c r="I107" s="234">
        <f>_xlfn.XLOOKUP(Table3267[[#This Row],[Item]],Table13[Decription],Table13[February 2025 - Balance Qty])</f>
        <v>105</v>
      </c>
      <c r="J107" s="235" t="str">
        <f>_xlfn.XLOOKUP(Table3267[[#This Row],[Item]],Table13[Decription],Table13[Article])</f>
        <v>Office Supplies</v>
      </c>
      <c r="K107" s="43"/>
      <c r="L107" s="43"/>
    </row>
    <row r="108" spans="1:12" ht="10.5" customHeight="1">
      <c r="A108" s="229" t="s">
        <v>314</v>
      </c>
      <c r="B108" s="230"/>
      <c r="C108" s="231"/>
      <c r="D108" s="175" t="s">
        <v>92</v>
      </c>
      <c r="E108" s="232" t="str">
        <f>_xlfn.XLOOKUP(Table3267[[#This Row],[Item]],Table13[Decription],Table13[Unit])</f>
        <v>piece</v>
      </c>
      <c r="F108" s="176">
        <v>1</v>
      </c>
      <c r="G108" s="232">
        <f>_xlfn.XLOOKUP(Table3267[[#This Row],[Item]],Table13[Decription],Table13[Unit Cost])</f>
        <v>132</v>
      </c>
      <c r="H108" s="233">
        <f>Table3267[[#This Row],[Unit Cost]]*Table3267[[#This Row],[Quantity Issued]]</f>
        <v>132</v>
      </c>
      <c r="I108" s="234">
        <f>_xlfn.XLOOKUP(Table3267[[#This Row],[Item]],Table13[Decription],Table13[February 2025 - Balance Qty])</f>
        <v>4</v>
      </c>
      <c r="J108" s="235" t="str">
        <f>_xlfn.XLOOKUP(Table3267[[#This Row],[Item]],Table13[Decription],Table13[Article])</f>
        <v>Office Supplies</v>
      </c>
      <c r="K108" s="43"/>
      <c r="L108" s="43"/>
    </row>
    <row r="109" spans="1:12" ht="10.5" customHeight="1">
      <c r="A109" s="229" t="s">
        <v>315</v>
      </c>
      <c r="B109" s="230"/>
      <c r="C109" s="231"/>
      <c r="D109" s="175" t="s">
        <v>49</v>
      </c>
      <c r="E109" s="232" t="str">
        <f>_xlfn.XLOOKUP(Table3267[[#This Row],[Item]],Table13[Decription],Table13[Unit])</f>
        <v>box</v>
      </c>
      <c r="F109" s="176">
        <v>1</v>
      </c>
      <c r="G109" s="232">
        <f>_xlfn.XLOOKUP(Table3267[[#This Row],[Item]],Table13[Decription],Table13[Unit Cost])</f>
        <v>47.93</v>
      </c>
      <c r="H109" s="233">
        <f>Table3267[[#This Row],[Unit Cost]]*Table3267[[#This Row],[Quantity Issued]]</f>
        <v>47.93</v>
      </c>
      <c r="I109" s="234">
        <f>_xlfn.XLOOKUP(Table3267[[#This Row],[Item]],Table13[Decription],Table13[February 2025 - Balance Qty])</f>
        <v>8</v>
      </c>
      <c r="J109" s="235" t="str">
        <f>_xlfn.XLOOKUP(Table3267[[#This Row],[Item]],Table13[Decription],Table13[Article])</f>
        <v>Office Supplies</v>
      </c>
      <c r="K109" s="43"/>
      <c r="L109" s="43"/>
    </row>
    <row r="110" spans="1:12" ht="10.5" customHeight="1">
      <c r="A110" s="229" t="s">
        <v>316</v>
      </c>
      <c r="B110" s="230"/>
      <c r="C110" s="231"/>
      <c r="D110" s="175" t="s">
        <v>116</v>
      </c>
      <c r="E110" s="232" t="str">
        <f>_xlfn.XLOOKUP(Table3267[[#This Row],[Item]],Table13[Decription],Table13[Unit])</f>
        <v>box</v>
      </c>
      <c r="F110" s="176">
        <v>1</v>
      </c>
      <c r="G110" s="232">
        <f>_xlfn.XLOOKUP(Table3267[[#This Row],[Item]],Table13[Decription],Table13[Unit Cost])</f>
        <v>88.46</v>
      </c>
      <c r="H110" s="233">
        <f>Table3267[[#This Row],[Unit Cost]]*Table3267[[#This Row],[Quantity Issued]]</f>
        <v>88.46</v>
      </c>
      <c r="I110" s="234">
        <f>_xlfn.XLOOKUP(Table3267[[#This Row],[Item]],Table13[Decription],Table13[February 2025 - Balance Qty])</f>
        <v>2</v>
      </c>
      <c r="J110" s="235" t="str">
        <f>_xlfn.XLOOKUP(Table3267[[#This Row],[Item]],Table13[Decription],Table13[Article])</f>
        <v>Office Supplies</v>
      </c>
      <c r="K110" s="43"/>
      <c r="L110" s="43"/>
    </row>
    <row r="111" spans="1:12" ht="10.5" customHeight="1">
      <c r="A111" s="229" t="s">
        <v>317</v>
      </c>
      <c r="B111" s="230"/>
      <c r="C111" s="231"/>
      <c r="D111" s="175" t="s">
        <v>85</v>
      </c>
      <c r="E111" s="232" t="str">
        <f>_xlfn.XLOOKUP(Table3267[[#This Row],[Item]],Table13[Decription],Table13[Unit])</f>
        <v>piece</v>
      </c>
      <c r="F111" s="176">
        <v>1</v>
      </c>
      <c r="G111" s="232">
        <f>_xlfn.XLOOKUP(Table3267[[#This Row],[Item]],Table13[Decription],Table13[Unit Cost])</f>
        <v>110</v>
      </c>
      <c r="H111" s="233">
        <f>Table3267[[#This Row],[Unit Cost]]*Table3267[[#This Row],[Quantity Issued]]</f>
        <v>110</v>
      </c>
      <c r="I111" s="234">
        <f>_xlfn.XLOOKUP(Table3267[[#This Row],[Item]],Table13[Decription],Table13[February 2025 - Balance Qty])</f>
        <v>3</v>
      </c>
      <c r="J111" s="235" t="str">
        <f>_xlfn.XLOOKUP(Table3267[[#This Row],[Item]],Table13[Decription],Table13[Article])</f>
        <v>Office Supplies</v>
      </c>
      <c r="K111" s="43"/>
      <c r="L111" s="43"/>
    </row>
    <row r="112" spans="1:12" ht="10.5" customHeight="1">
      <c r="A112" s="229" t="s">
        <v>317</v>
      </c>
      <c r="B112" s="230"/>
      <c r="C112" s="231"/>
      <c r="D112" s="175" t="s">
        <v>108</v>
      </c>
      <c r="E112" s="232" t="str">
        <f>_xlfn.XLOOKUP(Table3267[[#This Row],[Item]],Table13[Decription],Table13[Unit])</f>
        <v>box</v>
      </c>
      <c r="F112" s="176">
        <v>3</v>
      </c>
      <c r="G112" s="232">
        <f>_xlfn.XLOOKUP(Table3267[[#This Row],[Item]],Table13[Decription],Table13[Unit Cost])</f>
        <v>43.53</v>
      </c>
      <c r="H112" s="233">
        <f>Table3267[[#This Row],[Unit Cost]]*Table3267[[#This Row],[Quantity Issued]]</f>
        <v>130.59</v>
      </c>
      <c r="I112" s="234">
        <f>_xlfn.XLOOKUP(Table3267[[#This Row],[Item]],Table13[Decription],Table13[February 2025 - Balance Qty])</f>
        <v>14</v>
      </c>
      <c r="J112" s="235" t="str">
        <f>_xlfn.XLOOKUP(Table3267[[#This Row],[Item]],Table13[Decription],Table13[Article])</f>
        <v>Office Supplies</v>
      </c>
      <c r="K112" s="43"/>
      <c r="L112" s="43"/>
    </row>
    <row r="113" spans="1:12" ht="10.5" customHeight="1">
      <c r="A113" s="229" t="s">
        <v>318</v>
      </c>
      <c r="B113" s="230"/>
      <c r="C113" s="231"/>
      <c r="D113" s="175" t="s">
        <v>48</v>
      </c>
      <c r="E113" s="232" t="str">
        <f>_xlfn.XLOOKUP(Table3267[[#This Row],[Item]],Table13[Decription],Table13[Unit])</f>
        <v>piece</v>
      </c>
      <c r="F113" s="176">
        <v>1</v>
      </c>
      <c r="G113" s="232">
        <f>_xlfn.XLOOKUP(Table3267[[#This Row],[Item]],Table13[Decription],Table13[Unit Cost])</f>
        <v>3.875</v>
      </c>
      <c r="H113" s="233">
        <f>Table3267[[#This Row],[Unit Cost]]*Table3267[[#This Row],[Quantity Issued]]</f>
        <v>3.875</v>
      </c>
      <c r="I113" s="234">
        <f>_xlfn.XLOOKUP(Table3267[[#This Row],[Item]],Table13[Decription],Table13[February 2025 - Balance Qty])</f>
        <v>105</v>
      </c>
      <c r="J113" s="235" t="str">
        <f>_xlfn.XLOOKUP(Table3267[[#This Row],[Item]],Table13[Decription],Table13[Article])</f>
        <v>Office Supplies</v>
      </c>
      <c r="K113" s="43"/>
      <c r="L113" s="43"/>
    </row>
    <row r="114" spans="1:12" ht="10.5" customHeight="1">
      <c r="A114" s="229" t="s">
        <v>318</v>
      </c>
      <c r="B114" s="230"/>
      <c r="C114" s="231"/>
      <c r="D114" s="175" t="s">
        <v>109</v>
      </c>
      <c r="E114" s="232" t="str">
        <f>_xlfn.XLOOKUP(Table3267[[#This Row],[Item]],Table13[Decription],Table13[Unit])</f>
        <v>piece</v>
      </c>
      <c r="F114" s="176">
        <v>1</v>
      </c>
      <c r="G114" s="232">
        <f>_xlfn.XLOOKUP(Table3267[[#This Row],[Item]],Table13[Decription],Table13[Unit Cost])</f>
        <v>245</v>
      </c>
      <c r="H114" s="233">
        <f>Table3267[[#This Row],[Unit Cost]]*Table3267[[#This Row],[Quantity Issued]]</f>
        <v>245</v>
      </c>
      <c r="I114" s="234">
        <f>_xlfn.XLOOKUP(Table3267[[#This Row],[Item]],Table13[Decription],Table13[February 2025 - Balance Qty])</f>
        <v>4</v>
      </c>
      <c r="J114" s="235" t="str">
        <f>_xlfn.XLOOKUP(Table3267[[#This Row],[Item]],Table13[Decription],Table13[Article])</f>
        <v>Office Supplies</v>
      </c>
      <c r="K114" s="43"/>
      <c r="L114" s="43"/>
    </row>
    <row r="115" spans="1:12" ht="10.5" customHeight="1">
      <c r="A115" s="229" t="s">
        <v>319</v>
      </c>
      <c r="B115" s="230"/>
      <c r="C115" s="231"/>
      <c r="D115" s="175" t="s">
        <v>118</v>
      </c>
      <c r="E115" s="232" t="str">
        <f>_xlfn.XLOOKUP(Table3267[[#This Row],[Item]],Table13[Decription],Table13[Unit])</f>
        <v>piece</v>
      </c>
      <c r="F115" s="176">
        <v>1</v>
      </c>
      <c r="G115" s="232">
        <f>_xlfn.XLOOKUP(Table3267[[#This Row],[Item]],Table13[Decription],Table13[Unit Cost])</f>
        <v>121</v>
      </c>
      <c r="H115" s="233">
        <f>Table3267[[#This Row],[Unit Cost]]*Table3267[[#This Row],[Quantity Issued]]</f>
        <v>121</v>
      </c>
      <c r="I115" s="234">
        <f>_xlfn.XLOOKUP(Table3267[[#This Row],[Item]],Table13[Decription],Table13[February 2025 - Balance Qty])</f>
        <v>3</v>
      </c>
      <c r="J115" s="235" t="str">
        <f>_xlfn.XLOOKUP(Table3267[[#This Row],[Item]],Table13[Decription],Table13[Article])</f>
        <v>Office Supplies</v>
      </c>
    </row>
    <row r="116" spans="1:12" ht="10.5" customHeight="1">
      <c r="A116" s="172" t="s">
        <v>319</v>
      </c>
      <c r="B116" s="179"/>
      <c r="C116" s="180"/>
      <c r="D116" s="175" t="s">
        <v>122</v>
      </c>
      <c r="E116" s="176" t="str">
        <f>_xlfn.XLOOKUP(Table3267[[#This Row],[Item]],Table13[Decription],Table13[Unit])</f>
        <v xml:space="preserve">piece </v>
      </c>
      <c r="F116" s="176">
        <v>9</v>
      </c>
      <c r="G116" s="176">
        <f>_xlfn.XLOOKUP(Table3267[[#This Row],[Item]],Table13[Decription],Table13[Unit Cost])</f>
        <v>83.18</v>
      </c>
      <c r="H116" s="177">
        <f>Table3267[[#This Row],[Unit Cost]]*Table3267[[#This Row],[Quantity Issued]]</f>
        <v>748.62000000000012</v>
      </c>
      <c r="I116" s="178">
        <f>_xlfn.XLOOKUP(Table3267[[#This Row],[Item]],Table13[Decription],Table13[February 2025 - Balance Qty])</f>
        <v>43</v>
      </c>
      <c r="J116" s="167" t="str">
        <f>_xlfn.XLOOKUP(Table3267[[#This Row],[Item]],Table13[Decription],Table13[Article])</f>
        <v>Office Supplies</v>
      </c>
    </row>
    <row r="117" spans="1:12" ht="10.5" customHeight="1">
      <c r="A117" s="172" t="s">
        <v>319</v>
      </c>
      <c r="B117" s="179"/>
      <c r="C117" s="180"/>
      <c r="D117" s="175" t="s">
        <v>120</v>
      </c>
      <c r="E117" s="176" t="str">
        <f>_xlfn.XLOOKUP(Table3267[[#This Row],[Item]],Table13[Decription],Table13[Unit])</f>
        <v>pack</v>
      </c>
      <c r="F117" s="176">
        <v>7</v>
      </c>
      <c r="G117" s="176">
        <f>_xlfn.XLOOKUP(Table3267[[#This Row],[Item]],Table13[Decription],Table13[Unit Cost])</f>
        <v>80.558285699999999</v>
      </c>
      <c r="H117" s="177">
        <f>Table3267[[#This Row],[Unit Cost]]*Table3267[[#This Row],[Quantity Issued]]</f>
        <v>563.90799990000005</v>
      </c>
      <c r="I117" s="178">
        <f>_xlfn.XLOOKUP(Table3267[[#This Row],[Item]],Table13[Decription],Table13[February 2025 - Balance Qty])</f>
        <v>34</v>
      </c>
      <c r="J117" s="168" t="str">
        <f>_xlfn.XLOOKUP(Table3267[[#This Row],[Item]],Table13[Decription],Table13[Article])</f>
        <v>Office Supplies</v>
      </c>
    </row>
    <row r="118" spans="1:12" ht="10.5" customHeight="1">
      <c r="A118" s="172" t="s">
        <v>320</v>
      </c>
      <c r="B118" s="179"/>
      <c r="C118" s="180"/>
      <c r="D118" s="175" t="s">
        <v>102</v>
      </c>
      <c r="E118" s="176" t="str">
        <f>_xlfn.XLOOKUP(Table3267[[#This Row],[Item]],Table13[Decription],Table13[Unit])</f>
        <v>box</v>
      </c>
      <c r="F118" s="176">
        <v>1</v>
      </c>
      <c r="G118" s="176">
        <f>_xlfn.XLOOKUP(Table3267[[#This Row],[Item]],Table13[Decription],Table13[Unit Cost])</f>
        <v>100</v>
      </c>
      <c r="H118" s="177">
        <f>Table3267[[#This Row],[Unit Cost]]*Table3267[[#This Row],[Quantity Issued]]</f>
        <v>100</v>
      </c>
      <c r="I118" s="178">
        <f>_xlfn.XLOOKUP(Table3267[[#This Row],[Item]],Table13[Decription],Table13[February 2025 - Balance Qty])</f>
        <v>3</v>
      </c>
      <c r="J118" s="168" t="str">
        <f>_xlfn.XLOOKUP(Table3267[[#This Row],[Item]],Table13[Decription],Table13[Article])</f>
        <v>Office Supplies</v>
      </c>
    </row>
    <row r="119" spans="1:12" ht="10.5" customHeight="1">
      <c r="A119" s="172" t="s">
        <v>320</v>
      </c>
      <c r="B119" s="179"/>
      <c r="C119" s="180"/>
      <c r="D119" s="175" t="s">
        <v>49</v>
      </c>
      <c r="E119" s="176" t="str">
        <f>_xlfn.XLOOKUP(Table3267[[#This Row],[Item]],Table13[Decription],Table13[Unit])</f>
        <v>box</v>
      </c>
      <c r="F119" s="176">
        <v>1</v>
      </c>
      <c r="G119" s="176">
        <f>_xlfn.XLOOKUP(Table3267[[#This Row],[Item]],Table13[Decription],Table13[Unit Cost])</f>
        <v>47.93</v>
      </c>
      <c r="H119" s="177">
        <f>Table3267[[#This Row],[Unit Cost]]*Table3267[[#This Row],[Quantity Issued]]</f>
        <v>47.93</v>
      </c>
      <c r="I119" s="178">
        <f>_xlfn.XLOOKUP(Table3267[[#This Row],[Item]],Table13[Decription],Table13[February 2025 - Balance Qty])</f>
        <v>8</v>
      </c>
      <c r="J119" s="168" t="str">
        <f>_xlfn.XLOOKUP(Table3267[[#This Row],[Item]],Table13[Decription],Table13[Article])</f>
        <v>Office Supplies</v>
      </c>
    </row>
    <row r="120" spans="1:12" ht="10.5" customHeight="1">
      <c r="A120" s="172" t="s">
        <v>320</v>
      </c>
      <c r="B120" s="179"/>
      <c r="C120" s="180"/>
      <c r="D120" s="175" t="s">
        <v>68</v>
      </c>
      <c r="E120" s="176" t="str">
        <f>_xlfn.XLOOKUP(Table3267[[#This Row],[Item]],Table13[Decription],Table13[Unit])</f>
        <v>box</v>
      </c>
      <c r="F120" s="176">
        <v>1</v>
      </c>
      <c r="G120" s="176">
        <f>_xlfn.XLOOKUP(Table3267[[#This Row],[Item]],Table13[Decription],Table13[Unit Cost])</f>
        <v>20</v>
      </c>
      <c r="H120" s="177">
        <f>Table3267[[#This Row],[Unit Cost]]*Table3267[[#This Row],[Quantity Issued]]</f>
        <v>20</v>
      </c>
      <c r="I120" s="185">
        <f>_xlfn.XLOOKUP(Table3267[[#This Row],[Item]],Table13[Decription],Table13[February 2025 - Balance Qty])</f>
        <v>3</v>
      </c>
      <c r="J120" s="168" t="str">
        <f>_xlfn.XLOOKUP(Table3267[[#This Row],[Item]],Table13[Decription],Table13[Article])</f>
        <v>Office Supplies</v>
      </c>
    </row>
    <row r="121" spans="1:12" ht="10.5" customHeight="1">
      <c r="A121" s="172" t="s">
        <v>320</v>
      </c>
      <c r="B121" s="179"/>
      <c r="C121" s="180"/>
      <c r="D121" s="175" t="s">
        <v>89</v>
      </c>
      <c r="E121" s="176" t="str">
        <f>_xlfn.XLOOKUP(Table3267[[#This Row],[Item]],Table13[Decription],Table13[Unit])</f>
        <v>piece</v>
      </c>
      <c r="F121" s="176">
        <v>1</v>
      </c>
      <c r="G121" s="176">
        <f>_xlfn.XLOOKUP(Table3267[[#This Row],[Item]],Table13[Decription],Table13[Unit Cost])</f>
        <v>38.89</v>
      </c>
      <c r="H121" s="177">
        <f>Table3267[[#This Row],[Unit Cost]]*Table3267[[#This Row],[Quantity Issued]]</f>
        <v>38.89</v>
      </c>
      <c r="I121" s="185">
        <f>_xlfn.XLOOKUP(Table3267[[#This Row],[Item]],Table13[Decription],Table13[February 2025 - Balance Qty])</f>
        <v>30</v>
      </c>
      <c r="J121" s="168" t="str">
        <f>_xlfn.XLOOKUP(Table3267[[#This Row],[Item]],Table13[Decription],Table13[Article])</f>
        <v>Office Supplies</v>
      </c>
    </row>
    <row r="122" spans="1:12" ht="10.5" customHeight="1">
      <c r="A122" s="172" t="s">
        <v>321</v>
      </c>
      <c r="B122" s="179"/>
      <c r="C122" s="180"/>
      <c r="D122" s="175" t="s">
        <v>96</v>
      </c>
      <c r="E122" s="176" t="str">
        <f>_xlfn.XLOOKUP(Table3267[[#This Row],[Item]],Table13[Decription],Table13[Unit])</f>
        <v>pad</v>
      </c>
      <c r="F122" s="176">
        <v>1</v>
      </c>
      <c r="G122" s="176">
        <f>_xlfn.XLOOKUP(Table3267[[#This Row],[Item]],Table13[Decription],Table13[Unit Cost])</f>
        <v>27.22</v>
      </c>
      <c r="H122" s="177">
        <f>Table3267[[#This Row],[Unit Cost]]*Table3267[[#This Row],[Quantity Issued]]</f>
        <v>27.22</v>
      </c>
      <c r="I122" s="185">
        <f>_xlfn.XLOOKUP(Table3267[[#This Row],[Item]],Table13[Decription],Table13[February 2025 - Balance Qty])</f>
        <v>18</v>
      </c>
      <c r="J122" s="168" t="str">
        <f>_xlfn.XLOOKUP(Table3267[[#This Row],[Item]],Table13[Decription],Table13[Article])</f>
        <v>Office Supplies</v>
      </c>
    </row>
    <row r="123" spans="1:12" ht="10.5" customHeight="1">
      <c r="A123" s="229" t="s">
        <v>327</v>
      </c>
      <c r="B123" s="230"/>
      <c r="C123" s="231"/>
      <c r="D123" s="175" t="s">
        <v>105</v>
      </c>
      <c r="E123" s="232" t="str">
        <f>_xlfn.XLOOKUP(Table3267[[#This Row],[Item]],Table13[Decription],Table13[Unit])</f>
        <v>piece</v>
      </c>
      <c r="F123" s="176">
        <v>4</v>
      </c>
      <c r="G123" s="232">
        <f>_xlfn.XLOOKUP(Table3267[[#This Row],[Item]],Table13[Decription],Table13[Unit Cost])</f>
        <v>27.264615299999999</v>
      </c>
      <c r="H123" s="233">
        <f>Table3267[[#This Row],[Unit Cost]]*Table3267[[#This Row],[Quantity Issued]]</f>
        <v>109.0584612</v>
      </c>
      <c r="I123" s="236">
        <f>_xlfn.XLOOKUP(Table3267[[#This Row],[Item]],Table13[Decription],Table13[February 2025 - Balance Qty])</f>
        <v>65</v>
      </c>
      <c r="J123" s="235" t="str">
        <f>_xlfn.XLOOKUP(Table3267[[#This Row],[Item]],Table13[Decription],Table13[Article])</f>
        <v>Office Supplies</v>
      </c>
    </row>
    <row r="124" spans="1:12" ht="10.5" customHeight="1">
      <c r="A124" s="229" t="s">
        <v>327</v>
      </c>
      <c r="B124" s="230"/>
      <c r="C124" s="231"/>
      <c r="D124" s="175" t="s">
        <v>149</v>
      </c>
      <c r="E124" s="232" t="str">
        <f>_xlfn.XLOOKUP(Table3267[[#This Row],[Item]],Table13[Decription],Table13[Unit])</f>
        <v>roll</v>
      </c>
      <c r="F124" s="176">
        <v>1</v>
      </c>
      <c r="G124" s="232">
        <f>_xlfn.XLOOKUP(Table3267[[#This Row],[Item]],Table13[Decription],Table13[Unit Cost])</f>
        <v>34.75</v>
      </c>
      <c r="H124" s="233">
        <f>Table3267[[#This Row],[Unit Cost]]*Table3267[[#This Row],[Quantity Issued]]</f>
        <v>34.75</v>
      </c>
      <c r="I124" s="236">
        <f>_xlfn.XLOOKUP(Table3267[[#This Row],[Item]],Table13[Decription],Table13[February 2025 - Balance Qty])</f>
        <v>17</v>
      </c>
      <c r="J124" s="235" t="str">
        <f>_xlfn.XLOOKUP(Table3267[[#This Row],[Item]],Table13[Decription],Table13[Article])</f>
        <v>Office Supplies</v>
      </c>
    </row>
    <row r="125" spans="1:12" ht="10.5" customHeight="1">
      <c r="A125" s="229" t="s">
        <v>327</v>
      </c>
      <c r="B125" s="230"/>
      <c r="C125" s="231"/>
      <c r="D125" s="175" t="s">
        <v>152</v>
      </c>
      <c r="E125" s="232" t="str">
        <f>_xlfn.XLOOKUP(Table3267[[#This Row],[Item]],Table13[Decription],Table13[Unit])</f>
        <v>roll</v>
      </c>
      <c r="F125" s="176">
        <v>1</v>
      </c>
      <c r="G125" s="232">
        <f>_xlfn.XLOOKUP(Table3267[[#This Row],[Item]],Table13[Decription],Table13[Unit Cost])</f>
        <v>28.72</v>
      </c>
      <c r="H125" s="233">
        <f>Table3267[[#This Row],[Unit Cost]]*Table3267[[#This Row],[Quantity Issued]]</f>
        <v>28.72</v>
      </c>
      <c r="I125" s="236">
        <f>_xlfn.XLOOKUP(Table3267[[#This Row],[Item]],Table13[Decription],Table13[February 2025 - Balance Qty])</f>
        <v>19</v>
      </c>
      <c r="J125" s="235" t="str">
        <f>_xlfn.XLOOKUP(Table3267[[#This Row],[Item]],Table13[Decription],Table13[Article])</f>
        <v>Office Supplies</v>
      </c>
    </row>
    <row r="126" spans="1:12" ht="10.5" customHeight="1">
      <c r="A126" s="229" t="s">
        <v>327</v>
      </c>
      <c r="B126" s="230"/>
      <c r="C126" s="231"/>
      <c r="D126" s="175" t="s">
        <v>96</v>
      </c>
      <c r="E126" s="232" t="str">
        <f>_xlfn.XLOOKUP(Table3267[[#This Row],[Item]],Table13[Decription],Table13[Unit])</f>
        <v>pad</v>
      </c>
      <c r="F126" s="176">
        <v>2</v>
      </c>
      <c r="G126" s="232">
        <f>_xlfn.XLOOKUP(Table3267[[#This Row],[Item]],Table13[Decription],Table13[Unit Cost])</f>
        <v>27.22</v>
      </c>
      <c r="H126" s="233">
        <f>Table3267[[#This Row],[Unit Cost]]*Table3267[[#This Row],[Quantity Issued]]</f>
        <v>54.44</v>
      </c>
      <c r="I126" s="236">
        <f>_xlfn.XLOOKUP(Table3267[[#This Row],[Item]],Table13[Decription],Table13[February 2025 - Balance Qty])</f>
        <v>18</v>
      </c>
      <c r="J126" s="235" t="str">
        <f>_xlfn.XLOOKUP(Table3267[[#This Row],[Item]],Table13[Decription],Table13[Article])</f>
        <v>Office Supplies</v>
      </c>
    </row>
    <row r="127" spans="1:12" ht="10.5" customHeight="1">
      <c r="A127" s="229" t="s">
        <v>329</v>
      </c>
      <c r="B127" s="230"/>
      <c r="C127" s="231"/>
      <c r="D127" s="175" t="s">
        <v>96</v>
      </c>
      <c r="E127" s="232" t="str">
        <f>_xlfn.XLOOKUP(Table3267[[#This Row],[Item]],Table13[Decription],Table13[Unit])</f>
        <v>pad</v>
      </c>
      <c r="F127" s="176">
        <v>2</v>
      </c>
      <c r="G127" s="232">
        <f>_xlfn.XLOOKUP(Table3267[[#This Row],[Item]],Table13[Decription],Table13[Unit Cost])</f>
        <v>27.22</v>
      </c>
      <c r="H127" s="233">
        <f>Table3267[[#This Row],[Unit Cost]]*Table3267[[#This Row],[Quantity Issued]]</f>
        <v>54.44</v>
      </c>
      <c r="I127" s="236">
        <f>_xlfn.XLOOKUP(Table3267[[#This Row],[Item]],Table13[Decription],Table13[February 2025 - Balance Qty])</f>
        <v>18</v>
      </c>
      <c r="J127" s="235" t="str">
        <f>_xlfn.XLOOKUP(Table3267[[#This Row],[Item]],Table13[Decription],Table13[Article])</f>
        <v>Office Supplies</v>
      </c>
    </row>
    <row r="128" spans="1:12" ht="10.5" customHeight="1">
      <c r="A128" s="229" t="s">
        <v>334</v>
      </c>
      <c r="B128" s="230"/>
      <c r="C128" s="231"/>
      <c r="D128" s="175" t="s">
        <v>64</v>
      </c>
      <c r="E128" s="232" t="str">
        <f>_xlfn.XLOOKUP(Table3267[[#This Row],[Item]],Table13[Decription],Table13[Unit])</f>
        <v>piece</v>
      </c>
      <c r="F128" s="176">
        <v>20</v>
      </c>
      <c r="G128" s="232">
        <f>_xlfn.XLOOKUP(Table3267[[#This Row],[Item]],Table13[Decription],Table13[Unit Cost])</f>
        <v>8.5755407899999998</v>
      </c>
      <c r="H128" s="233">
        <f>Table3267[[#This Row],[Unit Cost]]*Table3267[[#This Row],[Quantity Issued]]</f>
        <v>171.51081579999999</v>
      </c>
      <c r="I128" s="236">
        <f>_xlfn.XLOOKUP(Table3267[[#This Row],[Item]],Table13[Decription],Table13[February 2025 - Balance Qty])</f>
        <v>395</v>
      </c>
      <c r="J128" s="235" t="str">
        <f>_xlfn.XLOOKUP(Table3267[[#This Row],[Item]],Table13[Decription],Table13[Article])</f>
        <v>Office Supplies</v>
      </c>
    </row>
    <row r="129" spans="1:10" ht="10.5" customHeight="1">
      <c r="A129" s="229" t="s">
        <v>334</v>
      </c>
      <c r="B129" s="230"/>
      <c r="C129" s="231"/>
      <c r="D129" s="175" t="s">
        <v>48</v>
      </c>
      <c r="E129" s="232" t="str">
        <f>_xlfn.XLOOKUP(Table3267[[#This Row],[Item]],Table13[Decription],Table13[Unit])</f>
        <v>piece</v>
      </c>
      <c r="F129" s="176">
        <v>5</v>
      </c>
      <c r="G129" s="232">
        <f>_xlfn.XLOOKUP(Table3267[[#This Row],[Item]],Table13[Decription],Table13[Unit Cost])</f>
        <v>3.875</v>
      </c>
      <c r="H129" s="233">
        <f>Table3267[[#This Row],[Unit Cost]]*Table3267[[#This Row],[Quantity Issued]]</f>
        <v>19.375</v>
      </c>
      <c r="I129" s="236">
        <f>_xlfn.XLOOKUP(Table3267[[#This Row],[Item]],Table13[Decription],Table13[February 2025 - Balance Qty])</f>
        <v>105</v>
      </c>
      <c r="J129" s="235" t="str">
        <f>_xlfn.XLOOKUP(Table3267[[#This Row],[Item]],Table13[Decription],Table13[Article])</f>
        <v>Office Supplies</v>
      </c>
    </row>
    <row r="130" spans="1:10" ht="10.5" customHeight="1">
      <c r="A130" s="229" t="s">
        <v>335</v>
      </c>
      <c r="B130" s="230"/>
      <c r="C130" s="231"/>
      <c r="D130" s="175" t="s">
        <v>105</v>
      </c>
      <c r="E130" s="232" t="str">
        <f>_xlfn.XLOOKUP(Table3267[[#This Row],[Item]],Table13[Decription],Table13[Unit])</f>
        <v>piece</v>
      </c>
      <c r="F130" s="176">
        <v>8</v>
      </c>
      <c r="G130" s="232">
        <f>_xlfn.XLOOKUP(Table3267[[#This Row],[Item]],Table13[Decription],Table13[Unit Cost])</f>
        <v>27.264615299999999</v>
      </c>
      <c r="H130" s="233">
        <f>Table3267[[#This Row],[Unit Cost]]*Table3267[[#This Row],[Quantity Issued]]</f>
        <v>218.11692239999999</v>
      </c>
      <c r="I130" s="236">
        <f>_xlfn.XLOOKUP(Table3267[[#This Row],[Item]],Table13[Decription],Table13[February 2025 - Balance Qty])</f>
        <v>65</v>
      </c>
      <c r="J130" s="235" t="str">
        <f>_xlfn.XLOOKUP(Table3267[[#This Row],[Item]],Table13[Decription],Table13[Article])</f>
        <v>Office Supplies</v>
      </c>
    </row>
    <row r="131" spans="1:10" ht="10.5" customHeight="1">
      <c r="A131" s="229" t="s">
        <v>336</v>
      </c>
      <c r="B131" s="230"/>
      <c r="C131" s="231"/>
      <c r="D131" s="175" t="s">
        <v>122</v>
      </c>
      <c r="E131" s="232" t="str">
        <f>_xlfn.XLOOKUP(Table3267[[#This Row],[Item]],Table13[Decription],Table13[Unit])</f>
        <v xml:space="preserve">piece </v>
      </c>
      <c r="F131" s="176">
        <v>5</v>
      </c>
      <c r="G131" s="232">
        <f>_xlfn.XLOOKUP(Table3267[[#This Row],[Item]],Table13[Decription],Table13[Unit Cost])</f>
        <v>83.18</v>
      </c>
      <c r="H131" s="233">
        <f>Table3267[[#This Row],[Unit Cost]]*Table3267[[#This Row],[Quantity Issued]]</f>
        <v>415.90000000000003</v>
      </c>
      <c r="I131" s="236">
        <f>_xlfn.XLOOKUP(Table3267[[#This Row],[Item]],Table13[Decription],Table13[February 2025 - Balance Qty])</f>
        <v>43</v>
      </c>
      <c r="J131" s="235" t="str">
        <f>_xlfn.XLOOKUP(Table3267[[#This Row],[Item]],Table13[Decription],Table13[Article])</f>
        <v>Office Supplies</v>
      </c>
    </row>
    <row r="132" spans="1:10" ht="10.5" customHeight="1">
      <c r="A132" s="229" t="s">
        <v>336</v>
      </c>
      <c r="B132" s="230"/>
      <c r="C132" s="231"/>
      <c r="D132" s="175" t="s">
        <v>120</v>
      </c>
      <c r="E132" s="232" t="str">
        <f>_xlfn.XLOOKUP(Table3267[[#This Row],[Item]],Table13[Decription],Table13[Unit])</f>
        <v>pack</v>
      </c>
      <c r="F132" s="176">
        <v>5</v>
      </c>
      <c r="G132" s="232">
        <f>_xlfn.XLOOKUP(Table3267[[#This Row],[Item]],Table13[Decription],Table13[Unit Cost])</f>
        <v>80.558285699999999</v>
      </c>
      <c r="H132" s="233">
        <f>Table3267[[#This Row],[Unit Cost]]*Table3267[[#This Row],[Quantity Issued]]</f>
        <v>402.79142849999999</v>
      </c>
      <c r="I132" s="236">
        <f>_xlfn.XLOOKUP(Table3267[[#This Row],[Item]],Table13[Decription],Table13[February 2025 - Balance Qty])</f>
        <v>34</v>
      </c>
      <c r="J132" s="235" t="str">
        <f>_xlfn.XLOOKUP(Table3267[[#This Row],[Item]],Table13[Decription],Table13[Article])</f>
        <v>Office Supplies</v>
      </c>
    </row>
    <row r="133" spans="1:10" ht="10.5" customHeight="1">
      <c r="A133" s="229" t="s">
        <v>337</v>
      </c>
      <c r="B133" s="230"/>
      <c r="C133" s="231"/>
      <c r="D133" s="175" t="s">
        <v>51</v>
      </c>
      <c r="E133" s="232" t="str">
        <f>_xlfn.XLOOKUP(Table3267[[#This Row],[Item]],Table13[Decription],Table13[Unit])</f>
        <v>ream</v>
      </c>
      <c r="F133" s="176">
        <v>1</v>
      </c>
      <c r="G133" s="232">
        <f>_xlfn.XLOOKUP(Table3267[[#This Row],[Item]],Table13[Decription],Table13[Unit Cost])</f>
        <v>340.17</v>
      </c>
      <c r="H133" s="233">
        <f>Table3267[[#This Row],[Unit Cost]]*Table3267[[#This Row],[Quantity Issued]]</f>
        <v>340.17</v>
      </c>
      <c r="I133" s="236">
        <f>_xlfn.XLOOKUP(Table3267[[#This Row],[Item]],Table13[Decription],Table13[February 2025 - Balance Qty])</f>
        <v>10</v>
      </c>
      <c r="J133" s="235" t="str">
        <f>_xlfn.XLOOKUP(Table3267[[#This Row],[Item]],Table13[Decription],Table13[Article])</f>
        <v>Office Supplies</v>
      </c>
    </row>
    <row r="134" spans="1:10" ht="10.5" customHeight="1">
      <c r="A134" s="229" t="s">
        <v>338</v>
      </c>
      <c r="B134" s="230"/>
      <c r="C134" s="231"/>
      <c r="D134" s="175" t="s">
        <v>122</v>
      </c>
      <c r="E134" s="232" t="str">
        <f>_xlfn.XLOOKUP(Table3267[[#This Row],[Item]],Table13[Decription],Table13[Unit])</f>
        <v xml:space="preserve">piece </v>
      </c>
      <c r="F134" s="176">
        <v>5</v>
      </c>
      <c r="G134" s="232">
        <f>_xlfn.XLOOKUP(Table3267[[#This Row],[Item]],Table13[Decription],Table13[Unit Cost])</f>
        <v>83.18</v>
      </c>
      <c r="H134" s="233">
        <f>Table3267[[#This Row],[Unit Cost]]*Table3267[[#This Row],[Quantity Issued]]</f>
        <v>415.90000000000003</v>
      </c>
      <c r="I134" s="236">
        <f>_xlfn.XLOOKUP(Table3267[[#This Row],[Item]],Table13[Decription],Table13[February 2025 - Balance Qty])</f>
        <v>43</v>
      </c>
      <c r="J134" s="235" t="str">
        <f>_xlfn.XLOOKUP(Table3267[[#This Row],[Item]],Table13[Decription],Table13[Article])</f>
        <v>Office Supplies</v>
      </c>
    </row>
    <row r="135" spans="1:10" ht="10.5" customHeight="1">
      <c r="A135" s="229" t="s">
        <v>338</v>
      </c>
      <c r="B135" s="230"/>
      <c r="C135" s="231"/>
      <c r="D135" s="175" t="s">
        <v>122</v>
      </c>
      <c r="E135" s="232" t="str">
        <f>_xlfn.XLOOKUP(Table3267[[#This Row],[Item]],Table13[Decription],Table13[Unit])</f>
        <v xml:space="preserve">piece </v>
      </c>
      <c r="F135" s="176">
        <v>9</v>
      </c>
      <c r="G135" s="232">
        <f>_xlfn.XLOOKUP(Table3267[[#This Row],[Item]],Table13[Decription],Table13[Unit Cost])</f>
        <v>83.18</v>
      </c>
      <c r="H135" s="233">
        <f>Table3267[[#This Row],[Unit Cost]]*Table3267[[#This Row],[Quantity Issued]]</f>
        <v>748.62000000000012</v>
      </c>
      <c r="I135" s="236">
        <f>_xlfn.XLOOKUP(Table3267[[#This Row],[Item]],Table13[Decription],Table13[February 2025 - Balance Qty])</f>
        <v>43</v>
      </c>
      <c r="J135" s="235" t="str">
        <f>_xlfn.XLOOKUP(Table3267[[#This Row],[Item]],Table13[Decription],Table13[Article])</f>
        <v>Office Supplies</v>
      </c>
    </row>
    <row r="136" spans="1:10" ht="10.5" customHeight="1">
      <c r="A136" s="229" t="s">
        <v>338</v>
      </c>
      <c r="B136" s="230"/>
      <c r="C136" s="231"/>
      <c r="D136" s="175" t="s">
        <v>120</v>
      </c>
      <c r="E136" s="232" t="str">
        <f>_xlfn.XLOOKUP(Table3267[[#This Row],[Item]],Table13[Decription],Table13[Unit])</f>
        <v>pack</v>
      </c>
      <c r="F136" s="176">
        <v>9</v>
      </c>
      <c r="G136" s="232">
        <f>_xlfn.XLOOKUP(Table3267[[#This Row],[Item]],Table13[Decription],Table13[Unit Cost])</f>
        <v>80.558285699999999</v>
      </c>
      <c r="H136" s="233">
        <f>Table3267[[#This Row],[Unit Cost]]*Table3267[[#This Row],[Quantity Issued]]</f>
        <v>725.02457129999993</v>
      </c>
      <c r="I136" s="236">
        <f>_xlfn.XLOOKUP(Table3267[[#This Row],[Item]],Table13[Decription],Table13[February 2025 - Balance Qty])</f>
        <v>34</v>
      </c>
      <c r="J136" s="235" t="str">
        <f>_xlfn.XLOOKUP(Table3267[[#This Row],[Item]],Table13[Decription],Table13[Article])</f>
        <v>Office Supplies</v>
      </c>
    </row>
    <row r="137" spans="1:10" ht="10.5" customHeight="1">
      <c r="A137" s="229" t="s">
        <v>348</v>
      </c>
      <c r="B137" s="230"/>
      <c r="C137" s="231"/>
      <c r="D137" s="175" t="s">
        <v>64</v>
      </c>
      <c r="E137" s="232" t="str">
        <f>_xlfn.XLOOKUP(Table3267[[#This Row],[Item]],Table13[Decription],Table13[Unit])</f>
        <v>piece</v>
      </c>
      <c r="F137" s="176">
        <v>2</v>
      </c>
      <c r="G137" s="232">
        <f>_xlfn.XLOOKUP(Table3267[[#This Row],[Item]],Table13[Decription],Table13[Unit Cost])</f>
        <v>8.5755407899999998</v>
      </c>
      <c r="H137" s="233">
        <f>Table3267[[#This Row],[Unit Cost]]*Table3267[[#This Row],[Quantity Issued]]</f>
        <v>17.15108158</v>
      </c>
      <c r="I137" s="236">
        <f>_xlfn.XLOOKUP(Table3267[[#This Row],[Item]],Table13[Decription],Table13[February 2025 - Balance Qty])</f>
        <v>395</v>
      </c>
      <c r="J137" s="235" t="str">
        <f>_xlfn.XLOOKUP(Table3267[[#This Row],[Item]],Table13[Decription],Table13[Article])</f>
        <v>Office Supplies</v>
      </c>
    </row>
    <row r="138" spans="1:10" ht="10.5" customHeight="1">
      <c r="A138" s="229" t="s">
        <v>349</v>
      </c>
      <c r="B138" s="230"/>
      <c r="C138" s="231"/>
      <c r="D138" s="175" t="s">
        <v>64</v>
      </c>
      <c r="E138" s="232" t="str">
        <f>_xlfn.XLOOKUP(Table3267[[#This Row],[Item]],Table13[Decription],Table13[Unit])</f>
        <v>piece</v>
      </c>
      <c r="F138" s="176">
        <v>10</v>
      </c>
      <c r="G138" s="232">
        <f>_xlfn.XLOOKUP(Table3267[[#This Row],[Item]],Table13[Decription],Table13[Unit Cost])</f>
        <v>8.5755407899999998</v>
      </c>
      <c r="H138" s="233">
        <f>Table3267[[#This Row],[Unit Cost]]*Table3267[[#This Row],[Quantity Issued]]</f>
        <v>85.755407899999994</v>
      </c>
      <c r="I138" s="236">
        <f>_xlfn.XLOOKUP(Table3267[[#This Row],[Item]],Table13[Decription],Table13[February 2025 - Balance Qty])</f>
        <v>395</v>
      </c>
      <c r="J138" s="235" t="str">
        <f>_xlfn.XLOOKUP(Table3267[[#This Row],[Item]],Table13[Decription],Table13[Article])</f>
        <v>Office Supplies</v>
      </c>
    </row>
    <row r="139" spans="1:10" ht="10.5" customHeight="1">
      <c r="A139" s="229" t="s">
        <v>350</v>
      </c>
      <c r="B139" s="230"/>
      <c r="C139" s="231"/>
      <c r="D139" s="175" t="s">
        <v>159</v>
      </c>
      <c r="E139" s="232" t="str">
        <f>_xlfn.XLOOKUP(Table3267[[#This Row],[Item]],Table13[Decription],Table13[Unit])</f>
        <v xml:space="preserve">piece </v>
      </c>
      <c r="F139" s="176">
        <v>2</v>
      </c>
      <c r="G139" s="232">
        <f>_xlfn.XLOOKUP(Table3267[[#This Row],[Item]],Table13[Decription],Table13[Unit Cost])</f>
        <v>44</v>
      </c>
      <c r="H139" s="233">
        <f>Table3267[[#This Row],[Unit Cost]]*Table3267[[#This Row],[Quantity Issued]]</f>
        <v>88</v>
      </c>
      <c r="I139" s="236">
        <f>_xlfn.XLOOKUP(Table3267[[#This Row],[Item]],Table13[Decription],Table13[February 2025 - Balance Qty])</f>
        <v>12</v>
      </c>
      <c r="J139" s="235" t="str">
        <f>_xlfn.XLOOKUP(Table3267[[#This Row],[Item]],Table13[Decription],Table13[Article])</f>
        <v>Office Supplies</v>
      </c>
    </row>
    <row r="140" spans="1:10" ht="10.5" customHeight="1">
      <c r="A140" s="229" t="s">
        <v>280</v>
      </c>
      <c r="B140" s="230"/>
      <c r="C140" s="231"/>
      <c r="D140" s="175" t="s">
        <v>184</v>
      </c>
      <c r="E140" s="232" t="str">
        <f>_xlfn.XLOOKUP(Table3267[[#This Row],[Item]],Table13[Decription],Table13[Unit])</f>
        <v>piece</v>
      </c>
      <c r="F140" s="176">
        <v>2</v>
      </c>
      <c r="G140" s="232">
        <f>_xlfn.XLOOKUP(Table3267[[#This Row],[Item]],Table13[Decription],Table13[Unit Cost])</f>
        <v>2.8250149200000001</v>
      </c>
      <c r="H140" s="233">
        <f>Table3267[[#This Row],[Unit Cost]]*Table3267[[#This Row],[Quantity Issued]]</f>
        <v>5.6500298400000002</v>
      </c>
      <c r="I140" s="236">
        <f>_xlfn.XLOOKUP(Table3267[[#This Row],[Item]],Table13[Decription],Table13[February 2025 - Balance Qty])</f>
        <v>235</v>
      </c>
      <c r="J140" s="235" t="str">
        <f>_xlfn.XLOOKUP(Table3267[[#This Row],[Item]],Table13[Decription],Table13[Article])</f>
        <v>Other Supplies</v>
      </c>
    </row>
    <row r="141" spans="1:10" ht="10.5" customHeight="1">
      <c r="A141" s="229" t="s">
        <v>289</v>
      </c>
      <c r="B141" s="230"/>
      <c r="C141" s="231"/>
      <c r="D141" s="175" t="s">
        <v>76</v>
      </c>
      <c r="E141" s="232" t="str">
        <f>_xlfn.XLOOKUP(Table3267[[#This Row],[Item]],Table13[Decription],Table13[Unit])</f>
        <v>bottle</v>
      </c>
      <c r="F141" s="176">
        <v>1</v>
      </c>
      <c r="G141" s="232">
        <f>_xlfn.XLOOKUP(Table3267[[#This Row],[Item]],Table13[Decription],Table13[Unit Cost])</f>
        <v>432.5</v>
      </c>
      <c r="H141" s="233">
        <f>Table3267[[#This Row],[Unit Cost]]*Table3267[[#This Row],[Quantity Issued]]</f>
        <v>432.5</v>
      </c>
      <c r="I141" s="236">
        <f>_xlfn.XLOOKUP(Table3267[[#This Row],[Item]],Table13[Decription],Table13[February 2025 - Balance Qty])</f>
        <v>18</v>
      </c>
      <c r="J141" s="235" t="str">
        <f>_xlfn.XLOOKUP(Table3267[[#This Row],[Item]],Table13[Decription],Table13[Article])</f>
        <v>Other Supplies</v>
      </c>
    </row>
    <row r="142" spans="1:10" ht="10.5" customHeight="1">
      <c r="A142" s="229" t="s">
        <v>289</v>
      </c>
      <c r="B142" s="230"/>
      <c r="C142" s="231"/>
      <c r="D142" s="175" t="s">
        <v>170</v>
      </c>
      <c r="E142" s="232" t="str">
        <f>_xlfn.XLOOKUP(Table3267[[#This Row],[Item]],Table13[Decription],Table13[Unit])</f>
        <v>can</v>
      </c>
      <c r="F142" s="176">
        <v>1</v>
      </c>
      <c r="G142" s="232">
        <f>_xlfn.XLOOKUP(Table3267[[#This Row],[Item]],Table13[Decription],Table13[Unit Cost])</f>
        <v>798.58</v>
      </c>
      <c r="H142" s="233">
        <f>Table3267[[#This Row],[Unit Cost]]*Table3267[[#This Row],[Quantity Issued]]</f>
        <v>798.58</v>
      </c>
      <c r="I142" s="236">
        <f>_xlfn.XLOOKUP(Table3267[[#This Row],[Item]],Table13[Decription],Table13[February 2025 - Balance Qty])</f>
        <v>13</v>
      </c>
      <c r="J142" s="235" t="str">
        <f>_xlfn.XLOOKUP(Table3267[[#This Row],[Item]],Table13[Decription],Table13[Article])</f>
        <v>Other Supplies</v>
      </c>
    </row>
    <row r="143" spans="1:10" ht="10.5" customHeight="1">
      <c r="A143" s="229" t="s">
        <v>289</v>
      </c>
      <c r="B143" s="230"/>
      <c r="C143" s="231"/>
      <c r="D143" s="175" t="s">
        <v>164</v>
      </c>
      <c r="E143" s="232" t="str">
        <f>_xlfn.XLOOKUP(Table3267[[#This Row],[Item]],Table13[Decription],Table13[Unit])</f>
        <v>can</v>
      </c>
      <c r="F143" s="176">
        <v>1</v>
      </c>
      <c r="G143" s="232">
        <f>_xlfn.XLOOKUP(Table3267[[#This Row],[Item]],Table13[Decription],Table13[Unit Cost])</f>
        <v>289.68</v>
      </c>
      <c r="H143" s="233">
        <f>Table3267[[#This Row],[Unit Cost]]*Table3267[[#This Row],[Quantity Issued]]</f>
        <v>289.68</v>
      </c>
      <c r="I143" s="236">
        <f>_xlfn.XLOOKUP(Table3267[[#This Row],[Item]],Table13[Decription],Table13[February 2025 - Balance Qty])</f>
        <v>5</v>
      </c>
      <c r="J143" s="235" t="str">
        <f>_xlfn.XLOOKUP(Table3267[[#This Row],[Item]],Table13[Decription],Table13[Article])</f>
        <v>Other Supplies</v>
      </c>
    </row>
    <row r="144" spans="1:10" ht="10.5" customHeight="1">
      <c r="A144" s="229" t="s">
        <v>289</v>
      </c>
      <c r="B144" s="230"/>
      <c r="C144" s="231"/>
      <c r="D144" s="175" t="s">
        <v>72</v>
      </c>
      <c r="E144" s="232" t="str">
        <f>_xlfn.XLOOKUP(Table3267[[#This Row],[Item]],Table13[Decription],Table13[Unit])</f>
        <v>pack</v>
      </c>
      <c r="F144" s="176">
        <v>2</v>
      </c>
      <c r="G144" s="232">
        <f>_xlfn.XLOOKUP(Table3267[[#This Row],[Item]],Table13[Decription],Table13[Unit Cost])</f>
        <v>383.93</v>
      </c>
      <c r="H144" s="233">
        <f>Table3267[[#This Row],[Unit Cost]]*Table3267[[#This Row],[Quantity Issued]]</f>
        <v>767.86</v>
      </c>
      <c r="I144" s="236">
        <f>_xlfn.XLOOKUP(Table3267[[#This Row],[Item]],Table13[Decription],Table13[February 2025 - Balance Qty])</f>
        <v>11</v>
      </c>
      <c r="J144" s="235" t="str">
        <f>_xlfn.XLOOKUP(Table3267[[#This Row],[Item]],Table13[Decription],Table13[Article])</f>
        <v>Other Supplies</v>
      </c>
    </row>
    <row r="145" spans="1:10" ht="10.5" customHeight="1">
      <c r="A145" s="229" t="s">
        <v>289</v>
      </c>
      <c r="B145" s="230"/>
      <c r="C145" s="231"/>
      <c r="D145" s="175" t="s">
        <v>71</v>
      </c>
      <c r="E145" s="232" t="str">
        <f>_xlfn.XLOOKUP(Table3267[[#This Row],[Item]],Table13[Decription],Table13[Unit])</f>
        <v>roll</v>
      </c>
      <c r="F145" s="176">
        <v>10</v>
      </c>
      <c r="G145" s="232">
        <f>_xlfn.XLOOKUP(Table3267[[#This Row],[Item]],Table13[Decription],Table13[Unit Cost])</f>
        <v>28.75</v>
      </c>
      <c r="H145" s="233">
        <f>Table3267[[#This Row],[Unit Cost]]*Table3267[[#This Row],[Quantity Issued]]</f>
        <v>287.5</v>
      </c>
      <c r="I145" s="236">
        <f>_xlfn.XLOOKUP(Table3267[[#This Row],[Item]],Table13[Decription],Table13[February 2025 - Balance Qty])</f>
        <v>95</v>
      </c>
      <c r="J145" s="235" t="str">
        <f>_xlfn.XLOOKUP(Table3267[[#This Row],[Item]],Table13[Decription],Table13[Article])</f>
        <v>Other Supplies</v>
      </c>
    </row>
    <row r="146" spans="1:10" ht="10.5" customHeight="1">
      <c r="A146" s="229" t="s">
        <v>289</v>
      </c>
      <c r="B146" s="230"/>
      <c r="C146" s="231"/>
      <c r="D146" s="175" t="s">
        <v>195</v>
      </c>
      <c r="E146" s="232" t="str">
        <f>_xlfn.XLOOKUP(Table3267[[#This Row],[Item]],Table13[Decription],Table13[Unit])</f>
        <v>bottle</v>
      </c>
      <c r="F146" s="176">
        <v>1</v>
      </c>
      <c r="G146" s="232">
        <f>_xlfn.XLOOKUP(Table3267[[#This Row],[Item]],Table13[Decription],Table13[Unit Cost])</f>
        <v>168</v>
      </c>
      <c r="H146" s="233">
        <f>Table3267[[#This Row],[Unit Cost]]*Table3267[[#This Row],[Quantity Issued]]</f>
        <v>168</v>
      </c>
      <c r="I146" s="236">
        <f>_xlfn.XLOOKUP(Table3267[[#This Row],[Item]],Table13[Decription],Table13[February 2025 - Balance Qty])</f>
        <v>4</v>
      </c>
      <c r="J146" s="235" t="str">
        <f>_xlfn.XLOOKUP(Table3267[[#This Row],[Item]],Table13[Decription],Table13[Article])</f>
        <v>Other Supplies</v>
      </c>
    </row>
    <row r="147" spans="1:10" ht="10.5" customHeight="1">
      <c r="A147" s="229" t="s">
        <v>289</v>
      </c>
      <c r="B147" s="230"/>
      <c r="C147" s="231"/>
      <c r="D147" s="175" t="s">
        <v>166</v>
      </c>
      <c r="E147" s="232" t="str">
        <f>_xlfn.XLOOKUP(Table3267[[#This Row],[Item]],Table13[Decription],Table13[Unit])</f>
        <v>can</v>
      </c>
      <c r="F147" s="176">
        <v>2</v>
      </c>
      <c r="G147" s="232">
        <f>_xlfn.XLOOKUP(Table3267[[#This Row],[Item]],Table13[Decription],Table13[Unit Cost])</f>
        <v>572.76</v>
      </c>
      <c r="H147" s="233">
        <f>Table3267[[#This Row],[Unit Cost]]*Table3267[[#This Row],[Quantity Issued]]</f>
        <v>1145.52</v>
      </c>
      <c r="I147" s="236">
        <f>_xlfn.XLOOKUP(Table3267[[#This Row],[Item]],Table13[Decription],Table13[February 2025 - Balance Qty])</f>
        <v>8</v>
      </c>
      <c r="J147" s="235" t="str">
        <f>_xlfn.XLOOKUP(Table3267[[#This Row],[Item]],Table13[Decription],Table13[Article])</f>
        <v>Other Supplies</v>
      </c>
    </row>
    <row r="148" spans="1:10" ht="10.5" customHeight="1">
      <c r="A148" s="229" t="s">
        <v>289</v>
      </c>
      <c r="B148" s="230"/>
      <c r="C148" s="231"/>
      <c r="D148" s="175" t="s">
        <v>172</v>
      </c>
      <c r="E148" s="232" t="str">
        <f>_xlfn.XLOOKUP(Table3267[[#This Row],[Item]],Table13[Decription],Table13[Unit])</f>
        <v>piece</v>
      </c>
      <c r="F148" s="176">
        <v>2</v>
      </c>
      <c r="G148" s="232">
        <f>_xlfn.XLOOKUP(Table3267[[#This Row],[Item]],Table13[Decription],Table13[Unit Cost])</f>
        <v>78.75</v>
      </c>
      <c r="H148" s="233">
        <f>Table3267[[#This Row],[Unit Cost]]*Table3267[[#This Row],[Quantity Issued]]</f>
        <v>157.5</v>
      </c>
      <c r="I148" s="236">
        <f>_xlfn.XLOOKUP(Table3267[[#This Row],[Item]],Table13[Decription],Table13[February 2025 - Balance Qty])</f>
        <v>6</v>
      </c>
      <c r="J148" s="235" t="str">
        <f>_xlfn.XLOOKUP(Table3267[[#This Row],[Item]],Table13[Decription],Table13[Article])</f>
        <v>Other Supplies</v>
      </c>
    </row>
    <row r="149" spans="1:10" ht="10.5" customHeight="1">
      <c r="A149" s="229" t="s">
        <v>295</v>
      </c>
      <c r="B149" s="230"/>
      <c r="C149" s="231"/>
      <c r="D149" s="175" t="s">
        <v>71</v>
      </c>
      <c r="E149" s="232" t="str">
        <f>_xlfn.XLOOKUP(Table3267[[#This Row],[Item]],Table13[Decription],Table13[Unit])</f>
        <v>roll</v>
      </c>
      <c r="F149" s="176">
        <v>10</v>
      </c>
      <c r="G149" s="232">
        <f>_xlfn.XLOOKUP(Table3267[[#This Row],[Item]],Table13[Decription],Table13[Unit Cost])</f>
        <v>28.75</v>
      </c>
      <c r="H149" s="233">
        <f>Table3267[[#This Row],[Unit Cost]]*Table3267[[#This Row],[Quantity Issued]]</f>
        <v>287.5</v>
      </c>
      <c r="I149" s="236">
        <f>_xlfn.XLOOKUP(Table3267[[#This Row],[Item]],Table13[Decription],Table13[February 2025 - Balance Qty])</f>
        <v>95</v>
      </c>
      <c r="J149" s="235" t="str">
        <f>_xlfn.XLOOKUP(Table3267[[#This Row],[Item]],Table13[Decription],Table13[Article])</f>
        <v>Other Supplies</v>
      </c>
    </row>
    <row r="150" spans="1:10" ht="10.5" customHeight="1">
      <c r="A150" s="229" t="s">
        <v>298</v>
      </c>
      <c r="B150" s="230"/>
      <c r="C150" s="231"/>
      <c r="D150" s="175" t="s">
        <v>183</v>
      </c>
      <c r="E150" s="232" t="str">
        <f>_xlfn.XLOOKUP(Table3267[[#This Row],[Item]],Table13[Decription],Table13[Unit])</f>
        <v>pack</v>
      </c>
      <c r="F150" s="176">
        <v>14</v>
      </c>
      <c r="G150" s="232">
        <f>_xlfn.XLOOKUP(Table3267[[#This Row],[Item]],Table13[Decription],Table13[Unit Cost])</f>
        <v>24.93</v>
      </c>
      <c r="H150" s="233">
        <f>Table3267[[#This Row],[Unit Cost]]*Table3267[[#This Row],[Quantity Issued]]</f>
        <v>349.02</v>
      </c>
      <c r="I150" s="236">
        <f>_xlfn.XLOOKUP(Table3267[[#This Row],[Item]],Table13[Decription],Table13[February 2025 - Balance Qty])</f>
        <v>24</v>
      </c>
      <c r="J150" s="235" t="str">
        <f>_xlfn.XLOOKUP(Table3267[[#This Row],[Item]],Table13[Decription],Table13[Article])</f>
        <v>Other Supplies</v>
      </c>
    </row>
    <row r="151" spans="1:10" ht="10.5" customHeight="1">
      <c r="A151" s="229" t="s">
        <v>298</v>
      </c>
      <c r="B151" s="230"/>
      <c r="C151" s="231"/>
      <c r="D151" s="175" t="s">
        <v>75</v>
      </c>
      <c r="E151" s="232" t="str">
        <f>_xlfn.XLOOKUP(Table3267[[#This Row],[Item]],Table13[Decription],Table13[Unit])</f>
        <v>piece</v>
      </c>
      <c r="F151" s="176">
        <v>3</v>
      </c>
      <c r="G151" s="232">
        <f>_xlfn.XLOOKUP(Table3267[[#This Row],[Item]],Table13[Decription],Table13[Unit Cost])</f>
        <v>90.07</v>
      </c>
      <c r="H151" s="233">
        <f>Table3267[[#This Row],[Unit Cost]]*Table3267[[#This Row],[Quantity Issued]]</f>
        <v>270.20999999999998</v>
      </c>
      <c r="I151" s="236">
        <f>_xlfn.XLOOKUP(Table3267[[#This Row],[Item]],Table13[Decription],Table13[February 2025 - Balance Qty])</f>
        <v>14</v>
      </c>
      <c r="J151" s="235" t="str">
        <f>_xlfn.XLOOKUP(Table3267[[#This Row],[Item]],Table13[Decription],Table13[Article])</f>
        <v>Other Supplies</v>
      </c>
    </row>
    <row r="152" spans="1:10" ht="10.5" customHeight="1">
      <c r="A152" s="229" t="s">
        <v>298</v>
      </c>
      <c r="B152" s="230"/>
      <c r="C152" s="231"/>
      <c r="D152" s="175" t="s">
        <v>76</v>
      </c>
      <c r="E152" s="232" t="str">
        <f>_xlfn.XLOOKUP(Table3267[[#This Row],[Item]],Table13[Decription],Table13[Unit])</f>
        <v>bottle</v>
      </c>
      <c r="F152" s="176">
        <v>4</v>
      </c>
      <c r="G152" s="232">
        <f>_xlfn.XLOOKUP(Table3267[[#This Row],[Item]],Table13[Decription],Table13[Unit Cost])</f>
        <v>432.5</v>
      </c>
      <c r="H152" s="233">
        <f>Table3267[[#This Row],[Unit Cost]]*Table3267[[#This Row],[Quantity Issued]]</f>
        <v>1730</v>
      </c>
      <c r="I152" s="236">
        <f>_xlfn.XLOOKUP(Table3267[[#This Row],[Item]],Table13[Decription],Table13[February 2025 - Balance Qty])</f>
        <v>18</v>
      </c>
      <c r="J152" s="235" t="str">
        <f>_xlfn.XLOOKUP(Table3267[[#This Row],[Item]],Table13[Decription],Table13[Article])</f>
        <v>Other Supplies</v>
      </c>
    </row>
    <row r="153" spans="1:10" ht="10.5" customHeight="1">
      <c r="A153" s="229" t="s">
        <v>298</v>
      </c>
      <c r="B153" s="230"/>
      <c r="C153" s="231"/>
      <c r="D153" s="175" t="s">
        <v>164</v>
      </c>
      <c r="E153" s="232" t="str">
        <f>_xlfn.XLOOKUP(Table3267[[#This Row],[Item]],Table13[Decription],Table13[Unit])</f>
        <v>can</v>
      </c>
      <c r="F153" s="176">
        <v>2</v>
      </c>
      <c r="G153" s="232">
        <f>_xlfn.XLOOKUP(Table3267[[#This Row],[Item]],Table13[Decription],Table13[Unit Cost])</f>
        <v>289.68</v>
      </c>
      <c r="H153" s="233">
        <f>Table3267[[#This Row],[Unit Cost]]*Table3267[[#This Row],[Quantity Issued]]</f>
        <v>579.36</v>
      </c>
      <c r="I153" s="236">
        <f>_xlfn.XLOOKUP(Table3267[[#This Row],[Item]],Table13[Decription],Table13[February 2025 - Balance Qty])</f>
        <v>5</v>
      </c>
      <c r="J153" s="235" t="str">
        <f>_xlfn.XLOOKUP(Table3267[[#This Row],[Item]],Table13[Decription],Table13[Article])</f>
        <v>Other Supplies</v>
      </c>
    </row>
    <row r="154" spans="1:10" ht="10.5" customHeight="1">
      <c r="A154" s="229" t="s">
        <v>298</v>
      </c>
      <c r="B154" s="230"/>
      <c r="C154" s="231"/>
      <c r="D154" s="175" t="s">
        <v>166</v>
      </c>
      <c r="E154" s="232" t="str">
        <f>_xlfn.XLOOKUP(Table3267[[#This Row],[Item]],Table13[Decription],Table13[Unit])</f>
        <v>can</v>
      </c>
      <c r="F154" s="176">
        <v>2</v>
      </c>
      <c r="G154" s="232">
        <f>_xlfn.XLOOKUP(Table3267[[#This Row],[Item]],Table13[Decription],Table13[Unit Cost])</f>
        <v>572.76</v>
      </c>
      <c r="H154" s="233">
        <f>Table3267[[#This Row],[Unit Cost]]*Table3267[[#This Row],[Quantity Issued]]</f>
        <v>1145.52</v>
      </c>
      <c r="I154" s="236">
        <f>_xlfn.XLOOKUP(Table3267[[#This Row],[Item]],Table13[Decription],Table13[February 2025 - Balance Qty])</f>
        <v>8</v>
      </c>
      <c r="J154" s="235" t="str">
        <f>_xlfn.XLOOKUP(Table3267[[#This Row],[Item]],Table13[Decription],Table13[Article])</f>
        <v>Other Supplies</v>
      </c>
    </row>
    <row r="155" spans="1:10" ht="10.5" customHeight="1">
      <c r="A155" s="229" t="s">
        <v>298</v>
      </c>
      <c r="B155" s="230"/>
      <c r="C155" s="231"/>
      <c r="D155" s="175" t="s">
        <v>172</v>
      </c>
      <c r="E155" s="232" t="str">
        <f>_xlfn.XLOOKUP(Table3267[[#This Row],[Item]],Table13[Decription],Table13[Unit])</f>
        <v>piece</v>
      </c>
      <c r="F155" s="176">
        <v>2</v>
      </c>
      <c r="G155" s="232">
        <f>_xlfn.XLOOKUP(Table3267[[#This Row],[Item]],Table13[Decription],Table13[Unit Cost])</f>
        <v>78.75</v>
      </c>
      <c r="H155" s="233">
        <f>Table3267[[#This Row],[Unit Cost]]*Table3267[[#This Row],[Quantity Issued]]</f>
        <v>157.5</v>
      </c>
      <c r="I155" s="236">
        <f>_xlfn.XLOOKUP(Table3267[[#This Row],[Item]],Table13[Decription],Table13[February 2025 - Balance Qty])</f>
        <v>6</v>
      </c>
      <c r="J155" s="235" t="str">
        <f>_xlfn.XLOOKUP(Table3267[[#This Row],[Item]],Table13[Decription],Table13[Article])</f>
        <v>Other Supplies</v>
      </c>
    </row>
    <row r="156" spans="1:10" ht="10.5" customHeight="1">
      <c r="A156" s="229" t="s">
        <v>298</v>
      </c>
      <c r="B156" s="230"/>
      <c r="C156" s="231"/>
      <c r="D156" s="175" t="s">
        <v>191</v>
      </c>
      <c r="E156" s="232" t="str">
        <f>_xlfn.XLOOKUP(Table3267[[#This Row],[Item]],Table13[Decription],Table13[Unit])</f>
        <v>piece</v>
      </c>
      <c r="F156" s="176">
        <v>2</v>
      </c>
      <c r="G156" s="232">
        <f>_xlfn.XLOOKUP(Table3267[[#This Row],[Item]],Table13[Decription],Table13[Unit Cost])</f>
        <v>311</v>
      </c>
      <c r="H156" s="233">
        <f>Table3267[[#This Row],[Unit Cost]]*Table3267[[#This Row],[Quantity Issued]]</f>
        <v>622</v>
      </c>
      <c r="I156" s="236">
        <f>_xlfn.XLOOKUP(Table3267[[#This Row],[Item]],Table13[Decription],Table13[February 2025 - Balance Qty])</f>
        <v>2</v>
      </c>
      <c r="J156" s="235" t="str">
        <f>_xlfn.XLOOKUP(Table3267[[#This Row],[Item]],Table13[Decription],Table13[Article])</f>
        <v>Other Supplies</v>
      </c>
    </row>
    <row r="157" spans="1:10" ht="10.5" customHeight="1">
      <c r="A157" s="229" t="s">
        <v>298</v>
      </c>
      <c r="B157" s="230"/>
      <c r="C157" s="231"/>
      <c r="D157" s="175" t="s">
        <v>185</v>
      </c>
      <c r="E157" s="232" t="str">
        <f>_xlfn.XLOOKUP(Table3267[[#This Row],[Item]],Table13[Decription],Table13[Unit])</f>
        <v>bottle</v>
      </c>
      <c r="F157" s="176">
        <v>1</v>
      </c>
      <c r="G157" s="232">
        <f>_xlfn.XLOOKUP(Table3267[[#This Row],[Item]],Table13[Decription],Table13[Unit Cost])</f>
        <v>600</v>
      </c>
      <c r="H157" s="233">
        <f>Table3267[[#This Row],[Unit Cost]]*Table3267[[#This Row],[Quantity Issued]]</f>
        <v>600</v>
      </c>
      <c r="I157" s="236">
        <f>_xlfn.XLOOKUP(Table3267[[#This Row],[Item]],Table13[Decription],Table13[February 2025 - Balance Qty])</f>
        <v>1</v>
      </c>
      <c r="J157" s="235" t="str">
        <f>_xlfn.XLOOKUP(Table3267[[#This Row],[Item]],Table13[Decription],Table13[Article])</f>
        <v>Other Supplies</v>
      </c>
    </row>
    <row r="158" spans="1:10" ht="10.5" customHeight="1">
      <c r="A158" s="229" t="s">
        <v>300</v>
      </c>
      <c r="B158" s="230"/>
      <c r="C158" s="231"/>
      <c r="D158" s="175" t="s">
        <v>184</v>
      </c>
      <c r="E158" s="232" t="str">
        <f>_xlfn.XLOOKUP(Table3267[[#This Row],[Item]],Table13[Decription],Table13[Unit])</f>
        <v>piece</v>
      </c>
      <c r="F158" s="176">
        <v>5</v>
      </c>
      <c r="G158" s="232">
        <f>_xlfn.XLOOKUP(Table3267[[#This Row],[Item]],Table13[Decription],Table13[Unit Cost])</f>
        <v>2.8250149200000001</v>
      </c>
      <c r="H158" s="233">
        <f>Table3267[[#This Row],[Unit Cost]]*Table3267[[#This Row],[Quantity Issued]]</f>
        <v>14.125074600000001</v>
      </c>
      <c r="I158" s="236">
        <f>_xlfn.XLOOKUP(Table3267[[#This Row],[Item]],Table13[Decription],Table13[February 2025 - Balance Qty])</f>
        <v>235</v>
      </c>
      <c r="J158" s="235" t="str">
        <f>_xlfn.XLOOKUP(Table3267[[#This Row],[Item]],Table13[Decription],Table13[Article])</f>
        <v>Other Supplies</v>
      </c>
    </row>
    <row r="159" spans="1:10" ht="10.5" customHeight="1">
      <c r="A159" s="229" t="s">
        <v>300</v>
      </c>
      <c r="B159" s="230"/>
      <c r="C159" s="231"/>
      <c r="D159" s="175" t="s">
        <v>173</v>
      </c>
      <c r="E159" s="232" t="str">
        <f>_xlfn.XLOOKUP(Table3267[[#This Row],[Item]],Table13[Decription],Table13[Unit])</f>
        <v>box</v>
      </c>
      <c r="F159" s="176">
        <v>3</v>
      </c>
      <c r="G159" s="232">
        <f>_xlfn.XLOOKUP(Table3267[[#This Row],[Item]],Table13[Decription],Table13[Unit Cost])</f>
        <v>238</v>
      </c>
      <c r="H159" s="233">
        <f>Table3267[[#This Row],[Unit Cost]]*Table3267[[#This Row],[Quantity Issued]]</f>
        <v>714</v>
      </c>
      <c r="I159" s="236">
        <f>_xlfn.XLOOKUP(Table3267[[#This Row],[Item]],Table13[Decription],Table13[February 2025 - Balance Qty])</f>
        <v>6</v>
      </c>
      <c r="J159" s="235" t="str">
        <f>_xlfn.XLOOKUP(Table3267[[#This Row],[Item]],Table13[Decription],Table13[Article])</f>
        <v>Other Supplies</v>
      </c>
    </row>
    <row r="160" spans="1:10" ht="10.5" customHeight="1">
      <c r="A160" s="229" t="s">
        <v>300</v>
      </c>
      <c r="B160" s="230"/>
      <c r="C160" s="231"/>
      <c r="D160" s="175" t="s">
        <v>76</v>
      </c>
      <c r="E160" s="232" t="str">
        <f>_xlfn.XLOOKUP(Table3267[[#This Row],[Item]],Table13[Decription],Table13[Unit])</f>
        <v>bottle</v>
      </c>
      <c r="F160" s="176">
        <v>4</v>
      </c>
      <c r="G160" s="232">
        <f>_xlfn.XLOOKUP(Table3267[[#This Row],[Item]],Table13[Decription],Table13[Unit Cost])</f>
        <v>432.5</v>
      </c>
      <c r="H160" s="233">
        <f>Table3267[[#This Row],[Unit Cost]]*Table3267[[#This Row],[Quantity Issued]]</f>
        <v>1730</v>
      </c>
      <c r="I160" s="236">
        <f>_xlfn.XLOOKUP(Table3267[[#This Row],[Item]],Table13[Decription],Table13[February 2025 - Balance Qty])</f>
        <v>18</v>
      </c>
      <c r="J160" s="235" t="str">
        <f>_xlfn.XLOOKUP(Table3267[[#This Row],[Item]],Table13[Decription],Table13[Article])</f>
        <v>Other Supplies</v>
      </c>
    </row>
    <row r="161" spans="1:10" ht="10.5" customHeight="1">
      <c r="A161" s="229" t="s">
        <v>300</v>
      </c>
      <c r="B161" s="230"/>
      <c r="C161" s="231"/>
      <c r="D161" s="175" t="s">
        <v>170</v>
      </c>
      <c r="E161" s="232" t="str">
        <f>_xlfn.XLOOKUP(Table3267[[#This Row],[Item]],Table13[Decription],Table13[Unit])</f>
        <v>can</v>
      </c>
      <c r="F161" s="176">
        <v>3</v>
      </c>
      <c r="G161" s="232">
        <f>_xlfn.XLOOKUP(Table3267[[#This Row],[Item]],Table13[Decription],Table13[Unit Cost])</f>
        <v>798.58</v>
      </c>
      <c r="H161" s="233">
        <f>Table3267[[#This Row],[Unit Cost]]*Table3267[[#This Row],[Quantity Issued]]</f>
        <v>2395.7400000000002</v>
      </c>
      <c r="I161" s="236">
        <f>_xlfn.XLOOKUP(Table3267[[#This Row],[Item]],Table13[Decription],Table13[February 2025 - Balance Qty])</f>
        <v>13</v>
      </c>
      <c r="J161" s="235" t="str">
        <f>_xlfn.XLOOKUP(Table3267[[#This Row],[Item]],Table13[Decription],Table13[Article])</f>
        <v>Other Supplies</v>
      </c>
    </row>
    <row r="162" spans="1:10" ht="10.5" customHeight="1">
      <c r="A162" s="229" t="s">
        <v>307</v>
      </c>
      <c r="B162" s="230"/>
      <c r="C162" s="231"/>
      <c r="D162" s="175" t="s">
        <v>166</v>
      </c>
      <c r="E162" s="232" t="str">
        <f>_xlfn.XLOOKUP(Table3267[[#This Row],[Item]],Table13[Decription],Table13[Unit])</f>
        <v>can</v>
      </c>
      <c r="F162" s="176">
        <v>1</v>
      </c>
      <c r="G162" s="232">
        <f>_xlfn.XLOOKUP(Table3267[[#This Row],[Item]],Table13[Decription],Table13[Unit Cost])</f>
        <v>572.76</v>
      </c>
      <c r="H162" s="233">
        <f>Table3267[[#This Row],[Unit Cost]]*Table3267[[#This Row],[Quantity Issued]]</f>
        <v>572.76</v>
      </c>
      <c r="I162" s="236">
        <f>_xlfn.XLOOKUP(Table3267[[#This Row],[Item]],Table13[Decription],Table13[February 2025 - Balance Qty])</f>
        <v>8</v>
      </c>
      <c r="J162" s="235" t="str">
        <f>_xlfn.XLOOKUP(Table3267[[#This Row],[Item]],Table13[Decription],Table13[Article])</f>
        <v>Other Supplies</v>
      </c>
    </row>
    <row r="163" spans="1:10" ht="10.5" customHeight="1">
      <c r="A163" s="229" t="s">
        <v>307</v>
      </c>
      <c r="B163" s="230"/>
      <c r="C163" s="231"/>
      <c r="D163" s="175" t="s">
        <v>164</v>
      </c>
      <c r="E163" s="232" t="str">
        <f>_xlfn.XLOOKUP(Table3267[[#This Row],[Item]],Table13[Decription],Table13[Unit])</f>
        <v>can</v>
      </c>
      <c r="F163" s="176">
        <v>1</v>
      </c>
      <c r="G163" s="232">
        <f>_xlfn.XLOOKUP(Table3267[[#This Row],[Item]],Table13[Decription],Table13[Unit Cost])</f>
        <v>289.68</v>
      </c>
      <c r="H163" s="233">
        <f>Table3267[[#This Row],[Unit Cost]]*Table3267[[#This Row],[Quantity Issued]]</f>
        <v>289.68</v>
      </c>
      <c r="I163" s="236">
        <f>_xlfn.XLOOKUP(Table3267[[#This Row],[Item]],Table13[Decription],Table13[February 2025 - Balance Qty])</f>
        <v>5</v>
      </c>
      <c r="J163" s="235" t="str">
        <f>_xlfn.XLOOKUP(Table3267[[#This Row],[Item]],Table13[Decription],Table13[Article])</f>
        <v>Other Supplies</v>
      </c>
    </row>
    <row r="164" spans="1:10" ht="10.5" customHeight="1">
      <c r="A164" s="229" t="s">
        <v>307</v>
      </c>
      <c r="B164" s="230"/>
      <c r="C164" s="231"/>
      <c r="D164" s="175" t="s">
        <v>71</v>
      </c>
      <c r="E164" s="232" t="str">
        <f>_xlfn.XLOOKUP(Table3267[[#This Row],[Item]],Table13[Decription],Table13[Unit])</f>
        <v>roll</v>
      </c>
      <c r="F164" s="176">
        <v>11</v>
      </c>
      <c r="G164" s="232">
        <f>_xlfn.XLOOKUP(Table3267[[#This Row],[Item]],Table13[Decription],Table13[Unit Cost])</f>
        <v>28.75</v>
      </c>
      <c r="H164" s="233">
        <f>Table3267[[#This Row],[Unit Cost]]*Table3267[[#This Row],[Quantity Issued]]</f>
        <v>316.25</v>
      </c>
      <c r="I164" s="236">
        <f>_xlfn.XLOOKUP(Table3267[[#This Row],[Item]],Table13[Decription],Table13[February 2025 - Balance Qty])</f>
        <v>95</v>
      </c>
      <c r="J164" s="235" t="str">
        <f>_xlfn.XLOOKUP(Table3267[[#This Row],[Item]],Table13[Decription],Table13[Article])</f>
        <v>Other Supplies</v>
      </c>
    </row>
    <row r="165" spans="1:10" ht="10.5" customHeight="1">
      <c r="A165" s="229" t="s">
        <v>308</v>
      </c>
      <c r="B165" s="230"/>
      <c r="C165" s="231"/>
      <c r="D165" s="175" t="s">
        <v>190</v>
      </c>
      <c r="E165" s="232" t="str">
        <f>_xlfn.XLOOKUP(Table3267[[#This Row],[Item]],Table13[Decription],Table13[Unit])</f>
        <v>roll</v>
      </c>
      <c r="F165" s="176">
        <v>3</v>
      </c>
      <c r="G165" s="232">
        <f>_xlfn.XLOOKUP(Table3267[[#This Row],[Item]],Table13[Decription],Table13[Unit Cost])</f>
        <v>23.84</v>
      </c>
      <c r="H165" s="233">
        <f>Table3267[[#This Row],[Unit Cost]]*Table3267[[#This Row],[Quantity Issued]]</f>
        <v>71.52</v>
      </c>
      <c r="I165" s="236">
        <f>_xlfn.XLOOKUP(Table3267[[#This Row],[Item]],Table13[Decription],Table13[February 2025 - Balance Qty])</f>
        <v>135</v>
      </c>
      <c r="J165" s="235" t="str">
        <f>_xlfn.XLOOKUP(Table3267[[#This Row],[Item]],Table13[Decription],Table13[Article])</f>
        <v>Other Supplies</v>
      </c>
    </row>
    <row r="166" spans="1:10" ht="10.5" customHeight="1">
      <c r="A166" s="229" t="s">
        <v>308</v>
      </c>
      <c r="B166" s="230"/>
      <c r="C166" s="231"/>
      <c r="D166" s="175" t="s">
        <v>76</v>
      </c>
      <c r="E166" s="232" t="str">
        <f>_xlfn.XLOOKUP(Table3267[[#This Row],[Item]],Table13[Decription],Table13[Unit])</f>
        <v>bottle</v>
      </c>
      <c r="F166" s="176">
        <v>4</v>
      </c>
      <c r="G166" s="232">
        <f>_xlfn.XLOOKUP(Table3267[[#This Row],[Item]],Table13[Decription],Table13[Unit Cost])</f>
        <v>432.5</v>
      </c>
      <c r="H166" s="233">
        <f>Table3267[[#This Row],[Unit Cost]]*Table3267[[#This Row],[Quantity Issued]]</f>
        <v>1730</v>
      </c>
      <c r="I166" s="236">
        <f>_xlfn.XLOOKUP(Table3267[[#This Row],[Item]],Table13[Decription],Table13[February 2025 - Balance Qty])</f>
        <v>18</v>
      </c>
      <c r="J166" s="235" t="str">
        <f>_xlfn.XLOOKUP(Table3267[[#This Row],[Item]],Table13[Decription],Table13[Article])</f>
        <v>Other Supplies</v>
      </c>
    </row>
    <row r="167" spans="1:10" ht="10.5" customHeight="1">
      <c r="A167" s="229" t="s">
        <v>308</v>
      </c>
      <c r="B167" s="230"/>
      <c r="C167" s="231"/>
      <c r="D167" s="175" t="s">
        <v>175</v>
      </c>
      <c r="E167" s="232" t="str">
        <f>_xlfn.XLOOKUP(Table3267[[#This Row],[Item]],Table13[Decription],Table13[Unit])</f>
        <v>can</v>
      </c>
      <c r="F167" s="176">
        <v>2</v>
      </c>
      <c r="G167" s="232">
        <f>_xlfn.XLOOKUP(Table3267[[#This Row],[Item]],Table13[Decription],Table13[Unit Cost])</f>
        <v>165</v>
      </c>
      <c r="H167" s="233">
        <f>Table3267[[#This Row],[Unit Cost]]*Table3267[[#This Row],[Quantity Issued]]</f>
        <v>330</v>
      </c>
      <c r="I167" s="236">
        <f>_xlfn.XLOOKUP(Table3267[[#This Row],[Item]],Table13[Decription],Table13[February 2025 - Balance Qty])</f>
        <v>5</v>
      </c>
      <c r="J167" s="235" t="str">
        <f>_xlfn.XLOOKUP(Table3267[[#This Row],[Item]],Table13[Decription],Table13[Article])</f>
        <v>Other Supplies</v>
      </c>
    </row>
    <row r="168" spans="1:10" ht="10.5" customHeight="1">
      <c r="A168" s="229" t="s">
        <v>347</v>
      </c>
      <c r="B168" s="230"/>
      <c r="C168" s="231"/>
      <c r="D168" s="175" t="s">
        <v>164</v>
      </c>
      <c r="E168" s="232" t="str">
        <f>_xlfn.XLOOKUP(Table3267[[#This Row],[Item]],Table13[Decription],Table13[Unit])</f>
        <v>can</v>
      </c>
      <c r="F168" s="176">
        <v>1</v>
      </c>
      <c r="G168" s="232">
        <f>_xlfn.XLOOKUP(Table3267[[#This Row],[Item]],Table13[Decription],Table13[Unit Cost])</f>
        <v>289.68</v>
      </c>
      <c r="H168" s="233">
        <f>Table3267[[#This Row],[Unit Cost]]*Table3267[[#This Row],[Quantity Issued]]</f>
        <v>289.68</v>
      </c>
      <c r="I168" s="236">
        <f>_xlfn.XLOOKUP(Table3267[[#This Row],[Item]],Table13[Decription],Table13[February 2025 - Balance Qty])</f>
        <v>5</v>
      </c>
      <c r="J168" s="235" t="str">
        <f>_xlfn.XLOOKUP(Table3267[[#This Row],[Item]],Table13[Decription],Table13[Article])</f>
        <v>Other Supplies</v>
      </c>
    </row>
    <row r="169" spans="1:10" ht="10.5" customHeight="1">
      <c r="A169" s="229" t="s">
        <v>347</v>
      </c>
      <c r="B169" s="230"/>
      <c r="C169" s="231"/>
      <c r="D169" s="175" t="s">
        <v>175</v>
      </c>
      <c r="E169" s="232" t="str">
        <f>_xlfn.XLOOKUP(Table3267[[#This Row],[Item]],Table13[Decription],Table13[Unit])</f>
        <v>can</v>
      </c>
      <c r="F169" s="176">
        <v>2</v>
      </c>
      <c r="G169" s="232">
        <f>_xlfn.XLOOKUP(Table3267[[#This Row],[Item]],Table13[Decription],Table13[Unit Cost])</f>
        <v>165</v>
      </c>
      <c r="H169" s="233">
        <f>Table3267[[#This Row],[Unit Cost]]*Table3267[[#This Row],[Quantity Issued]]</f>
        <v>330</v>
      </c>
      <c r="I169" s="236">
        <f>_xlfn.XLOOKUP(Table3267[[#This Row],[Item]],Table13[Decription],Table13[February 2025 - Balance Qty])</f>
        <v>5</v>
      </c>
      <c r="J169" s="235" t="str">
        <f>_xlfn.XLOOKUP(Table3267[[#This Row],[Item]],Table13[Decription],Table13[Article])</f>
        <v>Other Supplies</v>
      </c>
    </row>
    <row r="170" spans="1:10" ht="10.5" customHeight="1">
      <c r="A170" s="229" t="s">
        <v>319</v>
      </c>
      <c r="B170" s="230"/>
      <c r="C170" s="231"/>
      <c r="D170" s="175" t="s">
        <v>76</v>
      </c>
      <c r="E170" s="232" t="str">
        <f>_xlfn.XLOOKUP(Table3267[[#This Row],[Item]],Table13[Decription],Table13[Unit])</f>
        <v>bottle</v>
      </c>
      <c r="F170" s="176">
        <v>1</v>
      </c>
      <c r="G170" s="232">
        <f>_xlfn.XLOOKUP(Table3267[[#This Row],[Item]],Table13[Decription],Table13[Unit Cost])</f>
        <v>432.5</v>
      </c>
      <c r="H170" s="233">
        <f>Table3267[[#This Row],[Unit Cost]]*Table3267[[#This Row],[Quantity Issued]]</f>
        <v>432.5</v>
      </c>
      <c r="I170" s="236">
        <f>_xlfn.XLOOKUP(Table3267[[#This Row],[Item]],Table13[Decription],Table13[February 2025 - Balance Qty])</f>
        <v>18</v>
      </c>
      <c r="J170" s="235" t="str">
        <f>_xlfn.XLOOKUP(Table3267[[#This Row],[Item]],Table13[Decription],Table13[Article])</f>
        <v>Other Supplies</v>
      </c>
    </row>
    <row r="171" spans="1:10" ht="10.5" customHeight="1">
      <c r="A171" s="229" t="s">
        <v>319</v>
      </c>
      <c r="B171" s="230"/>
      <c r="C171" s="231"/>
      <c r="D171" s="175" t="s">
        <v>71</v>
      </c>
      <c r="E171" s="232" t="str">
        <f>_xlfn.XLOOKUP(Table3267[[#This Row],[Item]],Table13[Decription],Table13[Unit])</f>
        <v>roll</v>
      </c>
      <c r="F171" s="176">
        <v>13</v>
      </c>
      <c r="G171" s="232">
        <f>_xlfn.XLOOKUP(Table3267[[#This Row],[Item]],Table13[Decription],Table13[Unit Cost])</f>
        <v>28.75</v>
      </c>
      <c r="H171" s="233">
        <f>Table3267[[#This Row],[Unit Cost]]*Table3267[[#This Row],[Quantity Issued]]</f>
        <v>373.75</v>
      </c>
      <c r="I171" s="236">
        <f>_xlfn.XLOOKUP(Table3267[[#This Row],[Item]],Table13[Decription],Table13[February 2025 - Balance Qty])</f>
        <v>95</v>
      </c>
      <c r="J171" s="235" t="str">
        <f>_xlfn.XLOOKUP(Table3267[[#This Row],[Item]],Table13[Decription],Table13[Article])</f>
        <v>Other Supplies</v>
      </c>
    </row>
    <row r="172" spans="1:10" ht="10.5" customHeight="1">
      <c r="A172" s="229" t="s">
        <v>319</v>
      </c>
      <c r="B172" s="230"/>
      <c r="C172" s="231"/>
      <c r="D172" s="175" t="s">
        <v>75</v>
      </c>
      <c r="E172" s="232" t="str">
        <f>_xlfn.XLOOKUP(Table3267[[#This Row],[Item]],Table13[Decription],Table13[Unit])</f>
        <v>piece</v>
      </c>
      <c r="F172" s="176">
        <v>2</v>
      </c>
      <c r="G172" s="232">
        <f>_xlfn.XLOOKUP(Table3267[[#This Row],[Item]],Table13[Decription],Table13[Unit Cost])</f>
        <v>90.07</v>
      </c>
      <c r="H172" s="233">
        <f>Table3267[[#This Row],[Unit Cost]]*Table3267[[#This Row],[Quantity Issued]]</f>
        <v>180.14</v>
      </c>
      <c r="I172" s="236">
        <f>_xlfn.XLOOKUP(Table3267[[#This Row],[Item]],Table13[Decription],Table13[February 2025 - Balance Qty])</f>
        <v>14</v>
      </c>
      <c r="J172" s="235" t="str">
        <f>_xlfn.XLOOKUP(Table3267[[#This Row],[Item]],Table13[Decription],Table13[Article])</f>
        <v>Other Supplies</v>
      </c>
    </row>
    <row r="173" spans="1:10" ht="10.5" customHeight="1">
      <c r="A173" s="229" t="s">
        <v>319</v>
      </c>
      <c r="B173" s="230"/>
      <c r="C173" s="231"/>
      <c r="D173" s="175" t="s">
        <v>184</v>
      </c>
      <c r="E173" s="232" t="str">
        <f>_xlfn.XLOOKUP(Table3267[[#This Row],[Item]],Table13[Decription],Table13[Unit])</f>
        <v>piece</v>
      </c>
      <c r="F173" s="176">
        <v>3</v>
      </c>
      <c r="G173" s="232">
        <f>_xlfn.XLOOKUP(Table3267[[#This Row],[Item]],Table13[Decription],Table13[Unit Cost])</f>
        <v>2.8250149200000001</v>
      </c>
      <c r="H173" s="233">
        <f>Table3267[[#This Row],[Unit Cost]]*Table3267[[#This Row],[Quantity Issued]]</f>
        <v>8.4750447599999994</v>
      </c>
      <c r="I173" s="236">
        <f>_xlfn.XLOOKUP(Table3267[[#This Row],[Item]],Table13[Decription],Table13[February 2025 - Balance Qty])</f>
        <v>235</v>
      </c>
      <c r="J173" s="235" t="str">
        <f>_xlfn.XLOOKUP(Table3267[[#This Row],[Item]],Table13[Decription],Table13[Article])</f>
        <v>Other Supplies</v>
      </c>
    </row>
    <row r="174" spans="1:10" ht="10.5" customHeight="1">
      <c r="A174" s="229" t="s">
        <v>319</v>
      </c>
      <c r="B174" s="230"/>
      <c r="C174" s="231"/>
      <c r="D174" s="175" t="s">
        <v>70</v>
      </c>
      <c r="E174" s="232" t="str">
        <f>_xlfn.XLOOKUP(Table3267[[#This Row],[Item]],Table13[Decription],Table13[Unit])</f>
        <v>piece</v>
      </c>
      <c r="F174" s="176">
        <v>1</v>
      </c>
      <c r="G174" s="232">
        <f>_xlfn.XLOOKUP(Table3267[[#This Row],[Item]],Table13[Decription],Table13[Unit Cost])</f>
        <v>64.67</v>
      </c>
      <c r="H174" s="233">
        <f>Table3267[[#This Row],[Unit Cost]]*Table3267[[#This Row],[Quantity Issued]]</f>
        <v>64.67</v>
      </c>
      <c r="I174" s="236">
        <f>_xlfn.XLOOKUP(Table3267[[#This Row],[Item]],Table13[Decription],Table13[February 2025 - Balance Qty])</f>
        <v>8</v>
      </c>
      <c r="J174" s="235" t="str">
        <f>_xlfn.XLOOKUP(Table3267[[#This Row],[Item]],Table13[Decription],Table13[Article])</f>
        <v>Other Supplies</v>
      </c>
    </row>
    <row r="175" spans="1:10" ht="10.5" customHeight="1">
      <c r="A175" s="229" t="s">
        <v>319</v>
      </c>
      <c r="B175" s="230"/>
      <c r="C175" s="231"/>
      <c r="D175" s="175" t="s">
        <v>170</v>
      </c>
      <c r="E175" s="232" t="str">
        <f>_xlfn.XLOOKUP(Table3267[[#This Row],[Item]],Table13[Decription],Table13[Unit])</f>
        <v>can</v>
      </c>
      <c r="F175" s="176">
        <v>3</v>
      </c>
      <c r="G175" s="232">
        <f>_xlfn.XLOOKUP(Table3267[[#This Row],[Item]],Table13[Decription],Table13[Unit Cost])</f>
        <v>798.58</v>
      </c>
      <c r="H175" s="233">
        <f>Table3267[[#This Row],[Unit Cost]]*Table3267[[#This Row],[Quantity Issued]]</f>
        <v>2395.7400000000002</v>
      </c>
      <c r="I175" s="236">
        <f>_xlfn.XLOOKUP(Table3267[[#This Row],[Item]],Table13[Decription],Table13[February 2025 - Balance Qty])</f>
        <v>13</v>
      </c>
      <c r="J175" s="235" t="str">
        <f>_xlfn.XLOOKUP(Table3267[[#This Row],[Item]],Table13[Decription],Table13[Article])</f>
        <v>Other Supplies</v>
      </c>
    </row>
    <row r="176" spans="1:10" ht="10.5" customHeight="1">
      <c r="A176" s="229" t="s">
        <v>326</v>
      </c>
      <c r="B176" s="230"/>
      <c r="C176" s="231"/>
      <c r="D176" s="175" t="s">
        <v>71</v>
      </c>
      <c r="E176" s="232" t="str">
        <f>_xlfn.XLOOKUP(Table3267[[#This Row],[Item]],Table13[Decription],Table13[Unit])</f>
        <v>roll</v>
      </c>
      <c r="F176" s="176">
        <v>1</v>
      </c>
      <c r="G176" s="232">
        <f>_xlfn.XLOOKUP(Table3267[[#This Row],[Item]],Table13[Decription],Table13[Unit Cost])</f>
        <v>28.75</v>
      </c>
      <c r="H176" s="233">
        <f>Table3267[[#This Row],[Unit Cost]]*Table3267[[#This Row],[Quantity Issued]]</f>
        <v>28.75</v>
      </c>
      <c r="I176" s="236">
        <f>_xlfn.XLOOKUP(Table3267[[#This Row],[Item]],Table13[Decription],Table13[February 2025 - Balance Qty])</f>
        <v>95</v>
      </c>
      <c r="J176" s="235" t="str">
        <f>_xlfn.XLOOKUP(Table3267[[#This Row],[Item]],Table13[Decription],Table13[Article])</f>
        <v>Other Supplies</v>
      </c>
    </row>
    <row r="177" spans="1:10" ht="10.5" customHeight="1">
      <c r="A177" s="229" t="s">
        <v>326</v>
      </c>
      <c r="B177" s="230"/>
      <c r="C177" s="231"/>
      <c r="D177" s="175" t="s">
        <v>188</v>
      </c>
      <c r="E177" s="232" t="str">
        <f>_xlfn.XLOOKUP(Table3267[[#This Row],[Item]],Table13[Decription],Table13[Unit])</f>
        <v>roll</v>
      </c>
      <c r="F177" s="176">
        <v>1</v>
      </c>
      <c r="G177" s="232">
        <f>_xlfn.XLOOKUP(Table3267[[#This Row],[Item]],Table13[Decription],Table13[Unit Cost])</f>
        <v>22.27</v>
      </c>
      <c r="H177" s="233">
        <f>Table3267[[#This Row],[Unit Cost]]*Table3267[[#This Row],[Quantity Issued]]</f>
        <v>22.27</v>
      </c>
      <c r="I177" s="236">
        <f>_xlfn.XLOOKUP(Table3267[[#This Row],[Item]],Table13[Decription],Table13[February 2025 - Balance Qty])</f>
        <v>147</v>
      </c>
      <c r="J177" s="235" t="str">
        <f>_xlfn.XLOOKUP(Table3267[[#This Row],[Item]],Table13[Decription],Table13[Article])</f>
        <v>Other Supplies</v>
      </c>
    </row>
    <row r="178" spans="1:10" ht="10.5" customHeight="1">
      <c r="A178" s="229" t="s">
        <v>326</v>
      </c>
      <c r="B178" s="230"/>
      <c r="C178" s="231"/>
      <c r="D178" s="175" t="s">
        <v>180</v>
      </c>
      <c r="E178" s="232" t="str">
        <f>_xlfn.XLOOKUP(Table3267[[#This Row],[Item]],Table13[Decription],Table13[Unit])</f>
        <v>piece</v>
      </c>
      <c r="F178" s="176">
        <v>5</v>
      </c>
      <c r="G178" s="232">
        <f>_xlfn.XLOOKUP(Table3267[[#This Row],[Item]],Table13[Decription],Table13[Unit Cost])</f>
        <v>18.53</v>
      </c>
      <c r="H178" s="233">
        <f>Table3267[[#This Row],[Unit Cost]]*Table3267[[#This Row],[Quantity Issued]]</f>
        <v>92.65</v>
      </c>
      <c r="I178" s="236">
        <f>_xlfn.XLOOKUP(Table3267[[#This Row],[Item]],Table13[Decription],Table13[February 2025 - Balance Qty])</f>
        <v>27</v>
      </c>
      <c r="J178" s="235" t="str">
        <f>_xlfn.XLOOKUP(Table3267[[#This Row],[Item]],Table13[Decription],Table13[Article])</f>
        <v>Other Supplies</v>
      </c>
    </row>
    <row r="179" spans="1:10" ht="10.5" customHeight="1">
      <c r="A179" s="229" t="s">
        <v>328</v>
      </c>
      <c r="B179" s="230"/>
      <c r="C179" s="231"/>
      <c r="D179" s="175" t="s">
        <v>188</v>
      </c>
      <c r="E179" s="232" t="str">
        <f>_xlfn.XLOOKUP(Table3267[[#This Row],[Item]],Table13[Decription],Table13[Unit])</f>
        <v>roll</v>
      </c>
      <c r="F179" s="176">
        <v>6</v>
      </c>
      <c r="G179" s="232">
        <f>_xlfn.XLOOKUP(Table3267[[#This Row],[Item]],Table13[Decription],Table13[Unit Cost])</f>
        <v>22.27</v>
      </c>
      <c r="H179" s="233">
        <f>Table3267[[#This Row],[Unit Cost]]*Table3267[[#This Row],[Quantity Issued]]</f>
        <v>133.62</v>
      </c>
      <c r="I179" s="236">
        <f>_xlfn.XLOOKUP(Table3267[[#This Row],[Item]],Table13[Decription],Table13[February 2025 - Balance Qty])</f>
        <v>147</v>
      </c>
      <c r="J179" s="235" t="str">
        <f>_xlfn.XLOOKUP(Table3267[[#This Row],[Item]],Table13[Decription],Table13[Article])</f>
        <v>Other Supplies</v>
      </c>
    </row>
    <row r="180" spans="1:10" ht="10.5" customHeight="1">
      <c r="A180" s="229" t="s">
        <v>328</v>
      </c>
      <c r="B180" s="230"/>
      <c r="C180" s="231"/>
      <c r="D180" s="175" t="s">
        <v>190</v>
      </c>
      <c r="E180" s="232" t="str">
        <f>_xlfn.XLOOKUP(Table3267[[#This Row],[Item]],Table13[Decription],Table13[Unit])</f>
        <v>roll</v>
      </c>
      <c r="F180" s="176">
        <v>2</v>
      </c>
      <c r="G180" s="232">
        <f>_xlfn.XLOOKUP(Table3267[[#This Row],[Item]],Table13[Decription],Table13[Unit Cost])</f>
        <v>23.84</v>
      </c>
      <c r="H180" s="233">
        <f>Table3267[[#This Row],[Unit Cost]]*Table3267[[#This Row],[Quantity Issued]]</f>
        <v>47.68</v>
      </c>
      <c r="I180" s="236">
        <f>_xlfn.XLOOKUP(Table3267[[#This Row],[Item]],Table13[Decription],Table13[February 2025 - Balance Qty])</f>
        <v>135</v>
      </c>
      <c r="J180" s="235" t="str">
        <f>_xlfn.XLOOKUP(Table3267[[#This Row],[Item]],Table13[Decription],Table13[Article])</f>
        <v>Other Supplies</v>
      </c>
    </row>
    <row r="181" spans="1:10" ht="10.5" customHeight="1">
      <c r="A181" s="229" t="s">
        <v>328</v>
      </c>
      <c r="B181" s="230"/>
      <c r="C181" s="231"/>
      <c r="D181" s="175" t="s">
        <v>183</v>
      </c>
      <c r="E181" s="232" t="str">
        <f>_xlfn.XLOOKUP(Table3267[[#This Row],[Item]],Table13[Decription],Table13[Unit])</f>
        <v>pack</v>
      </c>
      <c r="F181" s="176">
        <v>1</v>
      </c>
      <c r="G181" s="232">
        <f>_xlfn.XLOOKUP(Table3267[[#This Row],[Item]],Table13[Decription],Table13[Unit Cost])</f>
        <v>24.93</v>
      </c>
      <c r="H181" s="233">
        <f>Table3267[[#This Row],[Unit Cost]]*Table3267[[#This Row],[Quantity Issued]]</f>
        <v>24.93</v>
      </c>
      <c r="I181" s="236">
        <f>_xlfn.XLOOKUP(Table3267[[#This Row],[Item]],Table13[Decription],Table13[February 2025 - Balance Qty])</f>
        <v>24</v>
      </c>
      <c r="J181" s="235" t="str">
        <f>_xlfn.XLOOKUP(Table3267[[#This Row],[Item]],Table13[Decription],Table13[Article])</f>
        <v>Other Supplies</v>
      </c>
    </row>
    <row r="182" spans="1:10" ht="10.5" customHeight="1">
      <c r="A182" s="229" t="s">
        <v>328</v>
      </c>
      <c r="B182" s="230"/>
      <c r="C182" s="231"/>
      <c r="D182" s="175" t="s">
        <v>180</v>
      </c>
      <c r="E182" s="232" t="str">
        <f>_xlfn.XLOOKUP(Table3267[[#This Row],[Item]],Table13[Decription],Table13[Unit])</f>
        <v>piece</v>
      </c>
      <c r="F182" s="176">
        <v>1</v>
      </c>
      <c r="G182" s="232">
        <f>_xlfn.XLOOKUP(Table3267[[#This Row],[Item]],Table13[Decription],Table13[Unit Cost])</f>
        <v>18.53</v>
      </c>
      <c r="H182" s="233">
        <f>Table3267[[#This Row],[Unit Cost]]*Table3267[[#This Row],[Quantity Issued]]</f>
        <v>18.53</v>
      </c>
      <c r="I182" s="236">
        <f>_xlfn.XLOOKUP(Table3267[[#This Row],[Item]],Table13[Decription],Table13[February 2025 - Balance Qty])</f>
        <v>27</v>
      </c>
      <c r="J182" s="235" t="str">
        <f>_xlfn.XLOOKUP(Table3267[[#This Row],[Item]],Table13[Decription],Table13[Article])</f>
        <v>Other Supplies</v>
      </c>
    </row>
    <row r="183" spans="1:10" ht="10.5" customHeight="1">
      <c r="A183" s="229" t="s">
        <v>328</v>
      </c>
      <c r="B183" s="230"/>
      <c r="C183" s="231"/>
      <c r="D183" s="175" t="s">
        <v>71</v>
      </c>
      <c r="E183" s="232" t="str">
        <f>_xlfn.XLOOKUP(Table3267[[#This Row],[Item]],Table13[Decription],Table13[Unit])</f>
        <v>roll</v>
      </c>
      <c r="F183" s="176">
        <v>10</v>
      </c>
      <c r="G183" s="232">
        <f>_xlfn.XLOOKUP(Table3267[[#This Row],[Item]],Table13[Decription],Table13[Unit Cost])</f>
        <v>28.75</v>
      </c>
      <c r="H183" s="233">
        <f>Table3267[[#This Row],[Unit Cost]]*Table3267[[#This Row],[Quantity Issued]]</f>
        <v>287.5</v>
      </c>
      <c r="I183" s="236">
        <f>_xlfn.XLOOKUP(Table3267[[#This Row],[Item]],Table13[Decription],Table13[February 2025 - Balance Qty])</f>
        <v>95</v>
      </c>
      <c r="J183" s="235" t="str">
        <f>_xlfn.XLOOKUP(Table3267[[#This Row],[Item]],Table13[Decription],Table13[Article])</f>
        <v>Other Supplies</v>
      </c>
    </row>
    <row r="184" spans="1:10" ht="10.5" customHeight="1">
      <c r="A184" s="229" t="s">
        <v>328</v>
      </c>
      <c r="B184" s="230"/>
      <c r="C184" s="231"/>
      <c r="D184" s="175" t="s">
        <v>76</v>
      </c>
      <c r="E184" s="232" t="str">
        <f>_xlfn.XLOOKUP(Table3267[[#This Row],[Item]],Table13[Decription],Table13[Unit])</f>
        <v>bottle</v>
      </c>
      <c r="F184" s="176">
        <v>2</v>
      </c>
      <c r="G184" s="232">
        <f>_xlfn.XLOOKUP(Table3267[[#This Row],[Item]],Table13[Decription],Table13[Unit Cost])</f>
        <v>432.5</v>
      </c>
      <c r="H184" s="233">
        <f>Table3267[[#This Row],[Unit Cost]]*Table3267[[#This Row],[Quantity Issued]]</f>
        <v>865</v>
      </c>
      <c r="I184" s="236">
        <f>_xlfn.XLOOKUP(Table3267[[#This Row],[Item]],Table13[Decription],Table13[February 2025 - Balance Qty])</f>
        <v>18</v>
      </c>
      <c r="J184" s="235" t="str">
        <f>_xlfn.XLOOKUP(Table3267[[#This Row],[Item]],Table13[Decription],Table13[Article])</f>
        <v>Other Supplies</v>
      </c>
    </row>
    <row r="185" spans="1:10" ht="10.5" customHeight="1">
      <c r="A185" s="229" t="s">
        <v>333</v>
      </c>
      <c r="B185" s="230"/>
      <c r="C185" s="231"/>
      <c r="D185" s="175" t="s">
        <v>184</v>
      </c>
      <c r="E185" s="232" t="str">
        <f>_xlfn.XLOOKUP(Table3267[[#This Row],[Item]],Table13[Decription],Table13[Unit])</f>
        <v>piece</v>
      </c>
      <c r="F185" s="176">
        <v>4</v>
      </c>
      <c r="G185" s="232">
        <f>_xlfn.XLOOKUP(Table3267[[#This Row],[Item]],Table13[Decription],Table13[Unit Cost])</f>
        <v>2.8250149200000001</v>
      </c>
      <c r="H185" s="233">
        <f>Table3267[[#This Row],[Unit Cost]]*Table3267[[#This Row],[Quantity Issued]]</f>
        <v>11.30005968</v>
      </c>
      <c r="I185" s="236">
        <f>_xlfn.XLOOKUP(Table3267[[#This Row],[Item]],Table13[Decription],Table13[February 2025 - Balance Qty])</f>
        <v>235</v>
      </c>
      <c r="J185" s="235" t="str">
        <f>_xlfn.XLOOKUP(Table3267[[#This Row],[Item]],Table13[Decription],Table13[Article])</f>
        <v>Other Supplies</v>
      </c>
    </row>
    <row r="186" spans="1:10" ht="10.5" customHeight="1">
      <c r="A186" s="172" t="s">
        <v>333</v>
      </c>
      <c r="B186" s="179"/>
      <c r="C186" s="180"/>
      <c r="D186" s="175" t="s">
        <v>180</v>
      </c>
      <c r="E186" s="176" t="str">
        <f>_xlfn.XLOOKUP(Table3267[[#This Row],[Item]],Table13[Decription],Table13[Unit])</f>
        <v>piece</v>
      </c>
      <c r="F186" s="176">
        <v>5</v>
      </c>
      <c r="G186" s="176">
        <f>_xlfn.XLOOKUP(Table3267[[#This Row],[Item]],Table13[Decription],Table13[Unit Cost])</f>
        <v>18.53</v>
      </c>
      <c r="H186" s="177">
        <f>Table3267[[#This Row],[Unit Cost]]*Table3267[[#This Row],[Quantity Issued]]</f>
        <v>92.65</v>
      </c>
      <c r="I186" s="185">
        <f>_xlfn.XLOOKUP(Table3267[[#This Row],[Item]],Table13[Decription],Table13[February 2025 - Balance Qty])</f>
        <v>27</v>
      </c>
      <c r="J186" s="168" t="str">
        <f>_xlfn.XLOOKUP(Table3267[[#This Row],[Item]],Table13[Decription],Table13[Article])</f>
        <v>Other Supplies</v>
      </c>
    </row>
    <row r="187" spans="1:10" ht="10.5" customHeight="1">
      <c r="A187" s="172" t="s">
        <v>329</v>
      </c>
      <c r="B187" s="179"/>
      <c r="C187" s="180"/>
      <c r="D187" s="175" t="s">
        <v>180</v>
      </c>
      <c r="E187" s="176" t="str">
        <f>_xlfn.XLOOKUP(Table3267[[#This Row],[Item]],Table13[Decription],Table13[Unit])</f>
        <v>piece</v>
      </c>
      <c r="F187" s="176">
        <v>3</v>
      </c>
      <c r="G187" s="176">
        <f>_xlfn.XLOOKUP(Table3267[[#This Row],[Item]],Table13[Decription],Table13[Unit Cost])</f>
        <v>18.53</v>
      </c>
      <c r="H187" s="177">
        <f>Table3267[[#This Row],[Unit Cost]]*Table3267[[#This Row],[Quantity Issued]]</f>
        <v>55.59</v>
      </c>
      <c r="I187" s="185">
        <f>_xlfn.XLOOKUP(Table3267[[#This Row],[Item]],Table13[Decription],Table13[February 2025 - Balance Qty])</f>
        <v>27</v>
      </c>
      <c r="J187" s="168" t="str">
        <f>_xlfn.XLOOKUP(Table3267[[#This Row],[Item]],Table13[Decription],Table13[Article])</f>
        <v>Other Supplies</v>
      </c>
    </row>
    <row r="188" spans="1:10" ht="10.5" customHeight="1">
      <c r="A188" s="172" t="s">
        <v>337</v>
      </c>
      <c r="B188" s="179"/>
      <c r="C188" s="180"/>
      <c r="D188" s="175" t="s">
        <v>76</v>
      </c>
      <c r="E188" s="176" t="str">
        <f>_xlfn.XLOOKUP(Table3267[[#This Row],[Item]],Table13[Decription],Table13[Unit])</f>
        <v>bottle</v>
      </c>
      <c r="F188" s="176">
        <v>2</v>
      </c>
      <c r="G188" s="176">
        <f>_xlfn.XLOOKUP(Table3267[[#This Row],[Item]],Table13[Decription],Table13[Unit Cost])</f>
        <v>432.5</v>
      </c>
      <c r="H188" s="177">
        <f>Table3267[[#This Row],[Unit Cost]]*Table3267[[#This Row],[Quantity Issued]]</f>
        <v>865</v>
      </c>
      <c r="I188" s="185">
        <f>_xlfn.XLOOKUP(Table3267[[#This Row],[Item]],Table13[Decription],Table13[February 2025 - Balance Qty])</f>
        <v>18</v>
      </c>
      <c r="J188" s="168" t="str">
        <f>_xlfn.XLOOKUP(Table3267[[#This Row],[Item]],Table13[Decription],Table13[Article])</f>
        <v>Other Supplies</v>
      </c>
    </row>
    <row r="189" spans="1:10" ht="10.5" customHeight="1">
      <c r="A189" s="172" t="s">
        <v>337</v>
      </c>
      <c r="B189" s="179"/>
      <c r="C189" s="180"/>
      <c r="D189" s="175" t="s">
        <v>71</v>
      </c>
      <c r="E189" s="176" t="str">
        <f>_xlfn.XLOOKUP(Table3267[[#This Row],[Item]],Table13[Decription],Table13[Unit])</f>
        <v>roll</v>
      </c>
      <c r="F189" s="176">
        <v>10</v>
      </c>
      <c r="G189" s="176">
        <f>_xlfn.XLOOKUP(Table3267[[#This Row],[Item]],Table13[Decription],Table13[Unit Cost])</f>
        <v>28.75</v>
      </c>
      <c r="H189" s="177">
        <f>Table3267[[#This Row],[Unit Cost]]*Table3267[[#This Row],[Quantity Issued]]</f>
        <v>287.5</v>
      </c>
      <c r="I189" s="185">
        <f>_xlfn.XLOOKUP(Table3267[[#This Row],[Item]],Table13[Decription],Table13[February 2025 - Balance Qty])</f>
        <v>95</v>
      </c>
      <c r="J189" s="168" t="str">
        <f>_xlfn.XLOOKUP(Table3267[[#This Row],[Item]],Table13[Decription],Table13[Article])</f>
        <v>Other Supplies</v>
      </c>
    </row>
    <row r="190" spans="1:10" ht="10.5" customHeight="1">
      <c r="A190" s="172" t="s">
        <v>337</v>
      </c>
      <c r="B190" s="179"/>
      <c r="C190" s="180"/>
      <c r="D190" s="175" t="s">
        <v>170</v>
      </c>
      <c r="E190" s="176" t="str">
        <f>_xlfn.XLOOKUP(Table3267[[#This Row],[Item]],Table13[Decription],Table13[Unit])</f>
        <v>can</v>
      </c>
      <c r="F190" s="176">
        <v>2</v>
      </c>
      <c r="G190" s="176">
        <f>_xlfn.XLOOKUP(Table3267[[#This Row],[Item]],Table13[Decription],Table13[Unit Cost])</f>
        <v>798.58</v>
      </c>
      <c r="H190" s="177">
        <f>Table3267[[#This Row],[Unit Cost]]*Table3267[[#This Row],[Quantity Issued]]</f>
        <v>1597.16</v>
      </c>
      <c r="I190" s="185">
        <f>_xlfn.XLOOKUP(Table3267[[#This Row],[Item]],Table13[Decription],Table13[February 2025 - Balance Qty])</f>
        <v>13</v>
      </c>
      <c r="J190" s="168" t="str">
        <f>_xlfn.XLOOKUP(Table3267[[#This Row],[Item]],Table13[Decription],Table13[Article])</f>
        <v>Other Supplies</v>
      </c>
    </row>
    <row r="191" spans="1:10" ht="10.5" customHeight="1">
      <c r="A191" s="193" t="s">
        <v>339</v>
      </c>
      <c r="B191" s="186"/>
      <c r="C191" s="187"/>
      <c r="D191" s="188" t="s">
        <v>183</v>
      </c>
      <c r="E191" s="189" t="str">
        <f>_xlfn.XLOOKUP(Table3267[[#This Row],[Item]],Table13[Decription],Table13[Unit])</f>
        <v>pack</v>
      </c>
      <c r="F191" s="189">
        <v>1</v>
      </c>
      <c r="G191" s="189">
        <f>_xlfn.XLOOKUP(Table3267[[#This Row],[Item]],Table13[Decription],Table13[Unit Cost])</f>
        <v>24.93</v>
      </c>
      <c r="H191" s="190">
        <f>Table3267[[#This Row],[Unit Cost]]*Table3267[[#This Row],[Quantity Issued]]</f>
        <v>24.93</v>
      </c>
      <c r="I191" s="191">
        <f>_xlfn.XLOOKUP(Table3267[[#This Row],[Item]],Table13[Decription],Table13[February 2025 - Balance Qty])</f>
        <v>24</v>
      </c>
      <c r="J191" s="168" t="str">
        <f>_xlfn.XLOOKUP(Table3267[[#This Row],[Item]],Table13[Decription],Table13[Article])</f>
        <v>Other Supplies</v>
      </c>
    </row>
    <row r="192" spans="1:10" ht="10.5" customHeight="1">
      <c r="A192" s="229" t="s">
        <v>339</v>
      </c>
      <c r="B192" s="230"/>
      <c r="C192" s="231"/>
      <c r="D192" s="175" t="s">
        <v>184</v>
      </c>
      <c r="E192" s="232" t="str">
        <f>_xlfn.XLOOKUP(Table3267[[#This Row],[Item]],Table13[Decription],Table13[Unit])</f>
        <v>piece</v>
      </c>
      <c r="F192" s="176">
        <v>3</v>
      </c>
      <c r="G192" s="232">
        <f>_xlfn.XLOOKUP(Table3267[[#This Row],[Item]],Table13[Decription],Table13[Unit Cost])</f>
        <v>2.8250149200000001</v>
      </c>
      <c r="H192" s="233">
        <f>Table3267[[#This Row],[Unit Cost]]*Table3267[[#This Row],[Quantity Issued]]</f>
        <v>8.4750447599999994</v>
      </c>
      <c r="I192" s="236">
        <f>_xlfn.XLOOKUP(Table3267[[#This Row],[Item]],Table13[Decription],Table13[February 2025 - Balance Qty])</f>
        <v>235</v>
      </c>
      <c r="J192" s="235" t="str">
        <f>_xlfn.XLOOKUP(Table3267[[#This Row],[Item]],Table13[Decription],Table13[Article])</f>
        <v>Other Supplies</v>
      </c>
    </row>
    <row r="193" spans="1:10" ht="10.5" customHeight="1">
      <c r="A193" s="229" t="s">
        <v>350</v>
      </c>
      <c r="B193" s="230"/>
      <c r="C193" s="231"/>
      <c r="D193" s="175" t="s">
        <v>184</v>
      </c>
      <c r="E193" s="232" t="str">
        <f>_xlfn.XLOOKUP(Table3267[[#This Row],[Item]],Table13[Decription],Table13[Unit])</f>
        <v>piece</v>
      </c>
      <c r="F193" s="176">
        <v>1</v>
      </c>
      <c r="G193" s="232">
        <f>_xlfn.XLOOKUP(Table3267[[#This Row],[Item]],Table13[Decription],Table13[Unit Cost])</f>
        <v>2.8250149200000001</v>
      </c>
      <c r="H193" s="233">
        <f>Table3267[[#This Row],[Unit Cost]]*Table3267[[#This Row],[Quantity Issued]]</f>
        <v>2.8250149200000001</v>
      </c>
      <c r="I193" s="236">
        <f>_xlfn.XLOOKUP(Table3267[[#This Row],[Item]],Table13[Decription],Table13[February 2025 - Balance Qty])</f>
        <v>235</v>
      </c>
      <c r="J193" s="235" t="str">
        <f>_xlfn.XLOOKUP(Table3267[[#This Row],[Item]],Table13[Decription],Table13[Article])</f>
        <v>Other Supplies</v>
      </c>
    </row>
    <row r="194" spans="1:10" ht="10.5" customHeight="1">
      <c r="A194" s="229"/>
      <c r="B194" s="230"/>
      <c r="C194" s="231"/>
      <c r="D194" s="175"/>
      <c r="E194" s="232">
        <f>_xlfn.XLOOKUP(Table3267[[#This Row],[Item]],Table13[Decription],Table13[Unit])</f>
        <v>0</v>
      </c>
      <c r="F194" s="176"/>
      <c r="G194" s="232">
        <f>_xlfn.XLOOKUP(Table3267[[#This Row],[Item]],Table13[Decription],Table13[Unit Cost])</f>
        <v>0</v>
      </c>
      <c r="H194" s="233">
        <f>Table3267[[#This Row],[Unit Cost]]*Table3267[[#This Row],[Quantity Issued]]</f>
        <v>0</v>
      </c>
      <c r="I194" s="236">
        <f>_xlfn.XLOOKUP(Table3267[[#This Row],[Item]],Table13[Decription],Table13[February 2025 - Balance Qty])</f>
        <v>0</v>
      </c>
      <c r="J194" s="235">
        <f>_xlfn.XLOOKUP(Table3267[[#This Row],[Item]],Table13[Decription],Table13[Article])</f>
        <v>0</v>
      </c>
    </row>
    <row r="195" spans="1:10" ht="10.5" customHeight="1">
      <c r="A195" s="321"/>
      <c r="B195" s="322"/>
      <c r="C195" s="323"/>
      <c r="D195" s="188"/>
      <c r="E195" s="324"/>
      <c r="F195" s="189"/>
      <c r="G195" s="324"/>
      <c r="H195" s="325"/>
      <c r="I195" s="326">
        <f>_xlfn.XLOOKUP(Table3267[[#This Row],[Item]],Table13[Decription],Table13[February 2025 - Balance Qty])</f>
        <v>0</v>
      </c>
      <c r="J195" s="235">
        <f>_xlfn.XLOOKUP(Table3267[[#This Row],[Item]],Table13[Decription],Table13[Article])</f>
        <v>0</v>
      </c>
    </row>
    <row r="196" spans="1:10">
      <c r="A196" s="328"/>
      <c r="B196" s="329"/>
      <c r="C196" s="330"/>
      <c r="D196" s="331"/>
      <c r="E196" s="332"/>
      <c r="F196" s="333"/>
      <c r="G196" s="332"/>
      <c r="H196" s="334"/>
      <c r="I196" s="335"/>
      <c r="J196" s="327"/>
    </row>
    <row r="197" spans="1:10">
      <c r="I197" s="43"/>
      <c r="J197" s="43"/>
    </row>
    <row r="198" spans="1:10">
      <c r="I198" s="43"/>
      <c r="J198" s="43"/>
    </row>
    <row r="199" spans="1:10">
      <c r="I199" s="43"/>
      <c r="J199" s="43"/>
    </row>
    <row r="200" spans="1:10">
      <c r="I200" s="43"/>
      <c r="J200" s="43"/>
    </row>
    <row r="201" spans="1:10">
      <c r="I201" s="43"/>
      <c r="J201" s="43"/>
    </row>
    <row r="202" spans="1:10">
      <c r="I202" s="43"/>
      <c r="J202" s="43"/>
    </row>
    <row r="203" spans="1:10">
      <c r="I203" s="43"/>
      <c r="J203" s="43"/>
    </row>
    <row r="204" spans="1:10">
      <c r="I204" s="43"/>
      <c r="J204" s="43"/>
    </row>
    <row r="205" spans="1:10">
      <c r="I205" s="43"/>
      <c r="J205" s="43"/>
    </row>
    <row r="206" spans="1:10">
      <c r="I206" s="43"/>
      <c r="J206" s="43"/>
    </row>
    <row r="207" spans="1:10">
      <c r="I207" s="43"/>
      <c r="J207" s="43"/>
    </row>
    <row r="208" spans="1:10">
      <c r="I208" s="43"/>
      <c r="J208" s="43"/>
    </row>
    <row r="209" spans="8:8">
      <c r="H209" s="301"/>
    </row>
  </sheetData>
  <dataConsolidate>
    <dataRefs count="1">
      <dataRef name="$D$2:$D$75,$F$2:$F$75"/>
    </dataRefs>
  </dataConsolidate>
  <pageMargins left="0.12" right="0.12" top="0.12" bottom="0.12" header="0.12" footer="0.12"/>
  <pageSetup paperSize="9" scale="91" fitToHeight="0" orientation="portrait" horizontalDpi="1200" verticalDpi="1200" r:id="rId1"/>
  <rowBreaks count="1" manualBreakCount="1">
    <brk id="87" max="7" man="1"/>
  </row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4BB9B2-0826-4093-BE7A-5B762DD90E68}">
          <x14:formula1>
            <xm:f>'Inventory 2025 - Summary'!$C$6:$C$162</xm:f>
          </x14:formula1>
          <xm:sqref>D2:D195 H209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58F2-A466-431B-8F15-0BCCB9D60CB9}">
  <sheetPr codeName="Sheet11">
    <pageSetUpPr fitToPage="1"/>
  </sheetPr>
  <dimension ref="A1:K216"/>
  <sheetViews>
    <sheetView view="pageBreakPreview" topLeftCell="C1" zoomScale="113" zoomScaleNormal="100" zoomScaleSheetLayoutView="113" workbookViewId="0">
      <selection activeCell="D23" sqref="D23"/>
    </sheetView>
  </sheetViews>
  <sheetFormatPr defaultColWidth="8.81640625" defaultRowHeight="14.5"/>
  <cols>
    <col min="1" max="1" width="11.1796875" style="11" bestFit="1" customWidth="1"/>
    <col min="2" max="2" width="19" style="11" bestFit="1" customWidth="1"/>
    <col min="3" max="3" width="10.08984375" style="11" bestFit="1" customWidth="1"/>
    <col min="4" max="4" width="32.1796875" style="11" bestFit="1" customWidth="1"/>
    <col min="5" max="5" width="7.36328125" style="11" bestFit="1" customWidth="1"/>
    <col min="6" max="6" width="12" style="11" customWidth="1"/>
    <col min="7" max="7" width="9.90625" style="11" customWidth="1"/>
    <col min="8" max="8" width="9.1796875" style="11" bestFit="1" customWidth="1"/>
    <col min="9" max="9" width="6.81640625" style="11" bestFit="1" customWidth="1"/>
    <col min="10" max="10" width="10.54296875" style="11" bestFit="1" customWidth="1"/>
    <col min="11" max="11" width="32.453125" style="11" bestFit="1" customWidth="1"/>
    <col min="12" max="12" width="3.90625" style="11" bestFit="1" customWidth="1"/>
    <col min="13" max="16384" width="8.81640625" style="11"/>
  </cols>
  <sheetData>
    <row r="1" spans="1:10" s="20" customFormat="1" ht="8.5">
      <c r="A1" s="169" t="s">
        <v>11</v>
      </c>
      <c r="B1" s="170" t="s">
        <v>12</v>
      </c>
      <c r="C1" s="170" t="s">
        <v>13</v>
      </c>
      <c r="D1" s="170" t="s">
        <v>14</v>
      </c>
      <c r="E1" s="169" t="s">
        <v>15</v>
      </c>
      <c r="F1" s="170" t="s">
        <v>16</v>
      </c>
      <c r="G1" s="170" t="s">
        <v>17</v>
      </c>
      <c r="H1" s="171" t="s">
        <v>18</v>
      </c>
      <c r="I1" s="171" t="s">
        <v>241</v>
      </c>
      <c r="J1" s="170" t="s">
        <v>398</v>
      </c>
    </row>
    <row r="2" spans="1:10" s="58" customFormat="1" ht="10.5" customHeight="1">
      <c r="A2" s="172" t="s">
        <v>359</v>
      </c>
      <c r="B2" s="179"/>
      <c r="C2" s="180"/>
      <c r="D2" s="314" t="s">
        <v>153</v>
      </c>
      <c r="E2" s="318" t="str">
        <f>_xlfn.XLOOKUP(Table326[[#This Row],[Item]],Table13[Decription],Table13[Unit])</f>
        <v>roll</v>
      </c>
      <c r="F2" s="176">
        <v>5</v>
      </c>
      <c r="G2" s="176">
        <f>_xlfn.XLOOKUP(Table326[[#This Row],[Item]],Table13[Decription],Table13[Unit Cost])</f>
        <v>63.56</v>
      </c>
      <c r="H2" s="351">
        <f>Table326[[#This Row],[Unit Cost]]*Table326[[#This Row],[Quantity Issued]]</f>
        <v>317.8</v>
      </c>
      <c r="I2" s="353">
        <f>_xlfn.XLOOKUP(Table326[[#This Row],[Item]],Table13[Decription],Table13[April 2025 - Balance Qty])</f>
        <v>0</v>
      </c>
      <c r="J2" s="365" t="str">
        <f>_xlfn.XLOOKUP(Table326[[#This Row],[Item]],Table13[Decription],Table13[Article])</f>
        <v>Office Supplies</v>
      </c>
    </row>
    <row r="3" spans="1:10" s="58" customFormat="1" ht="10.5" customHeight="1">
      <c r="A3" s="172" t="s">
        <v>360</v>
      </c>
      <c r="B3" s="173"/>
      <c r="C3" s="174"/>
      <c r="D3" s="315" t="s">
        <v>132</v>
      </c>
      <c r="E3" s="318" t="str">
        <f>_xlfn.XLOOKUP(Table326[[#This Row],[Item]],Table13[Decription],Table13[Unit])</f>
        <v>pack</v>
      </c>
      <c r="F3" s="176">
        <v>5</v>
      </c>
      <c r="G3" s="176">
        <f>_xlfn.XLOOKUP(Table326[[#This Row],[Item]],Table13[Decription],Table13[Unit Cost])</f>
        <v>53.7</v>
      </c>
      <c r="H3" s="351">
        <f>Table326[[#This Row],[Unit Cost]]*Table326[[#This Row],[Quantity Issued]]</f>
        <v>268.5</v>
      </c>
      <c r="I3" s="354">
        <f>_xlfn.XLOOKUP(Table326[[#This Row],[Item]],Table13[Decription],Table13[April 2025 - Balance Qty])</f>
        <v>8</v>
      </c>
      <c r="J3" s="366" t="str">
        <f>_xlfn.XLOOKUP(Table326[[#This Row],[Item]],Table13[Decription],Table13[Article])</f>
        <v>Office Supplies</v>
      </c>
    </row>
    <row r="4" spans="1:10" s="58" customFormat="1" ht="10.5" customHeight="1">
      <c r="A4" s="172" t="s">
        <v>360</v>
      </c>
      <c r="B4" s="173"/>
      <c r="C4" s="174"/>
      <c r="D4" s="315" t="s">
        <v>103</v>
      </c>
      <c r="E4" s="318" t="str">
        <f>_xlfn.XLOOKUP(Table326[[#This Row],[Item]],Table13[Decription],Table13[Unit])</f>
        <v>piece</v>
      </c>
      <c r="F4" s="176">
        <v>5</v>
      </c>
      <c r="G4" s="176">
        <f>_xlfn.XLOOKUP(Table326[[#This Row],[Item]],Table13[Decription],Table13[Unit Cost])</f>
        <v>170</v>
      </c>
      <c r="H4" s="351">
        <f>Table326[[#This Row],[Unit Cost]]*Table326[[#This Row],[Quantity Issued]]</f>
        <v>850</v>
      </c>
      <c r="I4" s="354">
        <f>_xlfn.XLOOKUP(Table326[[#This Row],[Item]],Table13[Decription],Table13[April 2025 - Balance Qty])</f>
        <v>0</v>
      </c>
      <c r="J4" s="366" t="str">
        <f>_xlfn.XLOOKUP(Table326[[#This Row],[Item]],Table13[Decription],Table13[Article])</f>
        <v>Office Supplies</v>
      </c>
    </row>
    <row r="5" spans="1:10" s="306" customFormat="1" ht="10.5" customHeight="1">
      <c r="A5" s="172" t="s">
        <v>360</v>
      </c>
      <c r="B5" s="308"/>
      <c r="C5" s="309"/>
      <c r="D5" s="315" t="s">
        <v>47</v>
      </c>
      <c r="E5" s="319" t="str">
        <f>_xlfn.XLOOKUP(Table326[[#This Row],[Item]],Table13[Decription],Table13[Unit])</f>
        <v>box</v>
      </c>
      <c r="F5" s="176">
        <v>3</v>
      </c>
      <c r="G5" s="232">
        <f>_xlfn.XLOOKUP(Table326[[#This Row],[Item]],Table13[Decription],Table13[Unit Cost])</f>
        <v>34.33</v>
      </c>
      <c r="H5" s="352">
        <f>Table326[[#This Row],[Unit Cost]]*Table326[[#This Row],[Quantity Issued]]</f>
        <v>102.99</v>
      </c>
      <c r="I5" s="355">
        <f>_xlfn.XLOOKUP(Table326[[#This Row],[Item]],Table13[Decription],Table13[April 2025 - Balance Qty])</f>
        <v>8</v>
      </c>
      <c r="J5" s="367" t="str">
        <f>_xlfn.XLOOKUP(Table326[[#This Row],[Item]],Table13[Decription],Table13[Article])</f>
        <v>Office Supplies</v>
      </c>
    </row>
    <row r="6" spans="1:10" s="43" customFormat="1" ht="10.5" customHeight="1">
      <c r="A6" s="172" t="s">
        <v>361</v>
      </c>
      <c r="B6" s="173"/>
      <c r="C6" s="174"/>
      <c r="D6" s="316" t="s">
        <v>55</v>
      </c>
      <c r="E6" s="318" t="str">
        <f>_xlfn.XLOOKUP(Table326[[#This Row],[Item]],Table13[Decription],Table13[Unit])</f>
        <v>roll</v>
      </c>
      <c r="F6" s="176">
        <v>5</v>
      </c>
      <c r="G6" s="176">
        <f>_xlfn.XLOOKUP(Table326[[#This Row],[Item]],Table13[Decription],Table13[Unit Cost])</f>
        <v>42.15</v>
      </c>
      <c r="H6" s="351">
        <f>Table326[[#This Row],[Unit Cost]]*Table326[[#This Row],[Quantity Issued]]</f>
        <v>210.75</v>
      </c>
      <c r="I6" s="354">
        <f>_xlfn.XLOOKUP(Table326[[#This Row],[Item]],Table13[Decription],Table13[April 2025 - Balance Qty])</f>
        <v>2</v>
      </c>
      <c r="J6" s="366" t="str">
        <f>_xlfn.XLOOKUP(Table326[[#This Row],[Item]],Table13[Decription],Table13[Article])</f>
        <v>Office Supplies</v>
      </c>
    </row>
    <row r="7" spans="1:10" s="43" customFormat="1" ht="10.5" customHeight="1">
      <c r="A7" s="172" t="s">
        <v>361</v>
      </c>
      <c r="B7" s="179"/>
      <c r="C7" s="180"/>
      <c r="D7" s="313" t="s">
        <v>107</v>
      </c>
      <c r="E7" s="318" t="str">
        <f>_xlfn.XLOOKUP(Table326[[#This Row],[Item]],Table13[Decription],Table13[Unit])</f>
        <v>piece</v>
      </c>
      <c r="F7" s="176">
        <v>10</v>
      </c>
      <c r="G7" s="176">
        <f>_xlfn.XLOOKUP(Table326[[#This Row],[Item]],Table13[Decription],Table13[Unit Cost])</f>
        <v>22</v>
      </c>
      <c r="H7" s="351">
        <f>Table326[[#This Row],[Unit Cost]]*Table326[[#This Row],[Quantity Issued]]</f>
        <v>220</v>
      </c>
      <c r="I7" s="354">
        <f>_xlfn.XLOOKUP(Table326[[#This Row],[Item]],Table13[Decription],Table13[April 2025 - Balance Qty])</f>
        <v>0</v>
      </c>
      <c r="J7" s="366" t="str">
        <f>_xlfn.XLOOKUP(Table326[[#This Row],[Item]],Table13[Decription],Table13[Article])</f>
        <v>Office Supplies</v>
      </c>
    </row>
    <row r="8" spans="1:10" s="43" customFormat="1" ht="10.5" customHeight="1">
      <c r="A8" s="172" t="s">
        <v>362</v>
      </c>
      <c r="B8" s="308"/>
      <c r="C8" s="309"/>
      <c r="D8" s="315" t="s">
        <v>89</v>
      </c>
      <c r="E8" s="319" t="str">
        <f>_xlfn.XLOOKUP(Table326[[#This Row],[Item]],Table13[Decription],Table13[Unit])</f>
        <v>piece</v>
      </c>
      <c r="F8" s="176">
        <v>2</v>
      </c>
      <c r="G8" s="232">
        <f>_xlfn.XLOOKUP(Table326[[#This Row],[Item]],Table13[Decription],Table13[Unit Cost])</f>
        <v>38.89</v>
      </c>
      <c r="H8" s="352">
        <f>Table326[[#This Row],[Unit Cost]]*Table326[[#This Row],[Quantity Issued]]</f>
        <v>77.78</v>
      </c>
      <c r="I8" s="355">
        <f>_xlfn.XLOOKUP(Table326[[#This Row],[Item]],Table13[Decription],Table13[April 2025 - Balance Qty])</f>
        <v>21</v>
      </c>
      <c r="J8" s="367" t="str">
        <f>_xlfn.XLOOKUP(Table326[[#This Row],[Item]],Table13[Decription],Table13[Article])</f>
        <v>Office Supplies</v>
      </c>
    </row>
    <row r="9" spans="1:10" s="304" customFormat="1" ht="10.5" customHeight="1">
      <c r="A9" s="172" t="s">
        <v>362</v>
      </c>
      <c r="B9" s="308"/>
      <c r="C9" s="309"/>
      <c r="D9" s="310" t="s">
        <v>94</v>
      </c>
      <c r="E9" s="319" t="str">
        <f>_xlfn.XLOOKUP(Table326[[#This Row],[Item]],Table13[Decription],Table13[Unit])</f>
        <v>piece</v>
      </c>
      <c r="F9" s="176">
        <v>3</v>
      </c>
      <c r="G9" s="232">
        <f>_xlfn.XLOOKUP(Table326[[#This Row],[Item]],Table13[Decription],Table13[Unit Cost])</f>
        <v>45</v>
      </c>
      <c r="H9" s="352">
        <f>Table326[[#This Row],[Unit Cost]]*Table326[[#This Row],[Quantity Issued]]</f>
        <v>135</v>
      </c>
      <c r="I9" s="355">
        <f>_xlfn.XLOOKUP(Table326[[#This Row],[Item]],Table13[Decription],Table13[April 2025 - Balance Qty])</f>
        <v>0</v>
      </c>
      <c r="J9" s="367" t="str">
        <f>_xlfn.XLOOKUP(Table326[[#This Row],[Item]],Table13[Decription],Table13[Article])</f>
        <v>Office Supplies</v>
      </c>
    </row>
    <row r="10" spans="1:10" s="43" customFormat="1" ht="10.5" customHeight="1">
      <c r="A10" s="172" t="s">
        <v>363</v>
      </c>
      <c r="B10" s="179"/>
      <c r="C10" s="180"/>
      <c r="D10" s="311" t="s">
        <v>47</v>
      </c>
      <c r="E10" s="318" t="str">
        <f>_xlfn.XLOOKUP(Table326[[#This Row],[Item]],Table13[Decription],Table13[Unit])</f>
        <v>box</v>
      </c>
      <c r="F10" s="176">
        <v>2</v>
      </c>
      <c r="G10" s="176">
        <f>_xlfn.XLOOKUP(Table326[[#This Row],[Item]],Table13[Decription],Table13[Unit Cost])</f>
        <v>34.33</v>
      </c>
      <c r="H10" s="351">
        <f>Table326[[#This Row],[Unit Cost]]*Table326[[#This Row],[Quantity Issued]]</f>
        <v>68.66</v>
      </c>
      <c r="I10" s="354">
        <f>_xlfn.XLOOKUP(Table326[[#This Row],[Item]],Table13[Decription],Table13[April 2025 - Balance Qty])</f>
        <v>8</v>
      </c>
      <c r="J10" s="368" t="str">
        <f>_xlfn.XLOOKUP(Table326[[#This Row],[Item]],Table13[Decription],Table13[Article])</f>
        <v>Office Supplies</v>
      </c>
    </row>
    <row r="11" spans="1:10" s="43" customFormat="1" ht="10.5" customHeight="1">
      <c r="A11" s="172" t="s">
        <v>363</v>
      </c>
      <c r="B11" s="179"/>
      <c r="C11" s="180"/>
      <c r="D11" s="314" t="s">
        <v>64</v>
      </c>
      <c r="E11" s="318" t="str">
        <f>_xlfn.XLOOKUP(Table326[[#This Row],[Item]],Table13[Decription],Table13[Unit])</f>
        <v>piece</v>
      </c>
      <c r="F11" s="176">
        <v>5</v>
      </c>
      <c r="G11" s="176">
        <f>_xlfn.XLOOKUP(Table326[[#This Row],[Item]],Table13[Decription],Table13[Unit Cost])</f>
        <v>8.5755407899999998</v>
      </c>
      <c r="H11" s="351">
        <f>Table326[[#This Row],[Unit Cost]]*Table326[[#This Row],[Quantity Issued]]</f>
        <v>42.877703949999997</v>
      </c>
      <c r="I11" s="354">
        <f>_xlfn.XLOOKUP(Table326[[#This Row],[Item]],Table13[Decription],Table13[April 2025 - Balance Qty])</f>
        <v>69</v>
      </c>
      <c r="J11" s="368" t="str">
        <f>_xlfn.XLOOKUP(Table326[[#This Row],[Item]],Table13[Decription],Table13[Article])</f>
        <v>Office Supplies</v>
      </c>
    </row>
    <row r="12" spans="1:10" s="43" customFormat="1" ht="10.5" customHeight="1">
      <c r="A12" s="172" t="s">
        <v>363</v>
      </c>
      <c r="B12" s="179"/>
      <c r="C12" s="180"/>
      <c r="D12" s="317" t="s">
        <v>161</v>
      </c>
      <c r="E12" s="318" t="str">
        <f>_xlfn.XLOOKUP(Table326[[#This Row],[Item]],Table13[Decription],Table13[Unit])</f>
        <v>piece</v>
      </c>
      <c r="F12" s="176">
        <v>1</v>
      </c>
      <c r="G12" s="176">
        <f>_xlfn.XLOOKUP(Table326[[#This Row],[Item]],Table13[Decription],Table13[Unit Cost])</f>
        <v>80.540000000000006</v>
      </c>
      <c r="H12" s="351">
        <f>Table326[[#This Row],[Unit Cost]]*Table326[[#This Row],[Quantity Issued]]</f>
        <v>80.540000000000006</v>
      </c>
      <c r="I12" s="354">
        <f>_xlfn.XLOOKUP(Table326[[#This Row],[Item]],Table13[Decription],Table13[April 2025 - Balance Qty])</f>
        <v>47</v>
      </c>
      <c r="J12" s="368" t="str">
        <f>_xlfn.XLOOKUP(Table326[[#This Row],[Item]],Table13[Decription],Table13[Article])</f>
        <v>Office Supplies</v>
      </c>
    </row>
    <row r="13" spans="1:10" s="43" customFormat="1" ht="10.5" customHeight="1">
      <c r="A13" s="172" t="s">
        <v>364</v>
      </c>
      <c r="B13" s="179"/>
      <c r="C13" s="180"/>
      <c r="D13" s="315" t="s">
        <v>64</v>
      </c>
      <c r="E13" s="318" t="str">
        <f>_xlfn.XLOOKUP(Table326[[#This Row],[Item]],Table13[Decription],Table13[Unit])</f>
        <v>piece</v>
      </c>
      <c r="F13" s="176">
        <v>4</v>
      </c>
      <c r="G13" s="176">
        <f>_xlfn.XLOOKUP(Table326[[#This Row],[Item]],Table13[Decription],Table13[Unit Cost])</f>
        <v>8.5755407899999998</v>
      </c>
      <c r="H13" s="351">
        <f>Table326[[#This Row],[Unit Cost]]*Table326[[#This Row],[Quantity Issued]]</f>
        <v>34.302163159999999</v>
      </c>
      <c r="I13" s="354">
        <f>_xlfn.XLOOKUP(Table326[[#This Row],[Item]],Table13[Decription],Table13[April 2025 - Balance Qty])</f>
        <v>69</v>
      </c>
      <c r="J13" s="368" t="str">
        <f>_xlfn.XLOOKUP(Table326[[#This Row],[Item]],Table13[Decription],Table13[Article])</f>
        <v>Office Supplies</v>
      </c>
    </row>
    <row r="14" spans="1:10" s="43" customFormat="1" ht="10.5" customHeight="1">
      <c r="A14" s="172" t="s">
        <v>364</v>
      </c>
      <c r="B14" s="179"/>
      <c r="C14" s="180"/>
      <c r="D14" s="317" t="s">
        <v>55</v>
      </c>
      <c r="E14" s="318" t="str">
        <f>_xlfn.XLOOKUP(Table326[[#This Row],[Item]],Table13[Decription],Table13[Unit])</f>
        <v>roll</v>
      </c>
      <c r="F14" s="176">
        <v>4</v>
      </c>
      <c r="G14" s="176">
        <f>_xlfn.XLOOKUP(Table326[[#This Row],[Item]],Table13[Decription],Table13[Unit Cost])</f>
        <v>42.15</v>
      </c>
      <c r="H14" s="351">
        <f>Table326[[#This Row],[Unit Cost]]*Table326[[#This Row],[Quantity Issued]]</f>
        <v>168.6</v>
      </c>
      <c r="I14" s="354">
        <f>_xlfn.XLOOKUP(Table326[[#This Row],[Item]],Table13[Decription],Table13[April 2025 - Balance Qty])</f>
        <v>2</v>
      </c>
      <c r="J14" s="368" t="str">
        <f>_xlfn.XLOOKUP(Table326[[#This Row],[Item]],Table13[Decription],Table13[Article])</f>
        <v>Office Supplies</v>
      </c>
    </row>
    <row r="15" spans="1:10" s="304" customFormat="1" ht="10.5" customHeight="1">
      <c r="A15" s="172" t="s">
        <v>366</v>
      </c>
      <c r="B15" s="308"/>
      <c r="C15" s="309"/>
      <c r="D15" s="315" t="s">
        <v>64</v>
      </c>
      <c r="E15" s="319" t="str">
        <f>_xlfn.XLOOKUP(Table326[[#This Row],[Item]],Table13[Decription],Table13[Unit])</f>
        <v>piece</v>
      </c>
      <c r="F15" s="176">
        <v>5</v>
      </c>
      <c r="G15" s="232">
        <f>_xlfn.XLOOKUP(Table326[[#This Row],[Item]],Table13[Decription],Table13[Unit Cost])</f>
        <v>8.5755407899999998</v>
      </c>
      <c r="H15" s="352">
        <f>Table326[[#This Row],[Unit Cost]]*Table326[[#This Row],[Quantity Issued]]</f>
        <v>42.877703949999997</v>
      </c>
      <c r="I15" s="355">
        <f>_xlfn.XLOOKUP(Table326[[#This Row],[Item]],Table13[Decription],Table13[April 2025 - Balance Qty])</f>
        <v>69</v>
      </c>
      <c r="J15" s="369" t="str">
        <f>_xlfn.XLOOKUP(Table326[[#This Row],[Item]],Table13[Decription],Table13[Article])</f>
        <v>Office Supplies</v>
      </c>
    </row>
    <row r="16" spans="1:10" s="43" customFormat="1" ht="10.5" customHeight="1">
      <c r="A16" s="172" t="s">
        <v>366</v>
      </c>
      <c r="B16" s="179"/>
      <c r="C16" s="180"/>
      <c r="D16" s="315" t="s">
        <v>153</v>
      </c>
      <c r="E16" s="318" t="str">
        <f>_xlfn.XLOOKUP(Table326[[#This Row],[Item]],Table13[Decription],Table13[Unit])</f>
        <v>roll</v>
      </c>
      <c r="F16" s="176">
        <v>5</v>
      </c>
      <c r="G16" s="176">
        <f>_xlfn.XLOOKUP(Table326[[#This Row],[Item]],Table13[Decription],Table13[Unit Cost])</f>
        <v>63.56</v>
      </c>
      <c r="H16" s="351">
        <f>Table326[[#This Row],[Unit Cost]]*Table326[[#This Row],[Quantity Issued]]</f>
        <v>317.8</v>
      </c>
      <c r="I16" s="354">
        <f>_xlfn.XLOOKUP(Table326[[#This Row],[Item]],Table13[Decription],Table13[April 2025 - Balance Qty])</f>
        <v>0</v>
      </c>
      <c r="J16" s="368" t="str">
        <f>_xlfn.XLOOKUP(Table326[[#This Row],[Item]],Table13[Decription],Table13[Article])</f>
        <v>Office Supplies</v>
      </c>
    </row>
    <row r="17" spans="1:11" s="43" customFormat="1" ht="10.5" customHeight="1">
      <c r="A17" s="172" t="s">
        <v>367</v>
      </c>
      <c r="B17" s="179"/>
      <c r="C17" s="180"/>
      <c r="D17" s="315" t="s">
        <v>152</v>
      </c>
      <c r="E17" s="318" t="str">
        <f>_xlfn.XLOOKUP(Table326[[#This Row],[Item]],Table13[Decription],Table13[Unit])</f>
        <v>roll</v>
      </c>
      <c r="F17" s="176">
        <v>5</v>
      </c>
      <c r="G17" s="176">
        <f>_xlfn.XLOOKUP(Table326[[#This Row],[Item]],Table13[Decription],Table13[Unit Cost])</f>
        <v>28.72</v>
      </c>
      <c r="H17" s="351">
        <f>Table326[[#This Row],[Unit Cost]]*Table326[[#This Row],[Quantity Issued]]</f>
        <v>143.6</v>
      </c>
      <c r="I17" s="354">
        <f>_xlfn.XLOOKUP(Table326[[#This Row],[Item]],Table13[Decription],Table13[April 2025 - Balance Qty])</f>
        <v>4</v>
      </c>
      <c r="J17" s="368" t="str">
        <f>_xlfn.XLOOKUP(Table326[[#This Row],[Item]],Table13[Decription],Table13[Article])</f>
        <v>Office Supplies</v>
      </c>
      <c r="K17" s="58"/>
    </row>
    <row r="18" spans="1:11" s="43" customFormat="1" ht="10.5" customHeight="1">
      <c r="A18" s="172" t="s">
        <v>367</v>
      </c>
      <c r="B18" s="179"/>
      <c r="C18" s="180"/>
      <c r="D18" s="315" t="s">
        <v>64</v>
      </c>
      <c r="E18" s="318" t="str">
        <f>_xlfn.XLOOKUP(Table326[[#This Row],[Item]],Table13[Decription],Table13[Unit])</f>
        <v>piece</v>
      </c>
      <c r="F18" s="176">
        <v>2</v>
      </c>
      <c r="G18" s="176">
        <f>_xlfn.XLOOKUP(Table326[[#This Row],[Item]],Table13[Decription],Table13[Unit Cost])</f>
        <v>8.5755407899999998</v>
      </c>
      <c r="H18" s="351">
        <f>Table326[[#This Row],[Unit Cost]]*Table326[[#This Row],[Quantity Issued]]</f>
        <v>17.15108158</v>
      </c>
      <c r="I18" s="354">
        <f>_xlfn.XLOOKUP(Table326[[#This Row],[Item]],Table13[Decription],Table13[April 2025 - Balance Qty])</f>
        <v>69</v>
      </c>
      <c r="J18" s="368" t="str">
        <f>_xlfn.XLOOKUP(Table326[[#This Row],[Item]],Table13[Decription],Table13[Article])</f>
        <v>Office Supplies</v>
      </c>
      <c r="K18" s="58"/>
    </row>
    <row r="19" spans="1:11" s="304" customFormat="1" ht="10.5" customHeight="1">
      <c r="A19" s="172" t="s">
        <v>367</v>
      </c>
      <c r="B19" s="308"/>
      <c r="C19" s="309"/>
      <c r="D19" s="315" t="s">
        <v>96</v>
      </c>
      <c r="E19" s="232" t="str">
        <f>_xlfn.XLOOKUP(Table326[[#This Row],[Item]],Table13[Decription],Table13[Unit])</f>
        <v>pad</v>
      </c>
      <c r="F19" s="176">
        <v>2</v>
      </c>
      <c r="G19" s="232">
        <f>_xlfn.XLOOKUP(Table326[[#This Row],[Item]],Table13[Decription],Table13[Unit Cost])</f>
        <v>27.22</v>
      </c>
      <c r="H19" s="352">
        <f>Table326[[#This Row],[Unit Cost]]*Table326[[#This Row],[Quantity Issued]]</f>
        <v>54.44</v>
      </c>
      <c r="I19" s="355">
        <f>_xlfn.XLOOKUP(Table326[[#This Row],[Item]],Table13[Decription],Table13[April 2025 - Balance Qty])</f>
        <v>8</v>
      </c>
      <c r="J19" s="369" t="str">
        <f>_xlfn.XLOOKUP(Table326[[#This Row],[Item]],Table13[Decription],Table13[Article])</f>
        <v>Office Supplies</v>
      </c>
      <c r="K19" s="306"/>
    </row>
    <row r="20" spans="1:11" s="43" customFormat="1" ht="10.5" customHeight="1">
      <c r="A20" s="172" t="s">
        <v>368</v>
      </c>
      <c r="B20" s="179"/>
      <c r="C20" s="180"/>
      <c r="D20" s="315" t="s">
        <v>130</v>
      </c>
      <c r="E20" s="176" t="str">
        <f>_xlfn.XLOOKUP(Table326[[#This Row],[Item]],Table13[Decription],Table13[Unit])</f>
        <v>pack</v>
      </c>
      <c r="F20" s="176">
        <v>2</v>
      </c>
      <c r="G20" s="176">
        <f>_xlfn.XLOOKUP(Table326[[#This Row],[Item]],Table13[Decription],Table13[Unit Cost])</f>
        <v>96.84</v>
      </c>
      <c r="H20" s="351">
        <f>Table326[[#This Row],[Unit Cost]]*Table326[[#This Row],[Quantity Issued]]</f>
        <v>193.68</v>
      </c>
      <c r="I20" s="354">
        <f>_xlfn.XLOOKUP(Table326[[#This Row],[Item]],Table13[Decription],Table13[April 2025 - Balance Qty])</f>
        <v>9</v>
      </c>
      <c r="J20" s="368" t="str">
        <f>_xlfn.XLOOKUP(Table326[[#This Row],[Item]],Table13[Decription],Table13[Article])</f>
        <v>Office Supplies</v>
      </c>
    </row>
    <row r="21" spans="1:11" s="43" customFormat="1" ht="10.5" customHeight="1">
      <c r="A21" s="172" t="s">
        <v>368</v>
      </c>
      <c r="B21" s="179"/>
      <c r="C21" s="180"/>
      <c r="D21" s="315" t="s">
        <v>136</v>
      </c>
      <c r="E21" s="176" t="str">
        <f>_xlfn.XLOOKUP(Table326[[#This Row],[Item]],Table13[Decription],Table13[Unit])</f>
        <v>bottle</v>
      </c>
      <c r="F21" s="176">
        <v>1</v>
      </c>
      <c r="G21" s="176">
        <f>_xlfn.XLOOKUP(Table326[[#This Row],[Item]],Table13[Decription],Table13[Unit Cost])</f>
        <v>458.46</v>
      </c>
      <c r="H21" s="351">
        <f>Table326[[#This Row],[Unit Cost]]*Table326[[#This Row],[Quantity Issued]]</f>
        <v>458.46</v>
      </c>
      <c r="I21" s="354">
        <f>_xlfn.XLOOKUP(Table326[[#This Row],[Item]],Table13[Decription],Table13[April 2025 - Balance Qty])</f>
        <v>6</v>
      </c>
      <c r="J21" s="368" t="str">
        <f>_xlfn.XLOOKUP(Table326[[#This Row],[Item]],Table13[Decription],Table13[Article])</f>
        <v>Office Supplies</v>
      </c>
    </row>
    <row r="22" spans="1:11" s="43" customFormat="1" ht="10.5" customHeight="1">
      <c r="A22" s="172" t="s">
        <v>369</v>
      </c>
      <c r="B22" s="173"/>
      <c r="C22" s="173"/>
      <c r="D22" s="315" t="s">
        <v>152</v>
      </c>
      <c r="E22" s="176" t="str">
        <f>_xlfn.XLOOKUP(Table326[[#This Row],[Item]],Table13[Decription],Table13[Unit])</f>
        <v>roll</v>
      </c>
      <c r="F22" s="176">
        <v>1</v>
      </c>
      <c r="G22" s="176">
        <f>_xlfn.XLOOKUP(Table326[[#This Row],[Item]],Table13[Decription],Table13[Unit Cost])</f>
        <v>28.72</v>
      </c>
      <c r="H22" s="351">
        <f>Table326[[#This Row],[Unit Cost]]*Table326[[#This Row],[Quantity Issued]]</f>
        <v>28.72</v>
      </c>
      <c r="I22" s="354">
        <f>_xlfn.XLOOKUP(Table326[[#This Row],[Item]],Table13[Decription],Table13[April 2025 - Balance Qty])</f>
        <v>4</v>
      </c>
      <c r="J22" s="368" t="str">
        <f>_xlfn.XLOOKUP(Table326[[#This Row],[Item]],Table13[Decription],Table13[Article])</f>
        <v>Office Supplies</v>
      </c>
    </row>
    <row r="23" spans="1:11" s="43" customFormat="1" ht="10.5" customHeight="1">
      <c r="A23" s="172" t="s">
        <v>369</v>
      </c>
      <c r="B23" s="179"/>
      <c r="C23" s="180"/>
      <c r="D23" s="315" t="s">
        <v>64</v>
      </c>
      <c r="E23" s="176" t="str">
        <f>_xlfn.XLOOKUP(Table326[[#This Row],[Item]],Table13[Decription],Table13[Unit])</f>
        <v>piece</v>
      </c>
      <c r="F23" s="176">
        <v>10</v>
      </c>
      <c r="G23" s="176">
        <f>_xlfn.XLOOKUP(Table326[[#This Row],[Item]],Table13[Decription],Table13[Unit Cost])</f>
        <v>8.5755407899999998</v>
      </c>
      <c r="H23" s="351">
        <f>Table326[[#This Row],[Unit Cost]]*Table326[[#This Row],[Quantity Issued]]</f>
        <v>85.755407899999994</v>
      </c>
      <c r="I23" s="354">
        <f>_xlfn.XLOOKUP(Table326[[#This Row],[Item]],Table13[Decription],Table13[April 2025 - Balance Qty])</f>
        <v>69</v>
      </c>
      <c r="J23" s="368" t="str">
        <f>_xlfn.XLOOKUP(Table326[[#This Row],[Item]],Table13[Decription],Table13[Article])</f>
        <v>Office Supplies</v>
      </c>
    </row>
    <row r="24" spans="1:11" s="43" customFormat="1" ht="10.5" customHeight="1">
      <c r="A24" s="172" t="s">
        <v>385</v>
      </c>
      <c r="B24" s="179"/>
      <c r="C24" s="180"/>
      <c r="D24" s="315" t="s">
        <v>120</v>
      </c>
      <c r="E24" s="176" t="str">
        <f>_xlfn.XLOOKUP(Table326[[#This Row],[Item]],Table13[Decription],Table13[Unit])</f>
        <v>pack</v>
      </c>
      <c r="F24" s="176">
        <v>2</v>
      </c>
      <c r="G24" s="176">
        <f>_xlfn.XLOOKUP(Table326[[#This Row],[Item]],Table13[Decription],Table13[Unit Cost])</f>
        <v>80.558285699999999</v>
      </c>
      <c r="H24" s="351">
        <f>Table326[[#This Row],[Unit Cost]]*Table326[[#This Row],[Quantity Issued]]</f>
        <v>161.1165714</v>
      </c>
      <c r="I24" s="354">
        <f>_xlfn.XLOOKUP(Table326[[#This Row],[Item]],Table13[Decription],Table13[April 2025 - Balance Qty])</f>
        <v>2</v>
      </c>
      <c r="J24" s="368" t="str">
        <f>_xlfn.XLOOKUP(Table326[[#This Row],[Item]],Table13[Decription],Table13[Article])</f>
        <v>Office Supplies</v>
      </c>
    </row>
    <row r="25" spans="1:11" s="43" customFormat="1" ht="10.5" customHeight="1">
      <c r="A25" s="172" t="s">
        <v>370</v>
      </c>
      <c r="B25" s="179"/>
      <c r="C25" s="180"/>
      <c r="D25" s="315" t="s">
        <v>64</v>
      </c>
      <c r="E25" s="176" t="str">
        <f>_xlfn.XLOOKUP(Table326[[#This Row],[Item]],Table13[Decription],Table13[Unit])</f>
        <v>piece</v>
      </c>
      <c r="F25" s="176">
        <v>7</v>
      </c>
      <c r="G25" s="176">
        <f>_xlfn.XLOOKUP(Table326[[#This Row],[Item]],Table13[Decription],Table13[Unit Cost])</f>
        <v>8.5755407899999998</v>
      </c>
      <c r="H25" s="351">
        <f>Table326[[#This Row],[Unit Cost]]*Table326[[#This Row],[Quantity Issued]]</f>
        <v>60.02878553</v>
      </c>
      <c r="I25" s="354">
        <f>_xlfn.XLOOKUP(Table326[[#This Row],[Item]],Table13[Decription],Table13[April 2025 - Balance Qty])</f>
        <v>69</v>
      </c>
      <c r="J25" s="368" t="str">
        <f>_xlfn.XLOOKUP(Table326[[#This Row],[Item]],Table13[Decription],Table13[Article])</f>
        <v>Office Supplies</v>
      </c>
    </row>
    <row r="26" spans="1:11" s="43" customFormat="1" ht="10.5" customHeight="1">
      <c r="A26" s="172" t="s">
        <v>370</v>
      </c>
      <c r="B26" s="179"/>
      <c r="C26" s="180"/>
      <c r="D26" s="315" t="s">
        <v>89</v>
      </c>
      <c r="E26" s="176" t="str">
        <f>_xlfn.XLOOKUP(Table326[[#This Row],[Item]],Table13[Decription],Table13[Unit])</f>
        <v>piece</v>
      </c>
      <c r="F26" s="176">
        <v>1</v>
      </c>
      <c r="G26" s="176">
        <f>_xlfn.XLOOKUP(Table326[[#This Row],[Item]],Table13[Decription],Table13[Unit Cost])</f>
        <v>38.89</v>
      </c>
      <c r="H26" s="351">
        <f>Table326[[#This Row],[Unit Cost]]*Table326[[#This Row],[Quantity Issued]]</f>
        <v>38.89</v>
      </c>
      <c r="I26" s="354">
        <f>_xlfn.XLOOKUP(Table326[[#This Row],[Item]],Table13[Decription],Table13[April 2025 - Balance Qty])</f>
        <v>21</v>
      </c>
      <c r="J26" s="368" t="str">
        <f>_xlfn.XLOOKUP(Table326[[#This Row],[Item]],Table13[Decription],Table13[Article])</f>
        <v>Office Supplies</v>
      </c>
    </row>
    <row r="27" spans="1:11" s="304" customFormat="1" ht="10.5" customHeight="1">
      <c r="A27" s="172" t="s">
        <v>370</v>
      </c>
      <c r="B27" s="308"/>
      <c r="C27" s="309"/>
      <c r="D27" s="310" t="s">
        <v>96</v>
      </c>
      <c r="E27" s="232" t="str">
        <f>_xlfn.XLOOKUP(Table326[[#This Row],[Item]],Table13[Decription],Table13[Unit])</f>
        <v>pad</v>
      </c>
      <c r="F27" s="176">
        <v>3</v>
      </c>
      <c r="G27" s="232">
        <f>_xlfn.XLOOKUP(Table326[[#This Row],[Item]],Table13[Decription],Table13[Unit Cost])</f>
        <v>27.22</v>
      </c>
      <c r="H27" s="352">
        <f>Table326[[#This Row],[Unit Cost]]*Table326[[#This Row],[Quantity Issued]]</f>
        <v>81.66</v>
      </c>
      <c r="I27" s="355">
        <f>_xlfn.XLOOKUP(Table326[[#This Row],[Item]],Table13[Decription],Table13[April 2025 - Balance Qty])</f>
        <v>8</v>
      </c>
      <c r="J27" s="369" t="str">
        <f>_xlfn.XLOOKUP(Table326[[#This Row],[Item]],Table13[Decription],Table13[Article])</f>
        <v>Office Supplies</v>
      </c>
    </row>
    <row r="28" spans="1:11" s="43" customFormat="1" ht="10.5" customHeight="1">
      <c r="A28" s="172" t="s">
        <v>371</v>
      </c>
      <c r="B28" s="179"/>
      <c r="C28" s="180"/>
      <c r="D28" s="315" t="s">
        <v>64</v>
      </c>
      <c r="E28" s="176" t="str">
        <f>_xlfn.XLOOKUP(Table326[[#This Row],[Item]],Table13[Decription],Table13[Unit])</f>
        <v>piece</v>
      </c>
      <c r="F28" s="176">
        <v>10</v>
      </c>
      <c r="G28" s="176">
        <f>_xlfn.XLOOKUP(Table326[[#This Row],[Item]],Table13[Decription],Table13[Unit Cost])</f>
        <v>8.5755407899999998</v>
      </c>
      <c r="H28" s="351">
        <f>Table326[[#This Row],[Unit Cost]]*Table326[[#This Row],[Quantity Issued]]</f>
        <v>85.755407899999994</v>
      </c>
      <c r="I28" s="354">
        <f>_xlfn.XLOOKUP(Table326[[#This Row],[Item]],Table13[Decription],Table13[April 2025 - Balance Qty])</f>
        <v>69</v>
      </c>
      <c r="J28" s="368" t="str">
        <f>_xlfn.XLOOKUP(Table326[[#This Row],[Item]],Table13[Decription],Table13[Article])</f>
        <v>Office Supplies</v>
      </c>
    </row>
    <row r="29" spans="1:11" s="43" customFormat="1" ht="10.5" customHeight="1">
      <c r="A29" s="172" t="s">
        <v>371</v>
      </c>
      <c r="B29" s="179"/>
      <c r="C29" s="180"/>
      <c r="D29" s="315" t="s">
        <v>152</v>
      </c>
      <c r="E29" s="176" t="str">
        <f>_xlfn.XLOOKUP(Table326[[#This Row],[Item]],Table13[Decription],Table13[Unit])</f>
        <v>roll</v>
      </c>
      <c r="F29" s="176">
        <v>1</v>
      </c>
      <c r="G29" s="176">
        <f>_xlfn.XLOOKUP(Table326[[#This Row],[Item]],Table13[Decription],Table13[Unit Cost])</f>
        <v>28.72</v>
      </c>
      <c r="H29" s="351">
        <f>Table326[[#This Row],[Unit Cost]]*Table326[[#This Row],[Quantity Issued]]</f>
        <v>28.72</v>
      </c>
      <c r="I29" s="354">
        <f>_xlfn.XLOOKUP(Table326[[#This Row],[Item]],Table13[Decription],Table13[April 2025 - Balance Qty])</f>
        <v>4</v>
      </c>
      <c r="J29" s="368" t="str">
        <f>_xlfn.XLOOKUP(Table326[[#This Row],[Item]],Table13[Decription],Table13[Article])</f>
        <v>Office Supplies</v>
      </c>
    </row>
    <row r="30" spans="1:11" s="304" customFormat="1" ht="10.5" customHeight="1">
      <c r="A30" s="172" t="s">
        <v>371</v>
      </c>
      <c r="B30" s="308"/>
      <c r="C30" s="309"/>
      <c r="D30" s="315" t="s">
        <v>49</v>
      </c>
      <c r="E30" s="232" t="str">
        <f>_xlfn.XLOOKUP(Table326[[#This Row],[Item]],Table13[Decription],Table13[Unit])</f>
        <v>box</v>
      </c>
      <c r="F30" s="176">
        <v>1</v>
      </c>
      <c r="G30" s="232">
        <f>_xlfn.XLOOKUP(Table326[[#This Row],[Item]],Table13[Decription],Table13[Unit Cost])</f>
        <v>47.93</v>
      </c>
      <c r="H30" s="352">
        <f>Table326[[#This Row],[Unit Cost]]*Table326[[#This Row],[Quantity Issued]]</f>
        <v>47.93</v>
      </c>
      <c r="I30" s="355">
        <f>_xlfn.XLOOKUP(Table326[[#This Row],[Item]],Table13[Decription],Table13[April 2025 - Balance Qty])</f>
        <v>1</v>
      </c>
      <c r="J30" s="369" t="str">
        <f>_xlfn.XLOOKUP(Table326[[#This Row],[Item]],Table13[Decription],Table13[Article])</f>
        <v>Office Supplies</v>
      </c>
    </row>
    <row r="31" spans="1:11" s="43" customFormat="1" ht="10.5" customHeight="1">
      <c r="A31" s="172" t="s">
        <v>372</v>
      </c>
      <c r="B31" s="179"/>
      <c r="C31" s="180"/>
      <c r="D31" s="315" t="s">
        <v>69</v>
      </c>
      <c r="E31" s="176" t="str">
        <f>_xlfn.XLOOKUP(Table326[[#This Row],[Item]],Table13[Decription],Table13[Unit])</f>
        <v>piece</v>
      </c>
      <c r="F31" s="176">
        <v>33</v>
      </c>
      <c r="G31" s="176">
        <f>_xlfn.XLOOKUP(Table326[[#This Row],[Item]],Table13[Decription],Table13[Unit Cost])</f>
        <v>25</v>
      </c>
      <c r="H31" s="351">
        <f>Table326[[#This Row],[Unit Cost]]*Table326[[#This Row],[Quantity Issued]]</f>
        <v>825</v>
      </c>
      <c r="I31" s="354">
        <f>_xlfn.XLOOKUP(Table326[[#This Row],[Item]],Table13[Decription],Table13[April 2025 - Balance Qty])</f>
        <v>5</v>
      </c>
      <c r="J31" s="368" t="str">
        <f>_xlfn.XLOOKUP(Table326[[#This Row],[Item]],Table13[Decription],Table13[Article])</f>
        <v>Office Supplies</v>
      </c>
    </row>
    <row r="32" spans="1:11" s="43" customFormat="1" ht="10.5" customHeight="1">
      <c r="A32" s="172" t="s">
        <v>372</v>
      </c>
      <c r="B32" s="179"/>
      <c r="C32" s="180"/>
      <c r="D32" s="315" t="s">
        <v>106</v>
      </c>
      <c r="E32" s="176" t="str">
        <f>_xlfn.XLOOKUP(Table326[[#This Row],[Item]],Table13[Decription],Table13[Unit])</f>
        <v>piece</v>
      </c>
      <c r="F32" s="176">
        <v>12</v>
      </c>
      <c r="G32" s="176">
        <f>_xlfn.XLOOKUP(Table326[[#This Row],[Item]],Table13[Decription],Table13[Unit Cost])</f>
        <v>110</v>
      </c>
      <c r="H32" s="351">
        <f>Table326[[#This Row],[Unit Cost]]*Table326[[#This Row],[Quantity Issued]]</f>
        <v>1320</v>
      </c>
      <c r="I32" s="354">
        <f>_xlfn.XLOOKUP(Table326[[#This Row],[Item]],Table13[Decription],Table13[April 2025 - Balance Qty])</f>
        <v>16</v>
      </c>
      <c r="J32" s="368" t="str">
        <f>_xlfn.XLOOKUP(Table326[[#This Row],[Item]],Table13[Decription],Table13[Article])</f>
        <v>Office Supplies</v>
      </c>
    </row>
    <row r="33" spans="1:10" s="43" customFormat="1" ht="10.5" customHeight="1">
      <c r="A33" s="172" t="s">
        <v>373</v>
      </c>
      <c r="B33" s="179"/>
      <c r="C33" s="180"/>
      <c r="D33" s="315" t="s">
        <v>106</v>
      </c>
      <c r="E33" s="176" t="str">
        <f>_xlfn.XLOOKUP(Table326[[#This Row],[Item]],Table13[Decription],Table13[Unit])</f>
        <v>piece</v>
      </c>
      <c r="F33" s="176">
        <v>1</v>
      </c>
      <c r="G33" s="176">
        <f>_xlfn.XLOOKUP(Table326[[#This Row],[Item]],Table13[Decription],Table13[Unit Cost])</f>
        <v>110</v>
      </c>
      <c r="H33" s="351">
        <f>Table326[[#This Row],[Unit Cost]]*Table326[[#This Row],[Quantity Issued]]</f>
        <v>110</v>
      </c>
      <c r="I33" s="354">
        <f>_xlfn.XLOOKUP(Table326[[#This Row],[Item]],Table13[Decription],Table13[April 2025 - Balance Qty])</f>
        <v>16</v>
      </c>
      <c r="J33" s="368" t="str">
        <f>_xlfn.XLOOKUP(Table326[[#This Row],[Item]],Table13[Decription],Table13[Article])</f>
        <v>Office Supplies</v>
      </c>
    </row>
    <row r="34" spans="1:10" s="304" customFormat="1" ht="10.5" customHeight="1">
      <c r="A34" s="172" t="s">
        <v>374</v>
      </c>
      <c r="B34" s="308"/>
      <c r="C34" s="309"/>
      <c r="D34" s="315" t="s">
        <v>64</v>
      </c>
      <c r="E34" s="232" t="str">
        <f>_xlfn.XLOOKUP(Table326[[#This Row],[Item]],Table13[Decription],Table13[Unit])</f>
        <v>piece</v>
      </c>
      <c r="F34" s="176">
        <v>10</v>
      </c>
      <c r="G34" s="232">
        <f>_xlfn.XLOOKUP(Table326[[#This Row],[Item]],Table13[Decription],Table13[Unit Cost])</f>
        <v>8.5755407899999998</v>
      </c>
      <c r="H34" s="352">
        <f>Table326[[#This Row],[Unit Cost]]*Table326[[#This Row],[Quantity Issued]]</f>
        <v>85.755407899999994</v>
      </c>
      <c r="I34" s="355">
        <f>_xlfn.XLOOKUP(Table326[[#This Row],[Item]],Table13[Decription],Table13[April 2025 - Balance Qty])</f>
        <v>69</v>
      </c>
      <c r="J34" s="369" t="str">
        <f>_xlfn.XLOOKUP(Table326[[#This Row],[Item]],Table13[Decription],Table13[Article])</f>
        <v>Office Supplies</v>
      </c>
    </row>
    <row r="35" spans="1:10" s="43" customFormat="1" ht="10.5" customHeight="1">
      <c r="A35" s="172" t="s">
        <v>374</v>
      </c>
      <c r="B35" s="179"/>
      <c r="C35" s="180"/>
      <c r="D35" s="315" t="s">
        <v>152</v>
      </c>
      <c r="E35" s="176" t="str">
        <f>_xlfn.XLOOKUP(Table326[[#This Row],[Item]],Table13[Decription],Table13[Unit])</f>
        <v>roll</v>
      </c>
      <c r="F35" s="176">
        <v>3</v>
      </c>
      <c r="G35" s="176">
        <f>_xlfn.XLOOKUP(Table326[[#This Row],[Item]],Table13[Decription],Table13[Unit Cost])</f>
        <v>28.72</v>
      </c>
      <c r="H35" s="351">
        <f>Table326[[#This Row],[Unit Cost]]*Table326[[#This Row],[Quantity Issued]]</f>
        <v>86.16</v>
      </c>
      <c r="I35" s="354">
        <f>_xlfn.XLOOKUP(Table326[[#This Row],[Item]],Table13[Decription],Table13[April 2025 - Balance Qty])</f>
        <v>4</v>
      </c>
      <c r="J35" s="368" t="str">
        <f>_xlfn.XLOOKUP(Table326[[#This Row],[Item]],Table13[Decription],Table13[Article])</f>
        <v>Office Supplies</v>
      </c>
    </row>
    <row r="36" spans="1:10" s="43" customFormat="1" ht="10.5" customHeight="1">
      <c r="A36" s="172" t="s">
        <v>375</v>
      </c>
      <c r="B36" s="179"/>
      <c r="C36" s="180"/>
      <c r="D36" s="315" t="s">
        <v>64</v>
      </c>
      <c r="E36" s="176" t="str">
        <f>_xlfn.XLOOKUP(Table326[[#This Row],[Item]],Table13[Decription],Table13[Unit])</f>
        <v>piece</v>
      </c>
      <c r="F36" s="184">
        <v>5</v>
      </c>
      <c r="G36" s="176">
        <f>_xlfn.XLOOKUP(Table326[[#This Row],[Item]],Table13[Decription],Table13[Unit Cost])</f>
        <v>8.5755407899999998</v>
      </c>
      <c r="H36" s="351">
        <f>Table326[[#This Row],[Unit Cost]]*Table326[[#This Row],[Quantity Issued]]</f>
        <v>42.877703949999997</v>
      </c>
      <c r="I36" s="354">
        <f>_xlfn.XLOOKUP(Table326[[#This Row],[Item]],Table13[Decription],Table13[April 2025 - Balance Qty])</f>
        <v>69</v>
      </c>
      <c r="J36" s="368" t="str">
        <f>_xlfn.XLOOKUP(Table326[[#This Row],[Item]],Table13[Decription],Table13[Article])</f>
        <v>Office Supplies</v>
      </c>
    </row>
    <row r="37" spans="1:10" s="304" customFormat="1" ht="10.5" customHeight="1">
      <c r="A37" s="172" t="s">
        <v>375</v>
      </c>
      <c r="B37" s="308"/>
      <c r="C37" s="309"/>
      <c r="D37" s="315" t="s">
        <v>107</v>
      </c>
      <c r="E37" s="232" t="str">
        <f>_xlfn.XLOOKUP(Table326[[#This Row],[Item]],Table13[Decription],Table13[Unit])</f>
        <v>piece</v>
      </c>
      <c r="F37" s="176">
        <v>10</v>
      </c>
      <c r="G37" s="232">
        <f>_xlfn.XLOOKUP(Table326[[#This Row],[Item]],Table13[Decription],Table13[Unit Cost])</f>
        <v>22</v>
      </c>
      <c r="H37" s="352">
        <f>Table326[[#This Row],[Unit Cost]]*Table326[[#This Row],[Quantity Issued]]</f>
        <v>220</v>
      </c>
      <c r="I37" s="355">
        <f>_xlfn.XLOOKUP(Table326[[#This Row],[Item]],Table13[Decription],Table13[April 2025 - Balance Qty])</f>
        <v>0</v>
      </c>
      <c r="J37" s="369" t="str">
        <f>_xlfn.XLOOKUP(Table326[[#This Row],[Item]],Table13[Decription],Table13[Article])</f>
        <v>Office Supplies</v>
      </c>
    </row>
    <row r="38" spans="1:10" s="43" customFormat="1" ht="10.5" customHeight="1">
      <c r="A38" s="172" t="s">
        <v>375</v>
      </c>
      <c r="B38" s="179"/>
      <c r="C38" s="180"/>
      <c r="D38" s="315" t="s">
        <v>111</v>
      </c>
      <c r="E38" s="176" t="str">
        <f>_xlfn.XLOOKUP(Table326[[#This Row],[Item]],Table13[Decription],Table13[Unit])</f>
        <v>piece</v>
      </c>
      <c r="F38" s="184">
        <v>10</v>
      </c>
      <c r="G38" s="176">
        <f>_xlfn.XLOOKUP(Table326[[#This Row],[Item]],Table13[Decription],Table13[Unit Cost])</f>
        <v>190</v>
      </c>
      <c r="H38" s="351">
        <f>Table326[[#This Row],[Unit Cost]]*Table326[[#This Row],[Quantity Issued]]</f>
        <v>1900</v>
      </c>
      <c r="I38" s="354">
        <f>_xlfn.XLOOKUP(Table326[[#This Row],[Item]],Table13[Decription],Table13[April 2025 - Balance Qty])</f>
        <v>0</v>
      </c>
      <c r="J38" s="368" t="str">
        <f>_xlfn.XLOOKUP(Table326[[#This Row],[Item]],Table13[Decription],Table13[Article])</f>
        <v>Office Supplies</v>
      </c>
    </row>
    <row r="39" spans="1:10" s="43" customFormat="1" ht="10.5" customHeight="1">
      <c r="A39" s="172" t="s">
        <v>376</v>
      </c>
      <c r="B39" s="179"/>
      <c r="C39" s="180"/>
      <c r="D39" s="315" t="s">
        <v>104</v>
      </c>
      <c r="E39" s="176" t="str">
        <f>_xlfn.XLOOKUP(Table326[[#This Row],[Item]],Table13[Decription],Table13[Unit])</f>
        <v xml:space="preserve">piece </v>
      </c>
      <c r="F39" s="184">
        <v>16</v>
      </c>
      <c r="G39" s="176">
        <f>_xlfn.XLOOKUP(Table326[[#This Row],[Item]],Table13[Decription],Table13[Unit Cost])</f>
        <v>440</v>
      </c>
      <c r="H39" s="351">
        <f>Table326[[#This Row],[Unit Cost]]*Table326[[#This Row],[Quantity Issued]]</f>
        <v>7040</v>
      </c>
      <c r="I39" s="354">
        <f>_xlfn.XLOOKUP(Table326[[#This Row],[Item]],Table13[Decription],Table13[April 2025 - Balance Qty])</f>
        <v>0</v>
      </c>
      <c r="J39" s="368" t="str">
        <f>_xlfn.XLOOKUP(Table326[[#This Row],[Item]],Table13[Decription],Table13[Article])</f>
        <v>Office Supplies</v>
      </c>
    </row>
    <row r="40" spans="1:10" s="43" customFormat="1" ht="10.5" customHeight="1">
      <c r="A40" s="172" t="s">
        <v>376</v>
      </c>
      <c r="B40" s="179"/>
      <c r="C40" s="180"/>
      <c r="D40" s="315" t="s">
        <v>92</v>
      </c>
      <c r="E40" s="176" t="str">
        <f>_xlfn.XLOOKUP(Table326[[#This Row],[Item]],Table13[Decription],Table13[Unit])</f>
        <v>piece</v>
      </c>
      <c r="F40" s="184">
        <v>2</v>
      </c>
      <c r="G40" s="176">
        <f>_xlfn.XLOOKUP(Table326[[#This Row],[Item]],Table13[Decription],Table13[Unit Cost])</f>
        <v>132</v>
      </c>
      <c r="H40" s="351">
        <f>Table326[[#This Row],[Unit Cost]]*Table326[[#This Row],[Quantity Issued]]</f>
        <v>264</v>
      </c>
      <c r="I40" s="354">
        <f>_xlfn.XLOOKUP(Table326[[#This Row],[Item]],Table13[Decription],Table13[April 2025 - Balance Qty])</f>
        <v>0</v>
      </c>
      <c r="J40" s="368" t="str">
        <f>_xlfn.XLOOKUP(Table326[[#This Row],[Item]],Table13[Decription],Table13[Article])</f>
        <v>Office Supplies</v>
      </c>
    </row>
    <row r="41" spans="1:10" s="43" customFormat="1" ht="10.5" customHeight="1">
      <c r="A41" s="172" t="s">
        <v>376</v>
      </c>
      <c r="B41" s="179"/>
      <c r="C41" s="180"/>
      <c r="D41" s="315" t="s">
        <v>153</v>
      </c>
      <c r="E41" s="176" t="str">
        <f>_xlfn.XLOOKUP(Table326[[#This Row],[Item]],Table13[Decription],Table13[Unit])</f>
        <v>roll</v>
      </c>
      <c r="F41" s="176">
        <v>5</v>
      </c>
      <c r="G41" s="176">
        <f>_xlfn.XLOOKUP(Table326[[#This Row],[Item]],Table13[Decription],Table13[Unit Cost])</f>
        <v>63.56</v>
      </c>
      <c r="H41" s="351">
        <f>Table326[[#This Row],[Unit Cost]]*Table326[[#This Row],[Quantity Issued]]</f>
        <v>317.8</v>
      </c>
      <c r="I41" s="354">
        <f>_xlfn.XLOOKUP(Table326[[#This Row],[Item]],Table13[Decription],Table13[April 2025 - Balance Qty])</f>
        <v>0</v>
      </c>
      <c r="J41" s="368" t="str">
        <f>_xlfn.XLOOKUP(Table326[[#This Row],[Item]],Table13[Decription],Table13[Article])</f>
        <v>Office Supplies</v>
      </c>
    </row>
    <row r="42" spans="1:10" s="43" customFormat="1" ht="10.5" customHeight="1">
      <c r="A42" s="172" t="s">
        <v>376</v>
      </c>
      <c r="B42" s="179"/>
      <c r="C42" s="180"/>
      <c r="D42" s="315" t="s">
        <v>149</v>
      </c>
      <c r="E42" s="176" t="str">
        <f>_xlfn.XLOOKUP(Table326[[#This Row],[Item]],Table13[Decription],Table13[Unit])</f>
        <v>roll</v>
      </c>
      <c r="F42" s="176">
        <v>7</v>
      </c>
      <c r="G42" s="176">
        <f>_xlfn.XLOOKUP(Table326[[#This Row],[Item]],Table13[Decription],Table13[Unit Cost])</f>
        <v>34.75</v>
      </c>
      <c r="H42" s="351">
        <f>Table326[[#This Row],[Unit Cost]]*Table326[[#This Row],[Quantity Issued]]</f>
        <v>243.25</v>
      </c>
      <c r="I42" s="354">
        <f>_xlfn.XLOOKUP(Table326[[#This Row],[Item]],Table13[Decription],Table13[April 2025 - Balance Qty])</f>
        <v>4</v>
      </c>
      <c r="J42" s="368" t="str">
        <f>_xlfn.XLOOKUP(Table326[[#This Row],[Item]],Table13[Decription],Table13[Article])</f>
        <v>Office Supplies</v>
      </c>
    </row>
    <row r="43" spans="1:10" s="43" customFormat="1" ht="10.5" customHeight="1">
      <c r="A43" s="172" t="s">
        <v>377</v>
      </c>
      <c r="B43" s="179"/>
      <c r="C43" s="180"/>
      <c r="D43" s="315" t="s">
        <v>150</v>
      </c>
      <c r="E43" s="176" t="str">
        <f>_xlfn.XLOOKUP(Table326[[#This Row],[Item]],Table13[Decription],Table13[Unit])</f>
        <v>piece</v>
      </c>
      <c r="F43" s="176">
        <v>3</v>
      </c>
      <c r="G43" s="176">
        <f>_xlfn.XLOOKUP(Table326[[#This Row],[Item]],Table13[Decription],Table13[Unit Cost])</f>
        <v>30</v>
      </c>
      <c r="H43" s="351">
        <f>Table326[[#This Row],[Unit Cost]]*Table326[[#This Row],[Quantity Issued]]</f>
        <v>90</v>
      </c>
      <c r="I43" s="354">
        <f>_xlfn.XLOOKUP(Table326[[#This Row],[Item]],Table13[Decription],Table13[April 2025 - Balance Qty])</f>
        <v>25</v>
      </c>
      <c r="J43" s="368" t="str">
        <f>_xlfn.XLOOKUP(Table326[[#This Row],[Item]],Table13[Decription],Table13[Article])</f>
        <v>Office Supplies</v>
      </c>
    </row>
    <row r="44" spans="1:10" s="43" customFormat="1" ht="10.5" customHeight="1">
      <c r="A44" s="172" t="s">
        <v>377</v>
      </c>
      <c r="B44" s="179"/>
      <c r="C44" s="180"/>
      <c r="D44" s="310" t="s">
        <v>123</v>
      </c>
      <c r="E44" s="176" t="str">
        <f>_xlfn.XLOOKUP(Table326[[#This Row],[Item]],Table13[Decription],Table13[Unit])</f>
        <v>piece</v>
      </c>
      <c r="F44" s="176">
        <v>10</v>
      </c>
      <c r="G44" s="176">
        <f>_xlfn.XLOOKUP(Table326[[#This Row],[Item]],Table13[Decription],Table13[Unit Cost])</f>
        <v>235</v>
      </c>
      <c r="H44" s="351">
        <f>Table326[[#This Row],[Unit Cost]]*Table326[[#This Row],[Quantity Issued]]</f>
        <v>2350</v>
      </c>
      <c r="I44" s="354">
        <f>_xlfn.XLOOKUP(Table326[[#This Row],[Item]],Table13[Decription],Table13[April 2025 - Balance Qty])</f>
        <v>0</v>
      </c>
      <c r="J44" s="368" t="str">
        <f>_xlfn.XLOOKUP(Table326[[#This Row],[Item]],Table13[Decription],Table13[Article])</f>
        <v>Office Supplies</v>
      </c>
    </row>
    <row r="45" spans="1:10" s="43" customFormat="1" ht="10.5" customHeight="1">
      <c r="A45" s="172" t="s">
        <v>387</v>
      </c>
      <c r="B45" s="179"/>
      <c r="C45" s="180"/>
      <c r="D45" s="315" t="s">
        <v>120</v>
      </c>
      <c r="E45" s="176" t="str">
        <f>_xlfn.XLOOKUP(Table326[[#This Row],[Item]],Table13[Decription],Table13[Unit])</f>
        <v>pack</v>
      </c>
      <c r="F45" s="176">
        <v>2</v>
      </c>
      <c r="G45" s="176">
        <f>_xlfn.XLOOKUP(Table326[[#This Row],[Item]],Table13[Decription],Table13[Unit Cost])</f>
        <v>80.558285699999999</v>
      </c>
      <c r="H45" s="351">
        <f>Table326[[#This Row],[Unit Cost]]*Table326[[#This Row],[Quantity Issued]]</f>
        <v>161.1165714</v>
      </c>
      <c r="I45" s="354">
        <f>_xlfn.XLOOKUP(Table326[[#This Row],[Item]],Table13[Decription],Table13[April 2025 - Balance Qty])</f>
        <v>2</v>
      </c>
      <c r="J45" s="368" t="str">
        <f>_xlfn.XLOOKUP(Table326[[#This Row],[Item]],Table13[Decription],Table13[Article])</f>
        <v>Office Supplies</v>
      </c>
    </row>
    <row r="46" spans="1:10" s="43" customFormat="1" ht="10.5" customHeight="1">
      <c r="A46" s="172" t="s">
        <v>388</v>
      </c>
      <c r="B46" s="179"/>
      <c r="C46" s="180"/>
      <c r="D46" s="315" t="s">
        <v>108</v>
      </c>
      <c r="E46" s="176" t="str">
        <f>_xlfn.XLOOKUP(Table326[[#This Row],[Item]],Table13[Decription],Table13[Unit])</f>
        <v>box</v>
      </c>
      <c r="F46" s="184">
        <v>1</v>
      </c>
      <c r="G46" s="176">
        <f>_xlfn.XLOOKUP(Table326[[#This Row],[Item]],Table13[Decription],Table13[Unit Cost])</f>
        <v>43.53</v>
      </c>
      <c r="H46" s="351">
        <f>Table326[[#This Row],[Unit Cost]]*Table326[[#This Row],[Quantity Issued]]</f>
        <v>43.53</v>
      </c>
      <c r="I46" s="354">
        <f>_xlfn.XLOOKUP(Table326[[#This Row],[Item]],Table13[Decription],Table13[April 2025 - Balance Qty])</f>
        <v>6</v>
      </c>
      <c r="J46" s="368" t="str">
        <f>_xlfn.XLOOKUP(Table326[[#This Row],[Item]],Table13[Decription],Table13[Article])</f>
        <v>Office Supplies</v>
      </c>
    </row>
    <row r="47" spans="1:10" s="43" customFormat="1" ht="10.5" customHeight="1">
      <c r="A47" s="172" t="s">
        <v>389</v>
      </c>
      <c r="B47" s="179"/>
      <c r="C47" s="180"/>
      <c r="D47" s="315" t="s">
        <v>157</v>
      </c>
      <c r="E47" s="176" t="str">
        <f>_xlfn.XLOOKUP(Table326[[#This Row],[Item]],Table13[Decription],Table13[Unit])</f>
        <v>piece</v>
      </c>
      <c r="F47" s="184">
        <v>4</v>
      </c>
      <c r="G47" s="176">
        <f>_xlfn.XLOOKUP(Table326[[#This Row],[Item]],Table13[Decription],Table13[Unit Cost])</f>
        <v>8.4</v>
      </c>
      <c r="H47" s="351">
        <f>Table326[[#This Row],[Unit Cost]]*Table326[[#This Row],[Quantity Issued]]</f>
        <v>33.6</v>
      </c>
      <c r="I47" s="354">
        <f>_xlfn.XLOOKUP(Table326[[#This Row],[Item]],Table13[Decription],Table13[April 2025 - Balance Qty])</f>
        <v>56</v>
      </c>
      <c r="J47" s="368" t="str">
        <f>_xlfn.XLOOKUP(Table326[[#This Row],[Item]],Table13[Decription],Table13[Article])</f>
        <v>Office Supplies</v>
      </c>
    </row>
    <row r="48" spans="1:10" s="43" customFormat="1" ht="10.5" customHeight="1">
      <c r="A48" s="172" t="s">
        <v>391</v>
      </c>
      <c r="B48" s="179"/>
      <c r="C48" s="180"/>
      <c r="D48" s="320" t="s">
        <v>55</v>
      </c>
      <c r="E48" s="176" t="str">
        <f>_xlfn.XLOOKUP(Table326[[#This Row],[Item]],Table13[Decription],Table13[Unit])</f>
        <v>roll</v>
      </c>
      <c r="F48" s="184">
        <v>2</v>
      </c>
      <c r="G48" s="176">
        <f>_xlfn.XLOOKUP(Table326[[#This Row],[Item]],Table13[Decription],Table13[Unit Cost])</f>
        <v>42.15</v>
      </c>
      <c r="H48" s="351">
        <f>Table326[[#This Row],[Unit Cost]]*Table326[[#This Row],[Quantity Issued]]</f>
        <v>84.3</v>
      </c>
      <c r="I48" s="354">
        <f>_xlfn.XLOOKUP(Table326[[#This Row],[Item]],Table13[Decription],Table13[April 2025 - Balance Qty])</f>
        <v>2</v>
      </c>
      <c r="J48" s="368" t="str">
        <f>_xlfn.XLOOKUP(Table326[[#This Row],[Item]],Table13[Decription],Table13[Article])</f>
        <v>Office Supplies</v>
      </c>
    </row>
    <row r="49" spans="1:10" s="43" customFormat="1" ht="10.5" customHeight="1">
      <c r="A49" s="172" t="s">
        <v>392</v>
      </c>
      <c r="B49" s="179"/>
      <c r="C49" s="180"/>
      <c r="D49" s="311" t="s">
        <v>161</v>
      </c>
      <c r="E49" s="176" t="str">
        <f>_xlfn.XLOOKUP(Table326[[#This Row],[Item]],Table13[Decription],Table13[Unit])</f>
        <v>piece</v>
      </c>
      <c r="F49" s="176">
        <v>2</v>
      </c>
      <c r="G49" s="176">
        <f>_xlfn.XLOOKUP(Table326[[#This Row],[Item]],Table13[Decription],Table13[Unit Cost])</f>
        <v>80.540000000000006</v>
      </c>
      <c r="H49" s="351">
        <f>Table326[[#This Row],[Unit Cost]]*Table326[[#This Row],[Quantity Issued]]</f>
        <v>161.08000000000001</v>
      </c>
      <c r="I49" s="354">
        <f>_xlfn.XLOOKUP(Table326[[#This Row],[Item]],Table13[Decription],Table13[April 2025 - Balance Qty])</f>
        <v>47</v>
      </c>
      <c r="J49" s="368" t="str">
        <f>_xlfn.XLOOKUP(Table326[[#This Row],[Item]],Table13[Decription],Table13[Article])</f>
        <v>Office Supplies</v>
      </c>
    </row>
    <row r="50" spans="1:10" s="43" customFormat="1" ht="10.5" customHeight="1">
      <c r="A50" s="172" t="s">
        <v>395</v>
      </c>
      <c r="B50" s="179"/>
      <c r="C50" s="180"/>
      <c r="D50" s="312" t="s">
        <v>161</v>
      </c>
      <c r="E50" s="176" t="str">
        <f>_xlfn.XLOOKUP(Table326[[#This Row],[Item]],Table13[Decription],Table13[Unit])</f>
        <v>piece</v>
      </c>
      <c r="F50" s="184">
        <v>2</v>
      </c>
      <c r="G50" s="176">
        <f>_xlfn.XLOOKUP(Table326[[#This Row],[Item]],Table13[Decription],Table13[Unit Cost])</f>
        <v>80.540000000000006</v>
      </c>
      <c r="H50" s="351">
        <f>Table326[[#This Row],[Unit Cost]]*Table326[[#This Row],[Quantity Issued]]</f>
        <v>161.08000000000001</v>
      </c>
      <c r="I50" s="354">
        <f>_xlfn.XLOOKUP(Table326[[#This Row],[Item]],Table13[Decription],Table13[April 2025 - Balance Qty])</f>
        <v>47</v>
      </c>
      <c r="J50" s="368" t="str">
        <f>_xlfn.XLOOKUP(Table326[[#This Row],[Item]],Table13[Decription],Table13[Article])</f>
        <v>Office Supplies</v>
      </c>
    </row>
    <row r="51" spans="1:10" s="43" customFormat="1" ht="10.5" customHeight="1">
      <c r="A51" s="172" t="s">
        <v>397</v>
      </c>
      <c r="B51" s="179"/>
      <c r="C51" s="180"/>
      <c r="D51" s="312" t="s">
        <v>64</v>
      </c>
      <c r="E51" s="176" t="str">
        <f>_xlfn.XLOOKUP(Table326[[#This Row],[Item]],Table13[Decription],Table13[Unit])</f>
        <v>piece</v>
      </c>
      <c r="F51" s="184">
        <v>2</v>
      </c>
      <c r="G51" s="176">
        <f>_xlfn.XLOOKUP(Table326[[#This Row],[Item]],Table13[Decription],Table13[Unit Cost])</f>
        <v>8.5755407899999998</v>
      </c>
      <c r="H51" s="351">
        <f>Table326[[#This Row],[Unit Cost]]*Table326[[#This Row],[Quantity Issued]]</f>
        <v>17.15108158</v>
      </c>
      <c r="I51" s="354">
        <f>_xlfn.XLOOKUP(Table326[[#This Row],[Item]],Table13[Decription],Table13[April 2025 - Balance Qty])</f>
        <v>69</v>
      </c>
      <c r="J51" s="368" t="str">
        <f>_xlfn.XLOOKUP(Table326[[#This Row],[Item]],Table13[Decription],Table13[Article])</f>
        <v>Office Supplies</v>
      </c>
    </row>
    <row r="52" spans="1:10" s="43" customFormat="1" ht="10.5" customHeight="1">
      <c r="A52" s="172" t="s">
        <v>359</v>
      </c>
      <c r="B52" s="179"/>
      <c r="C52" s="180"/>
      <c r="D52" s="314" t="s">
        <v>188</v>
      </c>
      <c r="E52" s="176" t="str">
        <f>_xlfn.XLOOKUP(Table326[[#This Row],[Item]],Table13[Decription],Table13[Unit])</f>
        <v>roll</v>
      </c>
      <c r="F52" s="176">
        <v>10</v>
      </c>
      <c r="G52" s="176">
        <f>_xlfn.XLOOKUP(Table326[[#This Row],[Item]],Table13[Decription],Table13[Unit Cost])</f>
        <v>22.27</v>
      </c>
      <c r="H52" s="351">
        <f>Table326[[#This Row],[Unit Cost]]*Table326[[#This Row],[Quantity Issued]]</f>
        <v>222.7</v>
      </c>
      <c r="I52" s="354">
        <f>_xlfn.XLOOKUP(Table326[[#This Row],[Item]],Table13[Decription],Table13[April 2025 - Balance Qty])</f>
        <v>62</v>
      </c>
      <c r="J52" s="368" t="str">
        <f>_xlfn.XLOOKUP(Table326[[#This Row],[Item]],Table13[Decription],Table13[Article])</f>
        <v>Other Supplies</v>
      </c>
    </row>
    <row r="53" spans="1:10" s="43" customFormat="1" ht="10.5" customHeight="1">
      <c r="A53" s="172" t="s">
        <v>359</v>
      </c>
      <c r="B53" s="179"/>
      <c r="C53" s="180"/>
      <c r="D53" s="310" t="s">
        <v>190</v>
      </c>
      <c r="E53" s="176" t="str">
        <f>_xlfn.XLOOKUP(Table326[[#This Row],[Item]],Table13[Decription],Table13[Unit])</f>
        <v>roll</v>
      </c>
      <c r="F53" s="176">
        <v>10</v>
      </c>
      <c r="G53" s="176">
        <f>_xlfn.XLOOKUP(Table326[[#This Row],[Item]],Table13[Decription],Table13[Unit Cost])</f>
        <v>23.84</v>
      </c>
      <c r="H53" s="351">
        <f>Table326[[#This Row],[Unit Cost]]*Table326[[#This Row],[Quantity Issued]]</f>
        <v>238.4</v>
      </c>
      <c r="I53" s="354">
        <f>_xlfn.XLOOKUP(Table326[[#This Row],[Item]],Table13[Decription],Table13[April 2025 - Balance Qty])</f>
        <v>45</v>
      </c>
      <c r="J53" s="368" t="str">
        <f>_xlfn.XLOOKUP(Table326[[#This Row],[Item]],Table13[Decription],Table13[Article])</f>
        <v>Other Supplies</v>
      </c>
    </row>
    <row r="54" spans="1:10" s="43" customFormat="1" ht="10.5" customHeight="1">
      <c r="A54" s="172" t="s">
        <v>359</v>
      </c>
      <c r="B54" s="179"/>
      <c r="C54" s="180"/>
      <c r="D54" s="315" t="s">
        <v>183</v>
      </c>
      <c r="E54" s="176" t="str">
        <f>_xlfn.XLOOKUP(Table326[[#This Row],[Item]],Table13[Decription],Table13[Unit])</f>
        <v>pack</v>
      </c>
      <c r="F54" s="176">
        <v>4</v>
      </c>
      <c r="G54" s="176">
        <f>_xlfn.XLOOKUP(Table326[[#This Row],[Item]],Table13[Decription],Table13[Unit Cost])</f>
        <v>24.93</v>
      </c>
      <c r="H54" s="351">
        <f>Table326[[#This Row],[Unit Cost]]*Table326[[#This Row],[Quantity Issued]]</f>
        <v>99.72</v>
      </c>
      <c r="I54" s="354">
        <f>_xlfn.XLOOKUP(Table326[[#This Row],[Item]],Table13[Decription],Table13[April 2025 - Balance Qty])</f>
        <v>0</v>
      </c>
      <c r="J54" s="368" t="str">
        <f>_xlfn.XLOOKUP(Table326[[#This Row],[Item]],Table13[Decription],Table13[Article])</f>
        <v>Other Supplies</v>
      </c>
    </row>
    <row r="55" spans="1:10" s="36" customFormat="1" ht="10.5" customHeight="1">
      <c r="A55" s="172" t="s">
        <v>359</v>
      </c>
      <c r="B55" s="179"/>
      <c r="C55" s="180"/>
      <c r="D55" s="317" t="s">
        <v>180</v>
      </c>
      <c r="E55" s="176" t="str">
        <f>_xlfn.XLOOKUP(Table326[[#This Row],[Item]],Table13[Decription],Table13[Unit])</f>
        <v>piece</v>
      </c>
      <c r="F55" s="184">
        <v>5</v>
      </c>
      <c r="G55" s="176">
        <f>_xlfn.XLOOKUP(Table326[[#This Row],[Item]],Table13[Decription],Table13[Unit Cost])</f>
        <v>18.53</v>
      </c>
      <c r="H55" s="351">
        <f>Table326[[#This Row],[Unit Cost]]*Table326[[#This Row],[Quantity Issued]]</f>
        <v>92.65</v>
      </c>
      <c r="I55" s="354">
        <f>_xlfn.XLOOKUP(Table326[[#This Row],[Item]],Table13[Decription],Table13[April 2025 - Balance Qty])</f>
        <v>0</v>
      </c>
      <c r="J55" s="368" t="str">
        <f>_xlfn.XLOOKUP(Table326[[#This Row],[Item]],Table13[Decription],Table13[Article])</f>
        <v>Other Supplies</v>
      </c>
    </row>
    <row r="56" spans="1:10" s="43" customFormat="1" ht="10.5" customHeight="1">
      <c r="A56" s="172" t="s">
        <v>359</v>
      </c>
      <c r="B56" s="179"/>
      <c r="C56" s="180"/>
      <c r="D56" s="310" t="s">
        <v>73</v>
      </c>
      <c r="E56" s="176" t="str">
        <f>_xlfn.XLOOKUP(Table326[[#This Row],[Item]],Table13[Decription],Table13[Unit])</f>
        <v>pack</v>
      </c>
      <c r="F56" s="184">
        <v>5</v>
      </c>
      <c r="G56" s="176">
        <f>_xlfn.XLOOKUP(Table326[[#This Row],[Item]],Table13[Decription],Table13[Unit Cost])</f>
        <v>25</v>
      </c>
      <c r="H56" s="351">
        <f>Table326[[#This Row],[Unit Cost]]*Table326[[#This Row],[Quantity Issued]]</f>
        <v>125</v>
      </c>
      <c r="I56" s="354">
        <f>_xlfn.XLOOKUP(Table326[[#This Row],[Item]],Table13[Decription],Table13[April 2025 - Balance Qty])</f>
        <v>0</v>
      </c>
      <c r="J56" s="368" t="str">
        <f>_xlfn.XLOOKUP(Table326[[#This Row],[Item]],Table13[Decription],Table13[Article])</f>
        <v>Other Supplies</v>
      </c>
    </row>
    <row r="57" spans="1:10" s="43" customFormat="1" ht="10.5" customHeight="1">
      <c r="A57" s="172" t="s">
        <v>363</v>
      </c>
      <c r="B57" s="179"/>
      <c r="C57" s="180"/>
      <c r="D57" s="311" t="s">
        <v>71</v>
      </c>
      <c r="E57" s="176" t="str">
        <f>_xlfn.XLOOKUP(Table326[[#This Row],[Item]],Table13[Decription],Table13[Unit])</f>
        <v>roll</v>
      </c>
      <c r="F57" s="176">
        <v>1</v>
      </c>
      <c r="G57" s="176">
        <f>_xlfn.XLOOKUP(Table326[[#This Row],[Item]],Table13[Decription],Table13[Unit Cost])</f>
        <v>28.75</v>
      </c>
      <c r="H57" s="351">
        <f>Table326[[#This Row],[Unit Cost]]*Table326[[#This Row],[Quantity Issued]]</f>
        <v>28.75</v>
      </c>
      <c r="I57" s="353">
        <f>_xlfn.XLOOKUP(Table326[[#This Row],[Item]],Table13[Decription],Table13[April 2025 - Balance Qty])</f>
        <v>18</v>
      </c>
      <c r="J57" s="368" t="str">
        <f>_xlfn.XLOOKUP(Table326[[#This Row],[Item]],Table13[Decription],Table13[Article])</f>
        <v>Other Supplies</v>
      </c>
    </row>
    <row r="58" spans="1:10" s="43" customFormat="1" ht="10.5" customHeight="1">
      <c r="A58" s="172" t="s">
        <v>363</v>
      </c>
      <c r="B58" s="179"/>
      <c r="C58" s="180"/>
      <c r="D58" s="311" t="s">
        <v>180</v>
      </c>
      <c r="E58" s="176" t="str">
        <f>_xlfn.XLOOKUP(Table326[[#This Row],[Item]],Table13[Decription],Table13[Unit])</f>
        <v>piece</v>
      </c>
      <c r="F58" s="176">
        <v>5</v>
      </c>
      <c r="G58" s="176">
        <f>_xlfn.XLOOKUP(Table326[[#This Row],[Item]],Table13[Decription],Table13[Unit Cost])</f>
        <v>18.53</v>
      </c>
      <c r="H58" s="351">
        <f>Table326[[#This Row],[Unit Cost]]*Table326[[#This Row],[Quantity Issued]]</f>
        <v>92.65</v>
      </c>
      <c r="I58" s="353">
        <f>_xlfn.XLOOKUP(Table326[[#This Row],[Item]],Table13[Decription],Table13[April 2025 - Balance Qty])</f>
        <v>0</v>
      </c>
      <c r="J58" s="368" t="str">
        <f>_xlfn.XLOOKUP(Table326[[#This Row],[Item]],Table13[Decription],Table13[Article])</f>
        <v>Other Supplies</v>
      </c>
    </row>
    <row r="59" spans="1:10" s="43" customFormat="1" ht="10.5" customHeight="1">
      <c r="A59" s="172" t="s">
        <v>365</v>
      </c>
      <c r="B59" s="179"/>
      <c r="C59" s="180"/>
      <c r="D59" s="311" t="s">
        <v>190</v>
      </c>
      <c r="E59" s="176" t="str">
        <f>_xlfn.XLOOKUP(Table326[[#This Row],[Item]],Table13[Decription],Table13[Unit])</f>
        <v>roll</v>
      </c>
      <c r="F59" s="176">
        <v>14</v>
      </c>
      <c r="G59" s="176">
        <f>_xlfn.XLOOKUP(Table326[[#This Row],[Item]],Table13[Decription],Table13[Unit Cost])</f>
        <v>23.84</v>
      </c>
      <c r="H59" s="351">
        <f>Table326[[#This Row],[Unit Cost]]*Table326[[#This Row],[Quantity Issued]]</f>
        <v>333.76</v>
      </c>
      <c r="I59" s="353">
        <f>_xlfn.XLOOKUP(Table326[[#This Row],[Item]],Table13[Decription],Table13[April 2025 - Balance Qty])</f>
        <v>45</v>
      </c>
      <c r="J59" s="368" t="str">
        <f>_xlfn.XLOOKUP(Table326[[#This Row],[Item]],Table13[Decription],Table13[Article])</f>
        <v>Other Supplies</v>
      </c>
    </row>
    <row r="60" spans="1:10" s="43" customFormat="1" ht="10.5" customHeight="1">
      <c r="A60" s="172" t="s">
        <v>365</v>
      </c>
      <c r="B60" s="179"/>
      <c r="C60" s="180"/>
      <c r="D60" s="311" t="s">
        <v>166</v>
      </c>
      <c r="E60" s="176" t="str">
        <f>_xlfn.XLOOKUP(Table326[[#This Row],[Item]],Table13[Decription],Table13[Unit])</f>
        <v>can</v>
      </c>
      <c r="F60" s="176">
        <v>1</v>
      </c>
      <c r="G60" s="176">
        <f>_xlfn.XLOOKUP(Table326[[#This Row],[Item]],Table13[Decription],Table13[Unit Cost])</f>
        <v>572.76</v>
      </c>
      <c r="H60" s="351">
        <f>Table326[[#This Row],[Unit Cost]]*Table326[[#This Row],[Quantity Issued]]</f>
        <v>572.76</v>
      </c>
      <c r="I60" s="353">
        <f>_xlfn.XLOOKUP(Table326[[#This Row],[Item]],Table13[Decription],Table13[April 2025 - Balance Qty])</f>
        <v>2</v>
      </c>
      <c r="J60" s="368" t="str">
        <f>_xlfn.XLOOKUP(Table326[[#This Row],[Item]],Table13[Decription],Table13[Article])</f>
        <v>Other Supplies</v>
      </c>
    </row>
    <row r="61" spans="1:10" s="43" customFormat="1" ht="10.5" customHeight="1">
      <c r="A61" s="172" t="s">
        <v>365</v>
      </c>
      <c r="B61" s="179"/>
      <c r="C61" s="180"/>
      <c r="D61" s="311" t="s">
        <v>71</v>
      </c>
      <c r="E61" s="176" t="str">
        <f>_xlfn.XLOOKUP(Table326[[#This Row],[Item]],Table13[Decription],Table13[Unit])</f>
        <v>roll</v>
      </c>
      <c r="F61" s="176">
        <v>2</v>
      </c>
      <c r="G61" s="176">
        <f>_xlfn.XLOOKUP(Table326[[#This Row],[Item]],Table13[Decription],Table13[Unit Cost])</f>
        <v>28.75</v>
      </c>
      <c r="H61" s="351">
        <f>Table326[[#This Row],[Unit Cost]]*Table326[[#This Row],[Quantity Issued]]</f>
        <v>57.5</v>
      </c>
      <c r="I61" s="353">
        <f>_xlfn.XLOOKUP(Table326[[#This Row],[Item]],Table13[Decription],Table13[April 2025 - Balance Qty])</f>
        <v>18</v>
      </c>
      <c r="J61" s="368" t="str">
        <f>_xlfn.XLOOKUP(Table326[[#This Row],[Item]],Table13[Decription],Table13[Article])</f>
        <v>Other Supplies</v>
      </c>
    </row>
    <row r="62" spans="1:10" s="43" customFormat="1" ht="10.5" customHeight="1">
      <c r="A62" s="172" t="s">
        <v>365</v>
      </c>
      <c r="B62" s="179"/>
      <c r="C62" s="180"/>
      <c r="D62" s="311" t="s">
        <v>175</v>
      </c>
      <c r="E62" s="176" t="str">
        <f>_xlfn.XLOOKUP(Table326[[#This Row],[Item]],Table13[Decription],Table13[Unit])</f>
        <v>can</v>
      </c>
      <c r="F62" s="176">
        <v>1</v>
      </c>
      <c r="G62" s="176">
        <f>_xlfn.XLOOKUP(Table326[[#This Row],[Item]],Table13[Decription],Table13[Unit Cost])</f>
        <v>165</v>
      </c>
      <c r="H62" s="351">
        <f>Table326[[#This Row],[Unit Cost]]*Table326[[#This Row],[Quantity Issued]]</f>
        <v>165</v>
      </c>
      <c r="I62" s="353">
        <f>_xlfn.XLOOKUP(Table326[[#This Row],[Item]],Table13[Decription],Table13[April 2025 - Balance Qty])</f>
        <v>0</v>
      </c>
      <c r="J62" s="368" t="str">
        <f>_xlfn.XLOOKUP(Table326[[#This Row],[Item]],Table13[Decription],Table13[Article])</f>
        <v>Other Supplies</v>
      </c>
    </row>
    <row r="63" spans="1:10" s="43" customFormat="1" ht="10.5" customHeight="1">
      <c r="A63" s="172" t="s">
        <v>365</v>
      </c>
      <c r="B63" s="179"/>
      <c r="C63" s="180"/>
      <c r="D63" s="311" t="s">
        <v>168</v>
      </c>
      <c r="E63" s="176" t="str">
        <f>_xlfn.XLOOKUP(Table326[[#This Row],[Item]],Table13[Decription],Table13[Unit])</f>
        <v>piece</v>
      </c>
      <c r="F63" s="176">
        <v>1</v>
      </c>
      <c r="G63" s="176">
        <f>_xlfn.XLOOKUP(Table326[[#This Row],[Item]],Table13[Decription],Table13[Unit Cost])</f>
        <v>32</v>
      </c>
      <c r="H63" s="351">
        <f>Table326[[#This Row],[Unit Cost]]*Table326[[#This Row],[Quantity Issued]]</f>
        <v>32</v>
      </c>
      <c r="I63" s="354">
        <f>_xlfn.XLOOKUP(Table326[[#This Row],[Item]],Table13[Decription],Table13[April 2025 - Balance Qty])</f>
        <v>1</v>
      </c>
      <c r="J63" s="368" t="str">
        <f>_xlfn.XLOOKUP(Table326[[#This Row],[Item]],Table13[Decription],Table13[Article])</f>
        <v xml:space="preserve"> </v>
      </c>
    </row>
    <row r="64" spans="1:10" s="43" customFormat="1" ht="10.5" customHeight="1">
      <c r="A64" s="172" t="s">
        <v>365</v>
      </c>
      <c r="B64" s="179"/>
      <c r="C64" s="180"/>
      <c r="D64" s="311" t="s">
        <v>180</v>
      </c>
      <c r="E64" s="176" t="str">
        <f>_xlfn.XLOOKUP(Table326[[#This Row],[Item]],Table13[Decription],Table13[Unit])</f>
        <v>piece</v>
      </c>
      <c r="F64" s="176">
        <v>3</v>
      </c>
      <c r="G64" s="176">
        <f>_xlfn.XLOOKUP(Table326[[#This Row],[Item]],Table13[Decription],Table13[Unit Cost])</f>
        <v>18.53</v>
      </c>
      <c r="H64" s="351">
        <f>Table326[[#This Row],[Unit Cost]]*Table326[[#This Row],[Quantity Issued]]</f>
        <v>55.59</v>
      </c>
      <c r="I64" s="354">
        <f>_xlfn.XLOOKUP(Table326[[#This Row],[Item]],Table13[Decription],Table13[April 2025 - Balance Qty])</f>
        <v>0</v>
      </c>
      <c r="J64" s="368" t="str">
        <f>_xlfn.XLOOKUP(Table326[[#This Row],[Item]],Table13[Decription],Table13[Article])</f>
        <v>Other Supplies</v>
      </c>
    </row>
    <row r="65" spans="1:10" s="43" customFormat="1" ht="10.5" customHeight="1">
      <c r="A65" s="172" t="s">
        <v>365</v>
      </c>
      <c r="B65" s="179"/>
      <c r="C65" s="180"/>
      <c r="D65" s="311" t="s">
        <v>188</v>
      </c>
      <c r="E65" s="176" t="str">
        <f>_xlfn.XLOOKUP(Table326[[#This Row],[Item]],Table13[Decription],Table13[Unit])</f>
        <v>roll</v>
      </c>
      <c r="F65" s="176">
        <v>15</v>
      </c>
      <c r="G65" s="176">
        <f>_xlfn.XLOOKUP(Table326[[#This Row],[Item]],Table13[Decription],Table13[Unit Cost])</f>
        <v>22.27</v>
      </c>
      <c r="H65" s="351">
        <f>Table326[[#This Row],[Unit Cost]]*Table326[[#This Row],[Quantity Issued]]</f>
        <v>334.05</v>
      </c>
      <c r="I65" s="354">
        <f>_xlfn.XLOOKUP(Table326[[#This Row],[Item]],Table13[Decription],Table13[April 2025 - Balance Qty])</f>
        <v>62</v>
      </c>
      <c r="J65" s="368" t="str">
        <f>_xlfn.XLOOKUP(Table326[[#This Row],[Item]],Table13[Decription],Table13[Article])</f>
        <v>Other Supplies</v>
      </c>
    </row>
    <row r="66" spans="1:10" s="43" customFormat="1" ht="10.5" customHeight="1">
      <c r="A66" s="172" t="s">
        <v>365</v>
      </c>
      <c r="B66" s="179"/>
      <c r="C66" s="180"/>
      <c r="D66" s="311" t="s">
        <v>183</v>
      </c>
      <c r="E66" s="176" t="str">
        <f>_xlfn.XLOOKUP(Table326[[#This Row],[Item]],Table13[Decription],Table13[Unit])</f>
        <v>pack</v>
      </c>
      <c r="F66" s="176">
        <v>4</v>
      </c>
      <c r="G66" s="176">
        <f>_xlfn.XLOOKUP(Table326[[#This Row],[Item]],Table13[Decription],Table13[Unit Cost])</f>
        <v>24.93</v>
      </c>
      <c r="H66" s="351">
        <f>Table326[[#This Row],[Unit Cost]]*Table326[[#This Row],[Quantity Issued]]</f>
        <v>99.72</v>
      </c>
      <c r="I66" s="354">
        <f>_xlfn.XLOOKUP(Table326[[#This Row],[Item]],Table13[Decription],Table13[April 2025 - Balance Qty])</f>
        <v>0</v>
      </c>
      <c r="J66" s="368" t="str">
        <f>_xlfn.XLOOKUP(Table326[[#This Row],[Item]],Table13[Decription],Table13[Article])</f>
        <v>Other Supplies</v>
      </c>
    </row>
    <row r="67" spans="1:10" s="43" customFormat="1" ht="10.5" customHeight="1">
      <c r="A67" s="172" t="s">
        <v>365</v>
      </c>
      <c r="B67" s="179"/>
      <c r="C67" s="180"/>
      <c r="D67" s="311" t="s">
        <v>168</v>
      </c>
      <c r="E67" s="176" t="str">
        <f>_xlfn.XLOOKUP(Table326[[#This Row],[Item]],Table13[Decription],Table13[Unit])</f>
        <v>piece</v>
      </c>
      <c r="F67" s="176">
        <v>2</v>
      </c>
      <c r="G67" s="176">
        <f>_xlfn.XLOOKUP(Table326[[#This Row],[Item]],Table13[Decription],Table13[Unit Cost])</f>
        <v>32</v>
      </c>
      <c r="H67" s="351">
        <f>Table326[[#This Row],[Unit Cost]]*Table326[[#This Row],[Quantity Issued]]</f>
        <v>64</v>
      </c>
      <c r="I67" s="354">
        <f>_xlfn.XLOOKUP(Table326[[#This Row],[Item]],Table13[Decription],Table13[April 2025 - Balance Qty])</f>
        <v>1</v>
      </c>
      <c r="J67" s="368" t="str">
        <f>_xlfn.XLOOKUP(Table326[[#This Row],[Item]],Table13[Decription],Table13[Article])</f>
        <v xml:space="preserve"> </v>
      </c>
    </row>
    <row r="68" spans="1:10" s="43" customFormat="1" ht="10.5" customHeight="1">
      <c r="A68" s="172" t="s">
        <v>367</v>
      </c>
      <c r="B68" s="179"/>
      <c r="C68" s="180"/>
      <c r="D68" s="311" t="s">
        <v>71</v>
      </c>
      <c r="E68" s="176" t="str">
        <f>_xlfn.XLOOKUP(Table326[[#This Row],[Item]],Table13[Decription],Table13[Unit])</f>
        <v>roll</v>
      </c>
      <c r="F68" s="176">
        <v>1</v>
      </c>
      <c r="G68" s="176">
        <f>_xlfn.XLOOKUP(Table326[[#This Row],[Item]],Table13[Decription],Table13[Unit Cost])</f>
        <v>28.75</v>
      </c>
      <c r="H68" s="351">
        <f>Table326[[#This Row],[Unit Cost]]*Table326[[#This Row],[Quantity Issued]]</f>
        <v>28.75</v>
      </c>
      <c r="I68" s="354">
        <f>_xlfn.XLOOKUP(Table326[[#This Row],[Item]],Table13[Decription],Table13[April 2025 - Balance Qty])</f>
        <v>18</v>
      </c>
      <c r="J68" s="368" t="str">
        <f>_xlfn.XLOOKUP(Table326[[#This Row],[Item]],Table13[Decription],Table13[Article])</f>
        <v>Other Supplies</v>
      </c>
    </row>
    <row r="69" spans="1:10" s="43" customFormat="1" ht="10.5" customHeight="1">
      <c r="A69" s="172" t="s">
        <v>369</v>
      </c>
      <c r="B69" s="179"/>
      <c r="C69" s="180"/>
      <c r="D69" s="311" t="s">
        <v>74</v>
      </c>
      <c r="E69" s="176" t="str">
        <f>_xlfn.XLOOKUP(Table326[[#This Row],[Item]],Table13[Decription],Table13[Unit])</f>
        <v>pack</v>
      </c>
      <c r="F69" s="176">
        <v>2</v>
      </c>
      <c r="G69" s="176">
        <f>_xlfn.XLOOKUP(Table326[[#This Row],[Item]],Table13[Decription],Table13[Unit Cost])</f>
        <v>30</v>
      </c>
      <c r="H69" s="351">
        <f>Table326[[#This Row],[Unit Cost]]*Table326[[#This Row],[Quantity Issued]]</f>
        <v>60</v>
      </c>
      <c r="I69" s="354">
        <f>_xlfn.XLOOKUP(Table326[[#This Row],[Item]],Table13[Decription],Table13[April 2025 - Balance Qty])</f>
        <v>0</v>
      </c>
      <c r="J69" s="368" t="str">
        <f>_xlfn.XLOOKUP(Table326[[#This Row],[Item]],Table13[Decription],Table13[Article])</f>
        <v>Other Supplies</v>
      </c>
    </row>
    <row r="70" spans="1:10" s="43" customFormat="1" ht="10.5" customHeight="1">
      <c r="A70" s="172" t="s">
        <v>373</v>
      </c>
      <c r="B70" s="179"/>
      <c r="C70" s="180"/>
      <c r="D70" s="311" t="s">
        <v>73</v>
      </c>
      <c r="E70" s="176" t="str">
        <f>_xlfn.XLOOKUP(Table326[[#This Row],[Item]],Table13[Decription],Table13[Unit])</f>
        <v>pack</v>
      </c>
      <c r="F70" s="176">
        <v>7</v>
      </c>
      <c r="G70" s="176">
        <f>_xlfn.XLOOKUP(Table326[[#This Row],[Item]],Table13[Decription],Table13[Unit Cost])</f>
        <v>25</v>
      </c>
      <c r="H70" s="351">
        <f>Table326[[#This Row],[Unit Cost]]*Table326[[#This Row],[Quantity Issued]]</f>
        <v>175</v>
      </c>
      <c r="I70" s="354">
        <f>_xlfn.XLOOKUP(Table326[[#This Row],[Item]],Table13[Decription],Table13[April 2025 - Balance Qty])</f>
        <v>0</v>
      </c>
      <c r="J70" s="368" t="str">
        <f>_xlfn.XLOOKUP(Table326[[#This Row],[Item]],Table13[Decription],Table13[Article])</f>
        <v>Other Supplies</v>
      </c>
    </row>
    <row r="71" spans="1:10" s="43" customFormat="1" ht="10.5" customHeight="1">
      <c r="A71" s="172" t="s">
        <v>379</v>
      </c>
      <c r="B71" s="179"/>
      <c r="C71" s="180"/>
      <c r="D71" s="311" t="s">
        <v>188</v>
      </c>
      <c r="E71" s="176" t="str">
        <f>_xlfn.XLOOKUP(Table326[[#This Row],[Item]],Table13[Decription],Table13[Unit])</f>
        <v>roll</v>
      </c>
      <c r="F71" s="176">
        <v>10</v>
      </c>
      <c r="G71" s="176">
        <f>_xlfn.XLOOKUP(Table326[[#This Row],[Item]],Table13[Decription],Table13[Unit Cost])</f>
        <v>22.27</v>
      </c>
      <c r="H71" s="351">
        <f>Table326[[#This Row],[Unit Cost]]*Table326[[#This Row],[Quantity Issued]]</f>
        <v>222.7</v>
      </c>
      <c r="I71" s="354">
        <f>_xlfn.XLOOKUP(Table326[[#This Row],[Item]],Table13[Decription],Table13[April 2025 - Balance Qty])</f>
        <v>62</v>
      </c>
      <c r="J71" s="368" t="str">
        <f>_xlfn.XLOOKUP(Table326[[#This Row],[Item]],Table13[Decription],Table13[Article])</f>
        <v>Other Supplies</v>
      </c>
    </row>
    <row r="72" spans="1:10" s="43" customFormat="1" ht="10.5" customHeight="1">
      <c r="A72" s="172" t="s">
        <v>379</v>
      </c>
      <c r="B72" s="179"/>
      <c r="C72" s="180"/>
      <c r="D72" s="311" t="s">
        <v>190</v>
      </c>
      <c r="E72" s="176" t="str">
        <f>_xlfn.XLOOKUP(Table326[[#This Row],[Item]],Table13[Decription],Table13[Unit])</f>
        <v>roll</v>
      </c>
      <c r="F72" s="176">
        <v>10</v>
      </c>
      <c r="G72" s="176">
        <f>_xlfn.XLOOKUP(Table326[[#This Row],[Item]],Table13[Decription],Table13[Unit Cost])</f>
        <v>23.84</v>
      </c>
      <c r="H72" s="351">
        <f>Table326[[#This Row],[Unit Cost]]*Table326[[#This Row],[Quantity Issued]]</f>
        <v>238.4</v>
      </c>
      <c r="I72" s="354">
        <f>_xlfn.XLOOKUP(Table326[[#This Row],[Item]],Table13[Decription],Table13[April 2025 - Balance Qty])</f>
        <v>45</v>
      </c>
      <c r="J72" s="368" t="str">
        <f>_xlfn.XLOOKUP(Table326[[#This Row],[Item]],Table13[Decription],Table13[Article])</f>
        <v>Other Supplies</v>
      </c>
    </row>
    <row r="73" spans="1:10" s="43" customFormat="1" ht="10.5" customHeight="1">
      <c r="A73" s="172" t="s">
        <v>376</v>
      </c>
      <c r="B73" s="179"/>
      <c r="C73" s="180"/>
      <c r="D73" s="311" t="s">
        <v>73</v>
      </c>
      <c r="E73" s="176" t="str">
        <f>_xlfn.XLOOKUP(Table326[[#This Row],[Item]],Table13[Decription],Table13[Unit])</f>
        <v>pack</v>
      </c>
      <c r="F73" s="176">
        <v>5</v>
      </c>
      <c r="G73" s="176">
        <f>_xlfn.XLOOKUP(Table326[[#This Row],[Item]],Table13[Decription],Table13[Unit Cost])</f>
        <v>25</v>
      </c>
      <c r="H73" s="351">
        <f>Table326[[#This Row],[Unit Cost]]*Table326[[#This Row],[Quantity Issued]]</f>
        <v>125</v>
      </c>
      <c r="I73" s="354">
        <f>_xlfn.XLOOKUP(Table326[[#This Row],[Item]],Table13[Decription],Table13[April 2025 - Balance Qty])</f>
        <v>0</v>
      </c>
      <c r="J73" s="368" t="str">
        <f>_xlfn.XLOOKUP(Table326[[#This Row],[Item]],Table13[Decription],Table13[Article])</f>
        <v>Other Supplies</v>
      </c>
    </row>
    <row r="74" spans="1:10" s="43" customFormat="1" ht="10.5" customHeight="1">
      <c r="A74" s="172" t="s">
        <v>377</v>
      </c>
      <c r="B74" s="179"/>
      <c r="C74" s="180"/>
      <c r="D74" s="311" t="s">
        <v>74</v>
      </c>
      <c r="E74" s="176" t="str">
        <f>_xlfn.XLOOKUP(Table326[[#This Row],[Item]],Table13[Decription],Table13[Unit])</f>
        <v>pack</v>
      </c>
      <c r="F74" s="176">
        <v>18</v>
      </c>
      <c r="G74" s="176">
        <f>_xlfn.XLOOKUP(Table326[[#This Row],[Item]],Table13[Decription],Table13[Unit Cost])</f>
        <v>30</v>
      </c>
      <c r="H74" s="351">
        <f>Table326[[#This Row],[Unit Cost]]*Table326[[#This Row],[Quantity Issued]]</f>
        <v>540</v>
      </c>
      <c r="I74" s="354">
        <f>_xlfn.XLOOKUP(Table326[[#This Row],[Item]],Table13[Decription],Table13[April 2025 - Balance Qty])</f>
        <v>0</v>
      </c>
      <c r="J74" s="368" t="str">
        <f>_xlfn.XLOOKUP(Table326[[#This Row],[Item]],Table13[Decription],Table13[Article])</f>
        <v>Other Supplies</v>
      </c>
    </row>
    <row r="75" spans="1:10" s="43" customFormat="1" ht="10.5" customHeight="1">
      <c r="A75" s="172" t="s">
        <v>380</v>
      </c>
      <c r="B75" s="179"/>
      <c r="C75" s="180"/>
      <c r="D75" s="311" t="s">
        <v>188</v>
      </c>
      <c r="E75" s="176" t="str">
        <f>_xlfn.XLOOKUP(Table326[[#This Row],[Item]],Table13[Decription],Table13[Unit])</f>
        <v>roll</v>
      </c>
      <c r="F75" s="176">
        <v>10</v>
      </c>
      <c r="G75" s="176">
        <f>_xlfn.XLOOKUP(Table326[[#This Row],[Item]],Table13[Decription],Table13[Unit Cost])</f>
        <v>22.27</v>
      </c>
      <c r="H75" s="351">
        <f>Table326[[#This Row],[Unit Cost]]*Table326[[#This Row],[Quantity Issued]]</f>
        <v>222.7</v>
      </c>
      <c r="I75" s="354">
        <f>_xlfn.XLOOKUP(Table326[[#This Row],[Item]],Table13[Decription],Table13[April 2025 - Balance Qty])</f>
        <v>62</v>
      </c>
      <c r="J75" s="368" t="str">
        <f>_xlfn.XLOOKUP(Table326[[#This Row],[Item]],Table13[Decription],Table13[Article])</f>
        <v>Other Supplies</v>
      </c>
    </row>
    <row r="76" spans="1:10" s="43" customFormat="1" ht="10.5" customHeight="1">
      <c r="A76" s="172" t="s">
        <v>380</v>
      </c>
      <c r="B76" s="179"/>
      <c r="C76" s="180"/>
      <c r="D76" s="311" t="s">
        <v>190</v>
      </c>
      <c r="E76" s="176" t="str">
        <f>_xlfn.XLOOKUP(Table326[[#This Row],[Item]],Table13[Decription],Table13[Unit])</f>
        <v>roll</v>
      </c>
      <c r="F76" s="176">
        <v>10</v>
      </c>
      <c r="G76" s="176">
        <f>_xlfn.XLOOKUP(Table326[[#This Row],[Item]],Table13[Decription],Table13[Unit Cost])</f>
        <v>23.84</v>
      </c>
      <c r="H76" s="351">
        <f>Table326[[#This Row],[Unit Cost]]*Table326[[#This Row],[Quantity Issued]]</f>
        <v>238.4</v>
      </c>
      <c r="I76" s="354">
        <f>_xlfn.XLOOKUP(Table326[[#This Row],[Item]],Table13[Decription],Table13[April 2025 - Balance Qty])</f>
        <v>45</v>
      </c>
      <c r="J76" s="368" t="str">
        <f>_xlfn.XLOOKUP(Table326[[#This Row],[Item]],Table13[Decription],Table13[Article])</f>
        <v>Other Supplies</v>
      </c>
    </row>
    <row r="77" spans="1:10" s="43" customFormat="1" ht="10.5" customHeight="1">
      <c r="A77" s="172" t="s">
        <v>378</v>
      </c>
      <c r="B77" s="179"/>
      <c r="C77" s="180"/>
      <c r="D77" s="311" t="s">
        <v>71</v>
      </c>
      <c r="E77" s="176" t="str">
        <f>_xlfn.XLOOKUP(Table326[[#This Row],[Item]],Table13[Decription],Table13[Unit])</f>
        <v>roll</v>
      </c>
      <c r="F77" s="176">
        <v>6</v>
      </c>
      <c r="G77" s="176">
        <f>_xlfn.XLOOKUP(Table326[[#This Row],[Item]],Table13[Decription],Table13[Unit Cost])</f>
        <v>28.75</v>
      </c>
      <c r="H77" s="351">
        <f>Table326[[#This Row],[Unit Cost]]*Table326[[#This Row],[Quantity Issued]]</f>
        <v>172.5</v>
      </c>
      <c r="I77" s="354">
        <f>_xlfn.XLOOKUP(Table326[[#This Row],[Item]],Table13[Decription],Table13[April 2025 - Balance Qty])</f>
        <v>18</v>
      </c>
      <c r="J77" s="368" t="str">
        <f>_xlfn.XLOOKUP(Table326[[#This Row],[Item]],Table13[Decription],Table13[Article])</f>
        <v>Other Supplies</v>
      </c>
    </row>
    <row r="78" spans="1:10" s="43" customFormat="1" ht="10.5" customHeight="1">
      <c r="A78" s="172" t="s">
        <v>378</v>
      </c>
      <c r="B78" s="179"/>
      <c r="C78" s="180"/>
      <c r="D78" s="311" t="s">
        <v>72</v>
      </c>
      <c r="E78" s="176" t="str">
        <f>_xlfn.XLOOKUP(Table326[[#This Row],[Item]],Table13[Decription],Table13[Unit])</f>
        <v>pack</v>
      </c>
      <c r="F78" s="176">
        <v>3</v>
      </c>
      <c r="G78" s="176">
        <f>_xlfn.XLOOKUP(Table326[[#This Row],[Item]],Table13[Decription],Table13[Unit Cost])</f>
        <v>383.93</v>
      </c>
      <c r="H78" s="351">
        <f>Table326[[#This Row],[Unit Cost]]*Table326[[#This Row],[Quantity Issued]]</f>
        <v>1151.79</v>
      </c>
      <c r="I78" s="354">
        <f>_xlfn.XLOOKUP(Table326[[#This Row],[Item]],Table13[Decription],Table13[April 2025 - Balance Qty])</f>
        <v>6</v>
      </c>
      <c r="J78" s="368" t="str">
        <f>_xlfn.XLOOKUP(Table326[[#This Row],[Item]],Table13[Decription],Table13[Article])</f>
        <v>Other Supplies</v>
      </c>
    </row>
    <row r="79" spans="1:10" s="43" customFormat="1" ht="10.5" customHeight="1">
      <c r="A79" s="172" t="s">
        <v>378</v>
      </c>
      <c r="B79" s="179"/>
      <c r="C79" s="180"/>
      <c r="D79" s="311" t="s">
        <v>184</v>
      </c>
      <c r="E79" s="176" t="str">
        <f>_xlfn.XLOOKUP(Table326[[#This Row],[Item]],Table13[Decription],Table13[Unit])</f>
        <v>piece</v>
      </c>
      <c r="F79" s="176">
        <v>2</v>
      </c>
      <c r="G79" s="176">
        <f>_xlfn.XLOOKUP(Table326[[#This Row],[Item]],Table13[Decription],Table13[Unit Cost])</f>
        <v>2.8250149200000001</v>
      </c>
      <c r="H79" s="351">
        <f>Table326[[#This Row],[Unit Cost]]*Table326[[#This Row],[Quantity Issued]]</f>
        <v>5.6500298400000002</v>
      </c>
      <c r="I79" s="354">
        <f>_xlfn.XLOOKUP(Table326[[#This Row],[Item]],Table13[Decription],Table13[April 2025 - Balance Qty])</f>
        <v>208</v>
      </c>
      <c r="J79" s="368" t="str">
        <f>_xlfn.XLOOKUP(Table326[[#This Row],[Item]],Table13[Decription],Table13[Article])</f>
        <v>Other Supplies</v>
      </c>
    </row>
    <row r="80" spans="1:10" s="43" customFormat="1" ht="10.5" customHeight="1">
      <c r="A80" s="172" t="s">
        <v>386</v>
      </c>
      <c r="B80" s="179"/>
      <c r="C80" s="180"/>
      <c r="D80" s="311" t="s">
        <v>190</v>
      </c>
      <c r="E80" s="176" t="str">
        <f>_xlfn.XLOOKUP(Table326[[#This Row],[Item]],Table13[Decription],Table13[Unit])</f>
        <v>roll</v>
      </c>
      <c r="F80" s="176">
        <v>10</v>
      </c>
      <c r="G80" s="176">
        <f>_xlfn.XLOOKUP(Table326[[#This Row],[Item]],Table13[Decription],Table13[Unit Cost])</f>
        <v>23.84</v>
      </c>
      <c r="H80" s="351">
        <f>Table326[[#This Row],[Unit Cost]]*Table326[[#This Row],[Quantity Issued]]</f>
        <v>238.4</v>
      </c>
      <c r="I80" s="354">
        <f>_xlfn.XLOOKUP(Table326[[#This Row],[Item]],Table13[Decription],Table13[April 2025 - Balance Qty])</f>
        <v>45</v>
      </c>
      <c r="J80" s="368" t="str">
        <f>_xlfn.XLOOKUP(Table326[[#This Row],[Item]],Table13[Decription],Table13[Article])</f>
        <v>Other Supplies</v>
      </c>
    </row>
    <row r="81" spans="1:11" s="36" customFormat="1" ht="10.5" customHeight="1">
      <c r="A81" s="172" t="s">
        <v>381</v>
      </c>
      <c r="B81" s="308"/>
      <c r="C81" s="309"/>
      <c r="D81" s="311" t="s">
        <v>188</v>
      </c>
      <c r="E81" s="232" t="str">
        <f>_xlfn.XLOOKUP(Table326[[#This Row],[Item]],Table13[Decription],Table13[Unit])</f>
        <v>roll</v>
      </c>
      <c r="F81" s="176">
        <v>20</v>
      </c>
      <c r="G81" s="232">
        <f>_xlfn.XLOOKUP(Table326[[#This Row],[Item]],Table13[Decription],Table13[Unit Cost])</f>
        <v>22.27</v>
      </c>
      <c r="H81" s="352">
        <f>Table326[[#This Row],[Unit Cost]]*Table326[[#This Row],[Quantity Issued]]</f>
        <v>445.4</v>
      </c>
      <c r="I81" s="355">
        <f>_xlfn.XLOOKUP(Table326[[#This Row],[Item]],Table13[Decription],Table13[April 2025 - Balance Qty])</f>
        <v>62</v>
      </c>
      <c r="J81" s="369" t="str">
        <f>_xlfn.XLOOKUP(Table326[[#This Row],[Item]],Table13[Decription],Table13[Article])</f>
        <v>Other Supplies</v>
      </c>
    </row>
    <row r="82" spans="1:11" s="36" customFormat="1" ht="10.5" customHeight="1">
      <c r="A82" s="172" t="s">
        <v>381</v>
      </c>
      <c r="B82" s="308"/>
      <c r="C82" s="309"/>
      <c r="D82" s="311" t="s">
        <v>190</v>
      </c>
      <c r="E82" s="232" t="str">
        <f>_xlfn.XLOOKUP(Table326[[#This Row],[Item]],Table13[Decription],Table13[Unit])</f>
        <v>roll</v>
      </c>
      <c r="F82" s="176">
        <v>20</v>
      </c>
      <c r="G82" s="232">
        <f>_xlfn.XLOOKUP(Table326[[#This Row],[Item]],Table13[Decription],Table13[Unit Cost])</f>
        <v>23.84</v>
      </c>
      <c r="H82" s="352">
        <f>Table326[[#This Row],[Unit Cost]]*Table326[[#This Row],[Quantity Issued]]</f>
        <v>476.8</v>
      </c>
      <c r="I82" s="355">
        <f>_xlfn.XLOOKUP(Table326[[#This Row],[Item]],Table13[Decription],Table13[April 2025 - Balance Qty])</f>
        <v>45</v>
      </c>
      <c r="J82" s="369" t="str">
        <f>_xlfn.XLOOKUP(Table326[[#This Row],[Item]],Table13[Decription],Table13[Article])</f>
        <v>Other Supplies</v>
      </c>
      <c r="K82" s="58"/>
    </row>
    <row r="83" spans="1:11" s="36" customFormat="1" ht="10.5" customHeight="1">
      <c r="A83" s="172" t="s">
        <v>389</v>
      </c>
      <c r="B83" s="308"/>
      <c r="C83" s="309"/>
      <c r="D83" s="311" t="s">
        <v>184</v>
      </c>
      <c r="E83" s="232" t="str">
        <f>_xlfn.XLOOKUP(Table326[[#This Row],[Item]],Table13[Decription],Table13[Unit])</f>
        <v>piece</v>
      </c>
      <c r="F83" s="176">
        <v>4</v>
      </c>
      <c r="G83" s="232">
        <f>_xlfn.XLOOKUP(Table326[[#This Row],[Item]],Table13[Decription],Table13[Unit Cost])</f>
        <v>2.8250149200000001</v>
      </c>
      <c r="H83" s="352">
        <f>Table326[[#This Row],[Unit Cost]]*Table326[[#This Row],[Quantity Issued]]</f>
        <v>11.30005968</v>
      </c>
      <c r="I83" s="355">
        <f>_xlfn.XLOOKUP(Table326[[#This Row],[Item]],Table13[Decription],Table13[April 2025 - Balance Qty])</f>
        <v>208</v>
      </c>
      <c r="J83" s="369" t="str">
        <f>_xlfn.XLOOKUP(Table326[[#This Row],[Item]],Table13[Decription],Table13[Article])</f>
        <v>Other Supplies</v>
      </c>
      <c r="K83" s="43"/>
    </row>
    <row r="84" spans="1:11" s="36" customFormat="1" ht="10.5" customHeight="1">
      <c r="A84" s="172" t="s">
        <v>390</v>
      </c>
      <c r="B84" s="308"/>
      <c r="C84" s="309"/>
      <c r="D84" s="311" t="s">
        <v>188</v>
      </c>
      <c r="E84" s="232" t="str">
        <f>_xlfn.XLOOKUP(Table326[[#This Row],[Item]],Table13[Decription],Table13[Unit])</f>
        <v>roll</v>
      </c>
      <c r="F84" s="176">
        <v>10</v>
      </c>
      <c r="G84" s="232">
        <f>_xlfn.XLOOKUP(Table326[[#This Row],[Item]],Table13[Decription],Table13[Unit Cost])</f>
        <v>22.27</v>
      </c>
      <c r="H84" s="352">
        <f>Table326[[#This Row],[Unit Cost]]*Table326[[#This Row],[Quantity Issued]]</f>
        <v>222.7</v>
      </c>
      <c r="I84" s="355">
        <f>_xlfn.XLOOKUP(Table326[[#This Row],[Item]],Table13[Decription],Table13[April 2025 - Balance Qty])</f>
        <v>62</v>
      </c>
      <c r="J84" s="369" t="str">
        <f>_xlfn.XLOOKUP(Table326[[#This Row],[Item]],Table13[Decription],Table13[Article])</f>
        <v>Other Supplies</v>
      </c>
      <c r="K84" s="43"/>
    </row>
    <row r="85" spans="1:11" s="36" customFormat="1" ht="10.5" customHeight="1">
      <c r="A85" s="172" t="s">
        <v>390</v>
      </c>
      <c r="B85" s="308"/>
      <c r="C85" s="309"/>
      <c r="D85" s="311" t="s">
        <v>190</v>
      </c>
      <c r="E85" s="232" t="str">
        <f>_xlfn.XLOOKUP(Table326[[#This Row],[Item]],Table13[Decription],Table13[Unit])</f>
        <v>roll</v>
      </c>
      <c r="F85" s="176">
        <v>10</v>
      </c>
      <c r="G85" s="232">
        <f>_xlfn.XLOOKUP(Table326[[#This Row],[Item]],Table13[Decription],Table13[Unit Cost])</f>
        <v>23.84</v>
      </c>
      <c r="H85" s="352">
        <f>Table326[[#This Row],[Unit Cost]]*Table326[[#This Row],[Quantity Issued]]</f>
        <v>238.4</v>
      </c>
      <c r="I85" s="355">
        <f>_xlfn.XLOOKUP(Table326[[#This Row],[Item]],Table13[Decription],Table13[April 2025 - Balance Qty])</f>
        <v>45</v>
      </c>
      <c r="J85" s="369" t="str">
        <f>_xlfn.XLOOKUP(Table326[[#This Row],[Item]],Table13[Decription],Table13[Article])</f>
        <v>Other Supplies</v>
      </c>
      <c r="K85" s="43"/>
    </row>
    <row r="86" spans="1:11" s="36" customFormat="1" ht="10.5" customHeight="1">
      <c r="A86" s="172" t="s">
        <v>390</v>
      </c>
      <c r="B86" s="308"/>
      <c r="C86" s="309"/>
      <c r="D86" s="311" t="s">
        <v>187</v>
      </c>
      <c r="E86" s="232" t="str">
        <f>_xlfn.XLOOKUP(Table326[[#This Row],[Item]],Table13[Decription],Table13[Unit])</f>
        <v>piece</v>
      </c>
      <c r="F86" s="176">
        <v>1</v>
      </c>
      <c r="G86" s="232">
        <f>_xlfn.XLOOKUP(Table326[[#This Row],[Item]],Table13[Decription],Table13[Unit Cost])</f>
        <v>32</v>
      </c>
      <c r="H86" s="233">
        <f>Table326[[#This Row],[Unit Cost]]*Table326[[#This Row],[Quantity Issued]]</f>
        <v>32</v>
      </c>
      <c r="I86" s="355">
        <f>_xlfn.XLOOKUP(Table326[[#This Row],[Item]],Table13[Decription],Table13[April 2025 - Balance Qty])</f>
        <v>5</v>
      </c>
      <c r="J86" s="369" t="str">
        <f>_xlfn.XLOOKUP(Table326[[#This Row],[Item]],Table13[Decription],Table13[Article])</f>
        <v>Other Supplies</v>
      </c>
      <c r="K86" s="304"/>
    </row>
    <row r="87" spans="1:11" s="36" customFormat="1" ht="10.5" customHeight="1">
      <c r="A87" s="172" t="s">
        <v>393</v>
      </c>
      <c r="B87" s="179"/>
      <c r="C87" s="180"/>
      <c r="D87" s="311" t="s">
        <v>173</v>
      </c>
      <c r="E87" s="176" t="str">
        <f>_xlfn.XLOOKUP(Table326[[#This Row],[Item]],Table13[Decription],Table13[Unit])</f>
        <v>box</v>
      </c>
      <c r="F87" s="176">
        <v>2</v>
      </c>
      <c r="G87" s="176">
        <f>_xlfn.XLOOKUP(Table326[[#This Row],[Item]],Table13[Decription],Table13[Unit Cost])</f>
        <v>238</v>
      </c>
      <c r="H87" s="351">
        <f>Table326[[#This Row],[Unit Cost]]*Table326[[#This Row],[Quantity Issued]]</f>
        <v>476</v>
      </c>
      <c r="I87" s="354">
        <f>_xlfn.XLOOKUP(Table326[[#This Row],[Item]],Table13[Decription],Table13[April 2025 - Balance Qty])</f>
        <v>1</v>
      </c>
      <c r="J87" s="368" t="str">
        <f>_xlfn.XLOOKUP(Table326[[#This Row],[Item]],Table13[Decription],Table13[Article])</f>
        <v>Other Supplies</v>
      </c>
      <c r="K87" s="43"/>
    </row>
    <row r="88" spans="1:11" s="36" customFormat="1" ht="10.5" customHeight="1">
      <c r="A88" s="172" t="s">
        <v>393</v>
      </c>
      <c r="B88" s="179"/>
      <c r="C88" s="180"/>
      <c r="D88" s="311" t="s">
        <v>75</v>
      </c>
      <c r="E88" s="176" t="str">
        <f>_xlfn.XLOOKUP(Table326[[#This Row],[Item]],Table13[Decription],Table13[Unit])</f>
        <v>piece</v>
      </c>
      <c r="F88" s="176">
        <v>2</v>
      </c>
      <c r="G88" s="176">
        <f>_xlfn.XLOOKUP(Table326[[#This Row],[Item]],Table13[Decription],Table13[Unit Cost])</f>
        <v>90.07</v>
      </c>
      <c r="H88" s="351">
        <f>Table326[[#This Row],[Unit Cost]]*Table326[[#This Row],[Quantity Issued]]</f>
        <v>180.14</v>
      </c>
      <c r="I88" s="354">
        <f>_xlfn.XLOOKUP(Table326[[#This Row],[Item]],Table13[Decription],Table13[April 2025 - Balance Qty])</f>
        <v>7</v>
      </c>
      <c r="J88" s="368" t="str">
        <f>_xlfn.XLOOKUP(Table326[[#This Row],[Item]],Table13[Decription],Table13[Article])</f>
        <v>Other Supplies</v>
      </c>
      <c r="K88" s="43"/>
    </row>
    <row r="89" spans="1:11" s="36" customFormat="1" ht="10.5" customHeight="1">
      <c r="A89" s="172" t="s">
        <v>394</v>
      </c>
      <c r="B89" s="179"/>
      <c r="C89" s="180"/>
      <c r="D89" s="311" t="s">
        <v>71</v>
      </c>
      <c r="E89" s="176" t="str">
        <f>_xlfn.XLOOKUP(Table326[[#This Row],[Item]],Table13[Decription],Table13[Unit])</f>
        <v>roll</v>
      </c>
      <c r="F89" s="176">
        <v>2</v>
      </c>
      <c r="G89" s="176">
        <f>_xlfn.XLOOKUP(Table326[[#This Row],[Item]],Table13[Decription],Table13[Unit Cost])</f>
        <v>28.75</v>
      </c>
      <c r="H89" s="351">
        <f>Table326[[#This Row],[Unit Cost]]*Table326[[#This Row],[Quantity Issued]]</f>
        <v>57.5</v>
      </c>
      <c r="I89" s="354">
        <f>_xlfn.XLOOKUP(Table326[[#This Row],[Item]],Table13[Decription],Table13[April 2025 - Balance Qty])</f>
        <v>18</v>
      </c>
      <c r="J89" s="368" t="str">
        <f>_xlfn.XLOOKUP(Table326[[#This Row],[Item]],Table13[Decription],Table13[Article])</f>
        <v>Other Supplies</v>
      </c>
      <c r="K89" s="43"/>
    </row>
    <row r="90" spans="1:11" s="36" customFormat="1" ht="10.5" customHeight="1">
      <c r="A90" s="172" t="s">
        <v>396</v>
      </c>
      <c r="B90" s="308"/>
      <c r="C90" s="309"/>
      <c r="D90" s="311" t="s">
        <v>188</v>
      </c>
      <c r="E90" s="232" t="str">
        <f>_xlfn.XLOOKUP(Table326[[#This Row],[Item]],Table13[Decription],Table13[Unit])</f>
        <v>roll</v>
      </c>
      <c r="F90" s="176">
        <v>3</v>
      </c>
      <c r="G90" s="232">
        <f>_xlfn.XLOOKUP(Table326[[#This Row],[Item]],Table13[Decription],Table13[Unit Cost])</f>
        <v>22.27</v>
      </c>
      <c r="H90" s="352">
        <f>Table326[[#This Row],[Unit Cost]]*Table326[[#This Row],[Quantity Issued]]</f>
        <v>66.81</v>
      </c>
      <c r="I90" s="355">
        <f>_xlfn.XLOOKUP(Table326[[#This Row],[Item]],Table13[Decription],Table13[April 2025 - Balance Qty])</f>
        <v>62</v>
      </c>
      <c r="J90" s="369" t="str">
        <f>_xlfn.XLOOKUP(Table326[[#This Row],[Item]],Table13[Decription],Table13[Article])</f>
        <v>Other Supplies</v>
      </c>
      <c r="K90" s="43"/>
    </row>
    <row r="91" spans="1:11" s="36" customFormat="1" ht="10.5" customHeight="1">
      <c r="A91" s="172" t="s">
        <v>396</v>
      </c>
      <c r="B91" s="308"/>
      <c r="C91" s="309"/>
      <c r="D91" s="311" t="s">
        <v>190</v>
      </c>
      <c r="E91" s="232" t="str">
        <f>_xlfn.XLOOKUP(Table326[[#This Row],[Item]],Table13[Decription],Table13[Unit])</f>
        <v>roll</v>
      </c>
      <c r="F91" s="176">
        <v>1</v>
      </c>
      <c r="G91" s="232">
        <f>_xlfn.XLOOKUP(Table326[[#This Row],[Item]],Table13[Decription],Table13[Unit Cost])</f>
        <v>23.84</v>
      </c>
      <c r="H91" s="352">
        <f>Table326[[#This Row],[Unit Cost]]*Table326[[#This Row],[Quantity Issued]]</f>
        <v>23.84</v>
      </c>
      <c r="I91" s="355">
        <f>_xlfn.XLOOKUP(Table326[[#This Row],[Item]],Table13[Decription],Table13[April 2025 - Balance Qty])</f>
        <v>45</v>
      </c>
      <c r="J91" s="369" t="str">
        <f>_xlfn.XLOOKUP(Table326[[#This Row],[Item]],Table13[Decription],Table13[Article])</f>
        <v>Other Supplies</v>
      </c>
      <c r="K91" s="43"/>
    </row>
    <row r="92" spans="1:11" s="36" customFormat="1" ht="10.5" customHeight="1">
      <c r="A92" s="307" t="s">
        <v>396</v>
      </c>
      <c r="B92" s="308"/>
      <c r="C92" s="309"/>
      <c r="D92" s="311" t="s">
        <v>184</v>
      </c>
      <c r="E92" s="232" t="str">
        <f>_xlfn.XLOOKUP(Table326[[#This Row],[Item]],Table13[Decription],Table13[Unit])</f>
        <v>piece</v>
      </c>
      <c r="F92" s="176">
        <v>3</v>
      </c>
      <c r="G92" s="232">
        <f>_xlfn.XLOOKUP(Table326[[#This Row],[Item]],Table13[Decription],Table13[Unit Cost])</f>
        <v>2.8250149200000001</v>
      </c>
      <c r="H92" s="352">
        <f>Table326[[#This Row],[Unit Cost]]*Table326[[#This Row],[Quantity Issued]]</f>
        <v>8.4750447599999994</v>
      </c>
      <c r="I92" s="355">
        <f>_xlfn.XLOOKUP(Table326[[#This Row],[Item]],Table13[Decription],Table13[April 2025 - Balance Qty])</f>
        <v>208</v>
      </c>
      <c r="J92" s="369" t="str">
        <f>_xlfn.XLOOKUP(Table326[[#This Row],[Item]],Table13[Decription],Table13[Article])</f>
        <v>Other Supplies</v>
      </c>
      <c r="K92" s="43"/>
    </row>
    <row r="93" spans="1:11" s="36" customFormat="1" ht="10.5" customHeight="1">
      <c r="A93" s="307"/>
      <c r="B93" s="308"/>
      <c r="C93" s="309"/>
      <c r="D93" s="311"/>
      <c r="E93" s="232">
        <f>_xlfn.XLOOKUP(Table326[[#This Row],[Item]],Table13[Decription],Table13[Unit])</f>
        <v>0</v>
      </c>
      <c r="F93" s="176"/>
      <c r="G93" s="232">
        <f>_xlfn.XLOOKUP(Table326[[#This Row],[Item]],Table13[Decription],Table13[Unit Cost])</f>
        <v>0</v>
      </c>
      <c r="H93" s="352">
        <f>Table326[[#This Row],[Unit Cost]]*Table326[[#This Row],[Quantity Issued]]</f>
        <v>0</v>
      </c>
      <c r="I93" s="355">
        <f>_xlfn.XLOOKUP(Table326[[#This Row],[Item]],Table13[Decription],Table13[April 2025 - Balance Qty])</f>
        <v>0</v>
      </c>
      <c r="J93" s="369">
        <f>_xlfn.XLOOKUP(Table326[[#This Row],[Item]],Table13[Decription],Table13[Article])</f>
        <v>0</v>
      </c>
      <c r="K93" s="43"/>
    </row>
    <row r="94" spans="1:11" s="36" customFormat="1" ht="10.5" customHeight="1">
      <c r="A94" s="307"/>
      <c r="B94" s="308"/>
      <c r="C94" s="309"/>
      <c r="D94" s="311"/>
      <c r="E94" s="232">
        <f>_xlfn.XLOOKUP(Table326[[#This Row],[Item]],Table13[Decription],Table13[Unit])</f>
        <v>0</v>
      </c>
      <c r="F94" s="176"/>
      <c r="G94" s="232">
        <f>_xlfn.XLOOKUP(Table326[[#This Row],[Item]],Table13[Decription],Table13[Unit Cost])</f>
        <v>0</v>
      </c>
      <c r="H94" s="352">
        <f>Table326[[#This Row],[Unit Cost]]*Table326[[#This Row],[Quantity Issued]]</f>
        <v>0</v>
      </c>
      <c r="I94" s="355">
        <f>_xlfn.XLOOKUP(Table326[[#This Row],[Item]],Table13[Decription],Table13[April 2025 - Balance Qty])</f>
        <v>0</v>
      </c>
      <c r="J94" s="369">
        <f>_xlfn.XLOOKUP(Table326[[#This Row],[Item]],Table13[Decription],Table13[Article])</f>
        <v>0</v>
      </c>
      <c r="K94" s="43"/>
    </row>
    <row r="95" spans="1:11" s="36" customFormat="1" ht="10.5" customHeight="1">
      <c r="A95" s="307"/>
      <c r="B95" s="308"/>
      <c r="C95" s="309"/>
      <c r="D95" s="311"/>
      <c r="E95" s="232">
        <f>_xlfn.XLOOKUP(Table326[[#This Row],[Item]],Table13[Decription],Table13[Unit])</f>
        <v>0</v>
      </c>
      <c r="F95" s="176"/>
      <c r="G95" s="232">
        <f>_xlfn.XLOOKUP(Table326[[#This Row],[Item]],Table13[Decription],Table13[Unit Cost])</f>
        <v>0</v>
      </c>
      <c r="H95" s="352">
        <f>Table326[[#This Row],[Unit Cost]]*Table326[[#This Row],[Quantity Issued]]</f>
        <v>0</v>
      </c>
      <c r="I95" s="355">
        <f>_xlfn.XLOOKUP(Table326[[#This Row],[Item]],Table13[Decription],Table13[April 2025 - Balance Qty])</f>
        <v>0</v>
      </c>
      <c r="J95" s="369">
        <f>_xlfn.XLOOKUP(Table326[[#This Row],[Item]],Table13[Decription],Table13[Article])</f>
        <v>0</v>
      </c>
      <c r="K95" s="43"/>
    </row>
    <row r="96" spans="1:11" s="36" customFormat="1" ht="10.5" customHeight="1">
      <c r="A96" s="307"/>
      <c r="B96" s="308"/>
      <c r="C96" s="309"/>
      <c r="D96" s="311"/>
      <c r="E96" s="232">
        <f>_xlfn.XLOOKUP(Table326[[#This Row],[Item]],Table13[Decription],Table13[Unit])</f>
        <v>0</v>
      </c>
      <c r="F96" s="176"/>
      <c r="G96" s="232">
        <f>_xlfn.XLOOKUP(Table326[[#This Row],[Item]],Table13[Decription],Table13[Unit Cost])</f>
        <v>0</v>
      </c>
      <c r="H96" s="352">
        <f>Table326[[#This Row],[Unit Cost]]*Table326[[#This Row],[Quantity Issued]]</f>
        <v>0</v>
      </c>
      <c r="I96" s="355">
        <f>_xlfn.XLOOKUP(Table326[[#This Row],[Item]],Table13[Decription],Table13[April 2025 - Balance Qty])</f>
        <v>0</v>
      </c>
      <c r="J96" s="369">
        <f>_xlfn.XLOOKUP(Table326[[#This Row],[Item]],Table13[Decription],Table13[Article])</f>
        <v>0</v>
      </c>
      <c r="K96" s="43"/>
    </row>
    <row r="97" spans="1:11" s="36" customFormat="1" ht="10.5" customHeight="1">
      <c r="A97" s="307"/>
      <c r="B97" s="308"/>
      <c r="C97" s="309"/>
      <c r="D97" s="311"/>
      <c r="E97" s="232">
        <f>_xlfn.XLOOKUP(Table326[[#This Row],[Item]],Table13[Decription],Table13[Unit])</f>
        <v>0</v>
      </c>
      <c r="F97" s="176"/>
      <c r="G97" s="232">
        <f>_xlfn.XLOOKUP(Table326[[#This Row],[Item]],Table13[Decription],Table13[Unit Cost])</f>
        <v>0</v>
      </c>
      <c r="H97" s="352">
        <f>Table326[[#This Row],[Unit Cost]]*Table326[[#This Row],[Quantity Issued]]</f>
        <v>0</v>
      </c>
      <c r="I97" s="355">
        <f>_xlfn.XLOOKUP(Table326[[#This Row],[Item]],Table13[Decription],Table13[April 2025 - Balance Qty])</f>
        <v>0</v>
      </c>
      <c r="J97" s="369">
        <f>_xlfn.XLOOKUP(Table326[[#This Row],[Item]],Table13[Decription],Table13[Article])</f>
        <v>0</v>
      </c>
      <c r="K97" s="43"/>
    </row>
    <row r="98" spans="1:11" s="36" customFormat="1" ht="10.5" customHeight="1">
      <c r="A98" s="307"/>
      <c r="B98" s="308"/>
      <c r="C98" s="309"/>
      <c r="D98" s="311"/>
      <c r="E98" s="232">
        <f>_xlfn.XLOOKUP(Table326[[#This Row],[Item]],Table13[Decription],Table13[Unit])</f>
        <v>0</v>
      </c>
      <c r="F98" s="176"/>
      <c r="G98" s="232">
        <f>_xlfn.XLOOKUP(Table326[[#This Row],[Item]],Table13[Decription],Table13[Unit Cost])</f>
        <v>0</v>
      </c>
      <c r="H98" s="352">
        <f>Table326[[#This Row],[Unit Cost]]*Table326[[#This Row],[Quantity Issued]]</f>
        <v>0</v>
      </c>
      <c r="I98" s="355">
        <f>_xlfn.XLOOKUP(Table326[[#This Row],[Item]],Table13[Decription],Table13[April 2025 - Balance Qty])</f>
        <v>0</v>
      </c>
      <c r="J98" s="369">
        <f>_xlfn.XLOOKUP(Table326[[#This Row],[Item]],Table13[Decription],Table13[Article])</f>
        <v>0</v>
      </c>
      <c r="K98" s="43"/>
    </row>
    <row r="99" spans="1:11" s="36" customFormat="1" ht="10.5" customHeight="1">
      <c r="A99" s="307"/>
      <c r="B99" s="308"/>
      <c r="C99" s="309"/>
      <c r="D99" s="311"/>
      <c r="E99" s="232">
        <f>_xlfn.XLOOKUP(Table326[[#This Row],[Item]],Table13[Decription],Table13[Unit])</f>
        <v>0</v>
      </c>
      <c r="F99" s="176"/>
      <c r="G99" s="232">
        <f>_xlfn.XLOOKUP(Table326[[#This Row],[Item]],Table13[Decription],Table13[Unit Cost])</f>
        <v>0</v>
      </c>
      <c r="H99" s="352">
        <f>Table326[[#This Row],[Unit Cost]]*Table326[[#This Row],[Quantity Issued]]</f>
        <v>0</v>
      </c>
      <c r="I99" s="355">
        <f>_xlfn.XLOOKUP(Table326[[#This Row],[Item]],Table13[Decription],Table13[April 2025 - Balance Qty])</f>
        <v>0</v>
      </c>
      <c r="J99" s="369">
        <f>_xlfn.XLOOKUP(Table326[[#This Row],[Item]],Table13[Decription],Table13[Article])</f>
        <v>0</v>
      </c>
      <c r="K99" s="43"/>
    </row>
    <row r="100" spans="1:11" s="36" customFormat="1" ht="10.5" customHeight="1">
      <c r="A100" s="307"/>
      <c r="B100" s="308"/>
      <c r="C100" s="309"/>
      <c r="D100" s="311"/>
      <c r="E100" s="232">
        <f>_xlfn.XLOOKUP(Table326[[#This Row],[Item]],Table13[Decription],Table13[Unit])</f>
        <v>0</v>
      </c>
      <c r="F100" s="176"/>
      <c r="G100" s="232">
        <f>_xlfn.XLOOKUP(Table326[[#This Row],[Item]],Table13[Decription],Table13[Unit Cost])</f>
        <v>0</v>
      </c>
      <c r="H100" s="352">
        <f>Table326[[#This Row],[Unit Cost]]*Table326[[#This Row],[Quantity Issued]]</f>
        <v>0</v>
      </c>
      <c r="I100" s="355">
        <f>_xlfn.XLOOKUP(Table326[[#This Row],[Item]],Table13[Decription],Table13[April 2025 - Balance Qty])</f>
        <v>0</v>
      </c>
      <c r="J100" s="369">
        <f>_xlfn.XLOOKUP(Table326[[#This Row],[Item]],Table13[Decription],Table13[Article])</f>
        <v>0</v>
      </c>
      <c r="K100" s="43"/>
    </row>
    <row r="101" spans="1:11" s="36" customFormat="1" ht="10.5" customHeight="1">
      <c r="A101" s="172"/>
      <c r="B101" s="179"/>
      <c r="C101" s="180"/>
      <c r="D101" s="311"/>
      <c r="E101" s="176">
        <f>_xlfn.XLOOKUP(Table326[[#This Row],[Item]],Table13[Decription],Table13[Unit])</f>
        <v>0</v>
      </c>
      <c r="F101" s="176"/>
      <c r="G101" s="176">
        <f>_xlfn.XLOOKUP(Table326[[#This Row],[Item]],Table13[Decription],Table13[Unit Cost])</f>
        <v>0</v>
      </c>
      <c r="H101" s="351">
        <f>Table326[[#This Row],[Unit Cost]]*Table326[[#This Row],[Quantity Issued]]</f>
        <v>0</v>
      </c>
      <c r="I101" s="354">
        <f>_xlfn.XLOOKUP(Table326[[#This Row],[Item]],Table13[Decription],Table13[April 2025 - Balance Qty])</f>
        <v>0</v>
      </c>
      <c r="J101" s="368">
        <f>_xlfn.XLOOKUP(Table326[[#This Row],[Item]],Table13[Decription],Table13[Article])</f>
        <v>0</v>
      </c>
      <c r="K101" s="43"/>
    </row>
    <row r="102" spans="1:11" s="36" customFormat="1" ht="10.5" customHeight="1">
      <c r="A102" s="172"/>
      <c r="B102" s="179"/>
      <c r="C102" s="180"/>
      <c r="D102" s="312"/>
      <c r="E102" s="176">
        <f>_xlfn.XLOOKUP(Table326[[#This Row],[Item]],Table13[Decription],Table13[Unit])</f>
        <v>0</v>
      </c>
      <c r="F102" s="184"/>
      <c r="G102" s="176">
        <f>_xlfn.XLOOKUP(Table326[[#This Row],[Item]],Table13[Decription],Table13[Unit Cost])</f>
        <v>0</v>
      </c>
      <c r="H102" s="351">
        <f>Table326[[#This Row],[Unit Cost]]*Table326[[#This Row],[Quantity Issued]]</f>
        <v>0</v>
      </c>
      <c r="I102" s="354">
        <f>_xlfn.XLOOKUP(Table326[[#This Row],[Item]],Table13[Decription],Table13[April 2025 - Balance Qty])</f>
        <v>0</v>
      </c>
      <c r="J102" s="368">
        <f>_xlfn.XLOOKUP(Table326[[#This Row],[Item]],Table13[Decription],Table13[Article])</f>
        <v>0</v>
      </c>
      <c r="K102" s="43"/>
    </row>
    <row r="103" spans="1:11" s="36" customFormat="1" ht="10.5" customHeight="1">
      <c r="A103" s="172"/>
      <c r="B103" s="179"/>
      <c r="C103" s="180"/>
      <c r="D103" s="312"/>
      <c r="E103" s="176">
        <f>_xlfn.XLOOKUP(Table326[[#This Row],[Item]],Table13[Decription],Table13[Unit])</f>
        <v>0</v>
      </c>
      <c r="F103" s="184"/>
      <c r="G103" s="176">
        <f>_xlfn.XLOOKUP(Table326[[#This Row],[Item]],Table13[Decription],Table13[Unit Cost])</f>
        <v>0</v>
      </c>
      <c r="H103" s="351">
        <f>Table326[[#This Row],[Unit Cost]]*Table326[[#This Row],[Quantity Issued]]</f>
        <v>0</v>
      </c>
      <c r="I103" s="354">
        <f>_xlfn.XLOOKUP(Table326[[#This Row],[Item]],Table13[Decription],Table13[April 2025 - Balance Qty])</f>
        <v>0</v>
      </c>
      <c r="J103" s="368">
        <f>_xlfn.XLOOKUP(Table326[[#This Row],[Item]],Table13[Decription],Table13[Article])</f>
        <v>0</v>
      </c>
      <c r="K103" s="43"/>
    </row>
    <row r="104" spans="1:11" s="36" customFormat="1" ht="10.5" customHeight="1">
      <c r="A104" s="172"/>
      <c r="B104" s="179"/>
      <c r="C104" s="180"/>
      <c r="D104" s="311"/>
      <c r="E104" s="176">
        <f>_xlfn.XLOOKUP(Table326[[#This Row],[Item]],Table13[Decription],Table13[Unit])</f>
        <v>0</v>
      </c>
      <c r="F104" s="176"/>
      <c r="G104" s="176">
        <f>_xlfn.XLOOKUP(Table326[[#This Row],[Item]],Table13[Decription],Table13[Unit Cost])</f>
        <v>0</v>
      </c>
      <c r="H104" s="351">
        <f>Table326[[#This Row],[Unit Cost]]*Table326[[#This Row],[Quantity Issued]]</f>
        <v>0</v>
      </c>
      <c r="I104" s="354">
        <f>_xlfn.XLOOKUP(Table326[[#This Row],[Item]],Table13[Decription],Table13[April 2025 - Balance Qty])</f>
        <v>0</v>
      </c>
      <c r="J104" s="368">
        <f>_xlfn.XLOOKUP(Table326[[#This Row],[Item]],Table13[Decription],Table13[Article])</f>
        <v>0</v>
      </c>
      <c r="K104" s="43"/>
    </row>
    <row r="105" spans="1:11" s="36" customFormat="1" ht="10.5" customHeight="1">
      <c r="A105" s="172"/>
      <c r="B105" s="179"/>
      <c r="C105" s="180"/>
      <c r="D105" s="312"/>
      <c r="E105" s="176">
        <f>_xlfn.XLOOKUP(Table326[[#This Row],[Item]],Table13[Decription],Table13[Unit])</f>
        <v>0</v>
      </c>
      <c r="F105" s="184"/>
      <c r="G105" s="176">
        <f>_xlfn.XLOOKUP(Table326[[#This Row],[Item]],Table13[Decription],Table13[Unit Cost])</f>
        <v>0</v>
      </c>
      <c r="H105" s="351">
        <f>Table326[[#This Row],[Unit Cost]]*Table326[[#This Row],[Quantity Issued]]</f>
        <v>0</v>
      </c>
      <c r="I105" s="354">
        <f>_xlfn.XLOOKUP(Table326[[#This Row],[Item]],Table13[Decription],Table13[April 2025 - Balance Qty])</f>
        <v>0</v>
      </c>
      <c r="J105" s="368">
        <f>_xlfn.XLOOKUP(Table326[[#This Row],[Item]],Table13[Decription],Table13[Article])</f>
        <v>0</v>
      </c>
      <c r="K105" s="43"/>
    </row>
    <row r="106" spans="1:11" s="36" customFormat="1" ht="10.5" customHeight="1">
      <c r="A106" s="307"/>
      <c r="B106" s="308"/>
      <c r="C106" s="309"/>
      <c r="D106" s="311"/>
      <c r="E106" s="232">
        <f>_xlfn.XLOOKUP(Table326[[#This Row],[Item]],Table13[Decription],Table13[Unit])</f>
        <v>0</v>
      </c>
      <c r="F106" s="176"/>
      <c r="G106" s="232">
        <f>_xlfn.XLOOKUP(Table326[[#This Row],[Item]],Table13[Decription],Table13[Unit Cost])</f>
        <v>0</v>
      </c>
      <c r="H106" s="352">
        <f>Table326[[#This Row],[Unit Cost]]*Table326[[#This Row],[Quantity Issued]]</f>
        <v>0</v>
      </c>
      <c r="I106" s="355">
        <f>_xlfn.XLOOKUP(Table326[[#This Row],[Item]],Table13[Decription],Table13[April 2025 - Balance Qty])</f>
        <v>0</v>
      </c>
      <c r="J106" s="369">
        <f>_xlfn.XLOOKUP(Table326[[#This Row],[Item]],Table13[Decription],Table13[Article])</f>
        <v>0</v>
      </c>
      <c r="K106" s="43"/>
    </row>
    <row r="107" spans="1:11" ht="10.5" customHeight="1">
      <c r="A107" s="307"/>
      <c r="B107" s="308"/>
      <c r="C107" s="309"/>
      <c r="D107" s="311"/>
      <c r="E107" s="232">
        <f>_xlfn.XLOOKUP(Table326[[#This Row],[Item]],Table13[Decription],Table13[Unit])</f>
        <v>0</v>
      </c>
      <c r="F107" s="176"/>
      <c r="G107" s="232">
        <f>_xlfn.XLOOKUP(Table326[[#This Row],[Item]],Table13[Decription],Table13[Unit Cost])</f>
        <v>0</v>
      </c>
      <c r="H107" s="352">
        <f>Table326[[#This Row],[Unit Cost]]*Table326[[#This Row],[Quantity Issued]]</f>
        <v>0</v>
      </c>
      <c r="I107" s="355">
        <f>_xlfn.XLOOKUP(Table326[[#This Row],[Item]],Table13[Decription],Table13[April 2025 - Balance Qty])</f>
        <v>0</v>
      </c>
      <c r="J107" s="369">
        <f>_xlfn.XLOOKUP(Table326[[#This Row],[Item]],Table13[Decription],Table13[Article])</f>
        <v>0</v>
      </c>
      <c r="K107" s="43"/>
    </row>
    <row r="108" spans="1:11" ht="10.5" customHeight="1">
      <c r="A108" s="307"/>
      <c r="B108" s="308"/>
      <c r="C108" s="309"/>
      <c r="D108" s="311"/>
      <c r="E108" s="232">
        <f>_xlfn.XLOOKUP(Table326[[#This Row],[Item]],Table13[Decription],Table13[Unit])</f>
        <v>0</v>
      </c>
      <c r="F108" s="176"/>
      <c r="G108" s="232">
        <f>_xlfn.XLOOKUP(Table326[[#This Row],[Item]],Table13[Decription],Table13[Unit Cost])</f>
        <v>0</v>
      </c>
      <c r="H108" s="352">
        <f>Table326[[#This Row],[Unit Cost]]*Table326[[#This Row],[Quantity Issued]]</f>
        <v>0</v>
      </c>
      <c r="I108" s="355">
        <f>_xlfn.XLOOKUP(Table326[[#This Row],[Item]],Table13[Decription],Table13[April 2025 - Balance Qty])</f>
        <v>0</v>
      </c>
      <c r="J108" s="369">
        <f>_xlfn.XLOOKUP(Table326[[#This Row],[Item]],Table13[Decription],Table13[Article])</f>
        <v>0</v>
      </c>
      <c r="K108" s="43"/>
    </row>
    <row r="109" spans="1:11" ht="10.5" customHeight="1">
      <c r="A109" s="307"/>
      <c r="B109" s="308"/>
      <c r="C109" s="309"/>
      <c r="D109" s="311"/>
      <c r="E109" s="232">
        <f>_xlfn.XLOOKUP(Table326[[#This Row],[Item]],Table13[Decription],Table13[Unit])</f>
        <v>0</v>
      </c>
      <c r="F109" s="176"/>
      <c r="G109" s="232">
        <f>_xlfn.XLOOKUP(Table326[[#This Row],[Item]],Table13[Decription],Table13[Unit Cost])</f>
        <v>0</v>
      </c>
      <c r="H109" s="352">
        <f>Table326[[#This Row],[Unit Cost]]*Table326[[#This Row],[Quantity Issued]]</f>
        <v>0</v>
      </c>
      <c r="I109" s="355">
        <f>_xlfn.XLOOKUP(Table326[[#This Row],[Item]],Table13[Decription],Table13[April 2025 - Balance Qty])</f>
        <v>0</v>
      </c>
      <c r="J109" s="369">
        <f>_xlfn.XLOOKUP(Table326[[#This Row],[Item]],Table13[Decription],Table13[Article])</f>
        <v>0</v>
      </c>
      <c r="K109" s="43"/>
    </row>
    <row r="110" spans="1:11" ht="10.5" customHeight="1">
      <c r="A110" s="307"/>
      <c r="B110" s="308"/>
      <c r="C110" s="309"/>
      <c r="D110" s="311"/>
      <c r="E110" s="232">
        <f>_xlfn.XLOOKUP(Table326[[#This Row],[Item]],Table13[Decription],Table13[Unit])</f>
        <v>0</v>
      </c>
      <c r="F110" s="176"/>
      <c r="G110" s="232">
        <f>_xlfn.XLOOKUP(Table326[[#This Row],[Item]],Table13[Decription],Table13[Unit Cost])</f>
        <v>0</v>
      </c>
      <c r="H110" s="352">
        <f>Table326[[#This Row],[Unit Cost]]*Table326[[#This Row],[Quantity Issued]]</f>
        <v>0</v>
      </c>
      <c r="I110" s="355">
        <f>_xlfn.XLOOKUP(Table326[[#This Row],[Item]],Table13[Decription],Table13[April 2025 - Balance Qty])</f>
        <v>0</v>
      </c>
      <c r="J110" s="369">
        <f>_xlfn.XLOOKUP(Table326[[#This Row],[Item]],Table13[Decription],Table13[Article])</f>
        <v>0</v>
      </c>
      <c r="K110" s="43"/>
    </row>
    <row r="111" spans="1:11" ht="10.5" customHeight="1">
      <c r="A111" s="307"/>
      <c r="B111" s="308"/>
      <c r="C111" s="309"/>
      <c r="D111" s="311"/>
      <c r="E111" s="232">
        <f>_xlfn.XLOOKUP(Table326[[#This Row],[Item]],Table13[Decription],Table13[Unit])</f>
        <v>0</v>
      </c>
      <c r="F111" s="176"/>
      <c r="G111" s="232">
        <f>_xlfn.XLOOKUP(Table326[[#This Row],[Item]],Table13[Decription],Table13[Unit Cost])</f>
        <v>0</v>
      </c>
      <c r="H111" s="352">
        <f>Table326[[#This Row],[Unit Cost]]*Table326[[#This Row],[Quantity Issued]]</f>
        <v>0</v>
      </c>
      <c r="I111" s="355">
        <f>_xlfn.XLOOKUP(Table326[[#This Row],[Item]],Table13[Decription],Table13[April 2025 - Balance Qty])</f>
        <v>0</v>
      </c>
      <c r="J111" s="369">
        <f>_xlfn.XLOOKUP(Table326[[#This Row],[Item]],Table13[Decription],Table13[Article])</f>
        <v>0</v>
      </c>
      <c r="K111" s="43"/>
    </row>
    <row r="112" spans="1:11" ht="10.5" customHeight="1">
      <c r="A112" s="307"/>
      <c r="B112" s="308"/>
      <c r="C112" s="309"/>
      <c r="D112" s="311"/>
      <c r="E112" s="232">
        <f>_xlfn.XLOOKUP(Table326[[#This Row],[Item]],Table13[Decription],Table13[Unit])</f>
        <v>0</v>
      </c>
      <c r="F112" s="176"/>
      <c r="G112" s="232">
        <f>_xlfn.XLOOKUP(Table326[[#This Row],[Item]],Table13[Decription],Table13[Unit Cost])</f>
        <v>0</v>
      </c>
      <c r="H112" s="352">
        <f>Table326[[#This Row],[Unit Cost]]*Table326[[#This Row],[Quantity Issued]]</f>
        <v>0</v>
      </c>
      <c r="I112" s="355">
        <f>_xlfn.XLOOKUP(Table326[[#This Row],[Item]],Table13[Decription],Table13[April 2025 - Balance Qty])</f>
        <v>0</v>
      </c>
      <c r="J112" s="369">
        <f>_xlfn.XLOOKUP(Table326[[#This Row],[Item]],Table13[Decription],Table13[Article])</f>
        <v>0</v>
      </c>
      <c r="K112" s="43"/>
    </row>
    <row r="113" spans="1:11" ht="10.5" customHeight="1">
      <c r="A113" s="307"/>
      <c r="B113" s="308"/>
      <c r="C113" s="309"/>
      <c r="D113" s="311"/>
      <c r="E113" s="232">
        <f>_xlfn.XLOOKUP(Table326[[#This Row],[Item]],Table13[Decription],Table13[Unit])</f>
        <v>0</v>
      </c>
      <c r="F113" s="176"/>
      <c r="G113" s="232">
        <f>_xlfn.XLOOKUP(Table326[[#This Row],[Item]],Table13[Decription],Table13[Unit Cost])</f>
        <v>0</v>
      </c>
      <c r="H113" s="352">
        <f>Table326[[#This Row],[Unit Cost]]*Table326[[#This Row],[Quantity Issued]]</f>
        <v>0</v>
      </c>
      <c r="I113" s="355">
        <f>_xlfn.XLOOKUP(Table326[[#This Row],[Item]],Table13[Decription],Table13[April 2025 - Balance Qty])</f>
        <v>0</v>
      </c>
      <c r="J113" s="369">
        <f>_xlfn.XLOOKUP(Table326[[#This Row],[Item]],Table13[Decription],Table13[Article])</f>
        <v>0</v>
      </c>
      <c r="K113" s="43"/>
    </row>
    <row r="114" spans="1:11" ht="10.5" customHeight="1">
      <c r="A114" s="307"/>
      <c r="B114" s="308"/>
      <c r="C114" s="309"/>
      <c r="D114" s="311"/>
      <c r="E114" s="232">
        <f>_xlfn.XLOOKUP(Table326[[#This Row],[Item]],Table13[Decription],Table13[Unit])</f>
        <v>0</v>
      </c>
      <c r="F114" s="176"/>
      <c r="G114" s="232">
        <f>_xlfn.XLOOKUP(Table326[[#This Row],[Item]],Table13[Decription],Table13[Unit Cost])</f>
        <v>0</v>
      </c>
      <c r="H114" s="352">
        <f>Table326[[#This Row],[Unit Cost]]*Table326[[#This Row],[Quantity Issued]]</f>
        <v>0</v>
      </c>
      <c r="I114" s="355">
        <f>_xlfn.XLOOKUP(Table326[[#This Row],[Item]],Table13[Decription],Table13[April 2025 - Balance Qty])</f>
        <v>0</v>
      </c>
      <c r="J114" s="369">
        <f>_xlfn.XLOOKUP(Table326[[#This Row],[Item]],Table13[Decription],Table13[Article])</f>
        <v>0</v>
      </c>
      <c r="K114" s="43"/>
    </row>
    <row r="115" spans="1:11" ht="10.5" customHeight="1">
      <c r="A115" s="307"/>
      <c r="B115" s="308"/>
      <c r="C115" s="309"/>
      <c r="D115" s="311"/>
      <c r="E115" s="232">
        <f>_xlfn.XLOOKUP(Table326[[#This Row],[Item]],Table13[Decription],Table13[Unit])</f>
        <v>0</v>
      </c>
      <c r="F115" s="176"/>
      <c r="G115" s="232">
        <f>_xlfn.XLOOKUP(Table326[[#This Row],[Item]],Table13[Decription],Table13[Unit Cost])</f>
        <v>0</v>
      </c>
      <c r="H115" s="352">
        <f>Table326[[#This Row],[Unit Cost]]*Table326[[#This Row],[Quantity Issued]]</f>
        <v>0</v>
      </c>
      <c r="I115" s="355">
        <f>_xlfn.XLOOKUP(Table326[[#This Row],[Item]],Table13[Decription],Table13[April 2025 - Balance Qty])</f>
        <v>0</v>
      </c>
      <c r="J115" s="369">
        <f>_xlfn.XLOOKUP(Table326[[#This Row],[Item]],Table13[Decription],Table13[Article])</f>
        <v>0</v>
      </c>
      <c r="K115" s="43"/>
    </row>
    <row r="116" spans="1:11" ht="10.5" customHeight="1">
      <c r="A116" s="307"/>
      <c r="B116" s="308"/>
      <c r="C116" s="309"/>
      <c r="D116" s="311"/>
      <c r="E116" s="232">
        <f>_xlfn.XLOOKUP(Table326[[#This Row],[Item]],Table13[Decription],Table13[Unit])</f>
        <v>0</v>
      </c>
      <c r="F116" s="176"/>
      <c r="G116" s="232">
        <f>_xlfn.XLOOKUP(Table326[[#This Row],[Item]],Table13[Decription],Table13[Unit Cost])</f>
        <v>0</v>
      </c>
      <c r="H116" s="352">
        <f>Table326[[#This Row],[Unit Cost]]*Table326[[#This Row],[Quantity Issued]]</f>
        <v>0</v>
      </c>
      <c r="I116" s="355">
        <f>_xlfn.XLOOKUP(Table326[[#This Row],[Item]],Table13[Decription],Table13[April 2025 - Balance Qty])</f>
        <v>0</v>
      </c>
      <c r="J116" s="369">
        <f>_xlfn.XLOOKUP(Table326[[#This Row],[Item]],Table13[Decription],Table13[Article])</f>
        <v>0</v>
      </c>
      <c r="K116" s="43"/>
    </row>
    <row r="117" spans="1:11" ht="10.5" customHeight="1">
      <c r="A117" s="307"/>
      <c r="B117" s="308"/>
      <c r="C117" s="309"/>
      <c r="D117" s="311"/>
      <c r="E117" s="232">
        <f>_xlfn.XLOOKUP(Table326[[#This Row],[Item]],Table13[Decription],Table13[Unit])</f>
        <v>0</v>
      </c>
      <c r="F117" s="176"/>
      <c r="G117" s="232">
        <f>_xlfn.XLOOKUP(Table326[[#This Row],[Item]],Table13[Decription],Table13[Unit Cost])</f>
        <v>0</v>
      </c>
      <c r="H117" s="352">
        <f>Table326[[#This Row],[Unit Cost]]*Table326[[#This Row],[Quantity Issued]]</f>
        <v>0</v>
      </c>
      <c r="I117" s="355">
        <f>_xlfn.XLOOKUP(Table326[[#This Row],[Item]],Table13[Decription],Table13[April 2025 - Balance Qty])</f>
        <v>0</v>
      </c>
      <c r="J117" s="369">
        <f>_xlfn.XLOOKUP(Table326[[#This Row],[Item]],Table13[Decription],Table13[Article])</f>
        <v>0</v>
      </c>
      <c r="K117" s="43"/>
    </row>
    <row r="118" spans="1:11" ht="10.5" customHeight="1">
      <c r="A118" s="307"/>
      <c r="B118" s="308"/>
      <c r="C118" s="309"/>
      <c r="D118" s="311"/>
      <c r="E118" s="232">
        <f>_xlfn.XLOOKUP(Table326[[#This Row],[Item]],Table13[Decription],Table13[Unit])</f>
        <v>0</v>
      </c>
      <c r="F118" s="176"/>
      <c r="G118" s="232">
        <f>_xlfn.XLOOKUP(Table326[[#This Row],[Item]],Table13[Decription],Table13[Unit Cost])</f>
        <v>0</v>
      </c>
      <c r="H118" s="352">
        <f>Table326[[#This Row],[Unit Cost]]*Table326[[#This Row],[Quantity Issued]]</f>
        <v>0</v>
      </c>
      <c r="I118" s="355">
        <f>_xlfn.XLOOKUP(Table326[[#This Row],[Item]],Table13[Decription],Table13[April 2025 - Balance Qty])</f>
        <v>0</v>
      </c>
      <c r="J118" s="369">
        <f>_xlfn.XLOOKUP(Table326[[#This Row],[Item]],Table13[Decription],Table13[Article])</f>
        <v>0</v>
      </c>
      <c r="K118" s="43"/>
    </row>
    <row r="119" spans="1:11" ht="10.5" customHeight="1">
      <c r="A119" s="307"/>
      <c r="B119" s="308"/>
      <c r="C119" s="309"/>
      <c r="D119" s="311"/>
      <c r="E119" s="232">
        <f>_xlfn.XLOOKUP(Table326[[#This Row],[Item]],Table13[Decription],Table13[Unit])</f>
        <v>0</v>
      </c>
      <c r="F119" s="176"/>
      <c r="G119" s="232">
        <f>_xlfn.XLOOKUP(Table326[[#This Row],[Item]],Table13[Decription],Table13[Unit Cost])</f>
        <v>0</v>
      </c>
      <c r="H119" s="352">
        <f>Table326[[#This Row],[Unit Cost]]*Table326[[#This Row],[Quantity Issued]]</f>
        <v>0</v>
      </c>
      <c r="I119" s="355">
        <f>_xlfn.XLOOKUP(Table326[[#This Row],[Item]],Table13[Decription],Table13[April 2025 - Balance Qty])</f>
        <v>0</v>
      </c>
      <c r="J119" s="370">
        <f>_xlfn.XLOOKUP(Table326[[#This Row],[Item]],Table13[Decription],Table13[Article])</f>
        <v>0</v>
      </c>
      <c r="K119" s="43"/>
    </row>
    <row r="120" spans="1:11" ht="10.5" customHeight="1">
      <c r="A120" s="307"/>
      <c r="B120" s="308"/>
      <c r="C120" s="309"/>
      <c r="D120" s="311"/>
      <c r="E120" s="232">
        <f>_xlfn.XLOOKUP(Table326[[#This Row],[Item]],Table13[Decription],Table13[Unit])</f>
        <v>0</v>
      </c>
      <c r="F120" s="176"/>
      <c r="G120" s="232">
        <f>_xlfn.XLOOKUP(Table326[[#This Row],[Item]],Table13[Decription],Table13[Unit Cost])</f>
        <v>0</v>
      </c>
      <c r="H120" s="352">
        <f>Table326[[#This Row],[Unit Cost]]*Table326[[#This Row],[Quantity Issued]]</f>
        <v>0</v>
      </c>
      <c r="I120" s="355">
        <f>_xlfn.XLOOKUP(Table326[[#This Row],[Item]],Table13[Decription],Table13[April 2025 - Balance Qty])</f>
        <v>0</v>
      </c>
      <c r="J120" s="371">
        <f>_xlfn.XLOOKUP(Table326[[#This Row],[Item]],Table13[Decription],Table13[Article])</f>
        <v>0</v>
      </c>
      <c r="K120" s="43"/>
    </row>
    <row r="121" spans="1:11" ht="10.5" customHeight="1">
      <c r="A121" s="307"/>
      <c r="B121" s="308"/>
      <c r="C121" s="309"/>
      <c r="D121" s="311"/>
      <c r="E121" s="232">
        <f>_xlfn.XLOOKUP(Table326[[#This Row],[Item]],Table13[Decription],Table13[Unit])</f>
        <v>0</v>
      </c>
      <c r="F121" s="176"/>
      <c r="G121" s="232">
        <f>_xlfn.XLOOKUP(Table326[[#This Row],[Item]],Table13[Decription],Table13[Unit Cost])</f>
        <v>0</v>
      </c>
      <c r="H121" s="352">
        <f>Table326[[#This Row],[Unit Cost]]*Table326[[#This Row],[Quantity Issued]]</f>
        <v>0</v>
      </c>
      <c r="I121" s="355">
        <f>_xlfn.XLOOKUP(Table326[[#This Row],[Item]],Table13[Decription],Table13[April 2025 - Balance Qty])</f>
        <v>0</v>
      </c>
      <c r="J121" s="369">
        <f>_xlfn.XLOOKUP(Table326[[#This Row],[Item]],Table13[Decription],Table13[Article])</f>
        <v>0</v>
      </c>
    </row>
    <row r="122" spans="1:11" ht="10.5" customHeight="1">
      <c r="A122" s="172"/>
      <c r="B122" s="179"/>
      <c r="C122" s="180"/>
      <c r="D122" s="311"/>
      <c r="E122" s="176">
        <f>_xlfn.XLOOKUP(Table326[[#This Row],[Item]],Table13[Decription],Table13[Unit])</f>
        <v>0</v>
      </c>
      <c r="F122" s="176"/>
      <c r="G122" s="176">
        <f>_xlfn.XLOOKUP(Table326[[#This Row],[Item]],Table13[Decription],Table13[Unit Cost])</f>
        <v>0</v>
      </c>
      <c r="H122" s="351">
        <f>Table326[[#This Row],[Unit Cost]]*Table326[[#This Row],[Quantity Issued]]</f>
        <v>0</v>
      </c>
      <c r="I122" s="354">
        <f>_xlfn.XLOOKUP(Table326[[#This Row],[Item]],Table13[Decription],Table13[April 2025 - Balance Qty])</f>
        <v>0</v>
      </c>
      <c r="J122" s="366">
        <f>_xlfn.XLOOKUP(Table326[[#This Row],[Item]],Table13[Decription],Table13[Article])</f>
        <v>0</v>
      </c>
    </row>
    <row r="123" spans="1:11" ht="10.5" customHeight="1">
      <c r="A123" s="172"/>
      <c r="B123" s="179"/>
      <c r="C123" s="180"/>
      <c r="D123" s="311"/>
      <c r="E123" s="176">
        <f>_xlfn.XLOOKUP(Table326[[#This Row],[Item]],Table13[Decription],Table13[Unit])</f>
        <v>0</v>
      </c>
      <c r="F123" s="176"/>
      <c r="G123" s="176">
        <f>_xlfn.XLOOKUP(Table326[[#This Row],[Item]],Table13[Decription],Table13[Unit Cost])</f>
        <v>0</v>
      </c>
      <c r="H123" s="351">
        <f>Table326[[#This Row],[Unit Cost]]*Table326[[#This Row],[Quantity Issued]]</f>
        <v>0</v>
      </c>
      <c r="I123" s="354">
        <f>_xlfn.XLOOKUP(Table326[[#This Row],[Item]],Table13[Decription],Table13[April 2025 - Balance Qty])</f>
        <v>0</v>
      </c>
      <c r="J123" s="372">
        <f>_xlfn.XLOOKUP(Table326[[#This Row],[Item]],Table13[Decription],Table13[Article])</f>
        <v>0</v>
      </c>
    </row>
    <row r="124" spans="1:11" ht="10.5" customHeight="1">
      <c r="A124" s="172"/>
      <c r="B124" s="179"/>
      <c r="C124" s="180"/>
      <c r="D124" s="311"/>
      <c r="E124" s="176">
        <f>_xlfn.XLOOKUP(Table326[[#This Row],[Item]],Table13[Decription],Table13[Unit])</f>
        <v>0</v>
      </c>
      <c r="F124" s="176"/>
      <c r="G124" s="176">
        <f>_xlfn.XLOOKUP(Table326[[#This Row],[Item]],Table13[Decription],Table13[Unit Cost])</f>
        <v>0</v>
      </c>
      <c r="H124" s="351">
        <f>Table326[[#This Row],[Unit Cost]]*Table326[[#This Row],[Quantity Issued]]</f>
        <v>0</v>
      </c>
      <c r="I124" s="354">
        <f>_xlfn.XLOOKUP(Table326[[#This Row],[Item]],Table13[Decription],Table13[April 2025 - Balance Qty])</f>
        <v>0</v>
      </c>
      <c r="J124" s="368">
        <f>_xlfn.XLOOKUP(Table326[[#This Row],[Item]],Table13[Decription],Table13[Article])</f>
        <v>0</v>
      </c>
    </row>
    <row r="125" spans="1:11" ht="10.5" customHeight="1">
      <c r="A125" s="172"/>
      <c r="B125" s="179"/>
      <c r="C125" s="180"/>
      <c r="D125" s="311"/>
      <c r="E125" s="176">
        <f>_xlfn.XLOOKUP(Table326[[#This Row],[Item]],Table13[Decription],Table13[Unit])</f>
        <v>0</v>
      </c>
      <c r="F125" s="176"/>
      <c r="G125" s="176">
        <f>_xlfn.XLOOKUP(Table326[[#This Row],[Item]],Table13[Decription],Table13[Unit Cost])</f>
        <v>0</v>
      </c>
      <c r="H125" s="351">
        <f>Table326[[#This Row],[Unit Cost]]*Table326[[#This Row],[Quantity Issued]]</f>
        <v>0</v>
      </c>
      <c r="I125" s="354">
        <f>_xlfn.XLOOKUP(Table326[[#This Row],[Item]],Table13[Decription],Table13[April 2025 - Balance Qty])</f>
        <v>0</v>
      </c>
      <c r="J125" s="368">
        <f>_xlfn.XLOOKUP(Table326[[#This Row],[Item]],Table13[Decription],Table13[Article])</f>
        <v>0</v>
      </c>
    </row>
    <row r="126" spans="1:11" ht="10.5" customHeight="1">
      <c r="A126" s="172"/>
      <c r="B126" s="179"/>
      <c r="C126" s="180"/>
      <c r="D126" s="311"/>
      <c r="E126" s="176">
        <f>_xlfn.XLOOKUP(Table326[[#This Row],[Item]],Table13[Decription],Table13[Unit])</f>
        <v>0</v>
      </c>
      <c r="F126" s="176"/>
      <c r="G126" s="176">
        <f>_xlfn.XLOOKUP(Table326[[#This Row],[Item]],Table13[Decription],Table13[Unit Cost])</f>
        <v>0</v>
      </c>
      <c r="H126" s="351">
        <f>Table326[[#This Row],[Unit Cost]]*Table326[[#This Row],[Quantity Issued]]</f>
        <v>0</v>
      </c>
      <c r="I126" s="353">
        <f>_xlfn.XLOOKUP(Table326[[#This Row],[Item]],Table13[Decription],Table13[April 2025 - Balance Qty])</f>
        <v>0</v>
      </c>
      <c r="J126" s="368">
        <f>_xlfn.XLOOKUP(Table326[[#This Row],[Item]],Table13[Decription],Table13[Article])</f>
        <v>0</v>
      </c>
    </row>
    <row r="127" spans="1:11" ht="10.5" customHeight="1">
      <c r="A127" s="172"/>
      <c r="B127" s="179"/>
      <c r="C127" s="180"/>
      <c r="D127" s="311"/>
      <c r="E127" s="176">
        <f>_xlfn.XLOOKUP(Table326[[#This Row],[Item]],Table13[Decription],Table13[Unit])</f>
        <v>0</v>
      </c>
      <c r="F127" s="176"/>
      <c r="G127" s="176">
        <f>_xlfn.XLOOKUP(Table326[[#This Row],[Item]],Table13[Decription],Table13[Unit Cost])</f>
        <v>0</v>
      </c>
      <c r="H127" s="351">
        <f>Table326[[#This Row],[Unit Cost]]*Table326[[#This Row],[Quantity Issued]]</f>
        <v>0</v>
      </c>
      <c r="I127" s="353">
        <f>_xlfn.XLOOKUP(Table326[[#This Row],[Item]],Table13[Decription],Table13[April 2025 - Balance Qty])</f>
        <v>0</v>
      </c>
      <c r="J127" s="368">
        <f>_xlfn.XLOOKUP(Table326[[#This Row],[Item]],Table13[Decription],Table13[Article])</f>
        <v>0</v>
      </c>
    </row>
    <row r="128" spans="1:11" ht="10.5" customHeight="1">
      <c r="A128" s="172"/>
      <c r="B128" s="179"/>
      <c r="C128" s="180"/>
      <c r="D128" s="311"/>
      <c r="E128" s="176">
        <f>_xlfn.XLOOKUP(Table326[[#This Row],[Item]],Table13[Decription],Table13[Unit])</f>
        <v>0</v>
      </c>
      <c r="F128" s="176"/>
      <c r="G128" s="176">
        <f>_xlfn.XLOOKUP(Table326[[#This Row],[Item]],Table13[Decription],Table13[Unit Cost])</f>
        <v>0</v>
      </c>
      <c r="H128" s="351">
        <f>Table326[[#This Row],[Unit Cost]]*Table326[[#This Row],[Quantity Issued]]</f>
        <v>0</v>
      </c>
      <c r="I128" s="353">
        <f>_xlfn.XLOOKUP(Table326[[#This Row],[Item]],Table13[Decription],Table13[April 2025 - Balance Qty])</f>
        <v>0</v>
      </c>
      <c r="J128" s="368">
        <f>_xlfn.XLOOKUP(Table326[[#This Row],[Item]],Table13[Decription],Table13[Article])</f>
        <v>0</v>
      </c>
    </row>
    <row r="129" spans="1:10" ht="10.5" customHeight="1">
      <c r="A129" s="307"/>
      <c r="B129" s="308"/>
      <c r="C129" s="309"/>
      <c r="D129" s="311"/>
      <c r="E129" s="232">
        <f>_xlfn.XLOOKUP(Table326[[#This Row],[Item]],Table13[Decription],Table13[Unit])</f>
        <v>0</v>
      </c>
      <c r="F129" s="176"/>
      <c r="G129" s="232">
        <f>_xlfn.XLOOKUP(Table326[[#This Row],[Item]],Table13[Decription],Table13[Unit Cost])</f>
        <v>0</v>
      </c>
      <c r="H129" s="352">
        <f>Table326[[#This Row],[Unit Cost]]*Table326[[#This Row],[Quantity Issued]]</f>
        <v>0</v>
      </c>
      <c r="I129" s="356">
        <f>_xlfn.XLOOKUP(Table326[[#This Row],[Item]],Table13[Decription],Table13[April 2025 - Balance Qty])</f>
        <v>0</v>
      </c>
      <c r="J129" s="373">
        <f>_xlfn.XLOOKUP(Table326[[#This Row],[Item]],Table13[Decription],Table13[Article])</f>
        <v>0</v>
      </c>
    </row>
    <row r="130" spans="1:10" ht="10.5" customHeight="1">
      <c r="A130" s="307"/>
      <c r="B130" s="308"/>
      <c r="C130" s="309"/>
      <c r="D130" s="311"/>
      <c r="E130" s="232">
        <f>_xlfn.XLOOKUP(Table326[[#This Row],[Item]],Table13[Decription],Table13[Unit])</f>
        <v>0</v>
      </c>
      <c r="F130" s="176"/>
      <c r="G130" s="232">
        <f>_xlfn.XLOOKUP(Table326[[#This Row],[Item]],Table13[Decription],Table13[Unit Cost])</f>
        <v>0</v>
      </c>
      <c r="H130" s="352">
        <f>Table326[[#This Row],[Unit Cost]]*Table326[[#This Row],[Quantity Issued]]</f>
        <v>0</v>
      </c>
      <c r="I130" s="356">
        <f>_xlfn.XLOOKUP(Table326[[#This Row],[Item]],Table13[Decription],Table13[April 2025 - Balance Qty])</f>
        <v>0</v>
      </c>
      <c r="J130" s="369">
        <f>_xlfn.XLOOKUP(Table326[[#This Row],[Item]],Table13[Decription],Table13[Article])</f>
        <v>0</v>
      </c>
    </row>
    <row r="131" spans="1:10" ht="10.5" customHeight="1">
      <c r="A131" s="307"/>
      <c r="B131" s="308"/>
      <c r="C131" s="309"/>
      <c r="D131" s="311"/>
      <c r="E131" s="232">
        <f>_xlfn.XLOOKUP(Table326[[#This Row],[Item]],Table13[Decription],Table13[Unit])</f>
        <v>0</v>
      </c>
      <c r="F131" s="176"/>
      <c r="G131" s="232">
        <f>_xlfn.XLOOKUP(Table326[[#This Row],[Item]],Table13[Decription],Table13[Unit Cost])</f>
        <v>0</v>
      </c>
      <c r="H131" s="352">
        <f>Table326[[#This Row],[Unit Cost]]*Table326[[#This Row],[Quantity Issued]]</f>
        <v>0</v>
      </c>
      <c r="I131" s="356">
        <f>_xlfn.XLOOKUP(Table326[[#This Row],[Item]],Table13[Decription],Table13[April 2025 - Balance Qty])</f>
        <v>0</v>
      </c>
      <c r="J131" s="369">
        <f>_xlfn.XLOOKUP(Table326[[#This Row],[Item]],Table13[Decription],Table13[Article])</f>
        <v>0</v>
      </c>
    </row>
    <row r="132" spans="1:10" ht="10.5" customHeight="1">
      <c r="A132" s="307"/>
      <c r="B132" s="308"/>
      <c r="C132" s="309"/>
      <c r="D132" s="311"/>
      <c r="E132" s="232">
        <f>_xlfn.XLOOKUP(Table326[[#This Row],[Item]],Table13[Decription],Table13[Unit])</f>
        <v>0</v>
      </c>
      <c r="F132" s="176"/>
      <c r="G132" s="232">
        <f>_xlfn.XLOOKUP(Table326[[#This Row],[Item]],Table13[Decription],Table13[Unit Cost])</f>
        <v>0</v>
      </c>
      <c r="H132" s="352">
        <f>Table326[[#This Row],[Unit Cost]]*Table326[[#This Row],[Quantity Issued]]</f>
        <v>0</v>
      </c>
      <c r="I132" s="356">
        <f>_xlfn.XLOOKUP(Table326[[#This Row],[Item]],Table13[Decription],Table13[April 2025 - Balance Qty])</f>
        <v>0</v>
      </c>
      <c r="J132" s="369">
        <f>_xlfn.XLOOKUP(Table326[[#This Row],[Item]],Table13[Decription],Table13[Article])</f>
        <v>0</v>
      </c>
    </row>
    <row r="133" spans="1:10" ht="10.5" customHeight="1">
      <c r="A133" s="307"/>
      <c r="B133" s="308"/>
      <c r="C133" s="309"/>
      <c r="D133" s="311"/>
      <c r="E133" s="232">
        <f>_xlfn.XLOOKUP(Table326[[#This Row],[Item]],Table13[Decription],Table13[Unit])</f>
        <v>0</v>
      </c>
      <c r="F133" s="176"/>
      <c r="G133" s="232">
        <f>_xlfn.XLOOKUP(Table326[[#This Row],[Item]],Table13[Decription],Table13[Unit Cost])</f>
        <v>0</v>
      </c>
      <c r="H133" s="352">
        <f>Table326[[#This Row],[Unit Cost]]*Table326[[#This Row],[Quantity Issued]]</f>
        <v>0</v>
      </c>
      <c r="I133" s="356">
        <f>_xlfn.XLOOKUP(Table326[[#This Row],[Item]],Table13[Decription],Table13[April 2025 - Balance Qty])</f>
        <v>0</v>
      </c>
      <c r="J133" s="369">
        <f>_xlfn.XLOOKUP(Table326[[#This Row],[Item]],Table13[Decription],Table13[Article])</f>
        <v>0</v>
      </c>
    </row>
    <row r="134" spans="1:10" ht="10.5" customHeight="1">
      <c r="A134" s="307"/>
      <c r="B134" s="308"/>
      <c r="C134" s="309"/>
      <c r="D134" s="311"/>
      <c r="E134" s="232">
        <f>_xlfn.XLOOKUP(Table326[[#This Row],[Item]],Table13[Decription],Table13[Unit])</f>
        <v>0</v>
      </c>
      <c r="F134" s="176"/>
      <c r="G134" s="232">
        <f>_xlfn.XLOOKUP(Table326[[#This Row],[Item]],Table13[Decription],Table13[Unit Cost])</f>
        <v>0</v>
      </c>
      <c r="H134" s="352">
        <f>Table326[[#This Row],[Unit Cost]]*Table326[[#This Row],[Quantity Issued]]</f>
        <v>0</v>
      </c>
      <c r="I134" s="356">
        <f>_xlfn.XLOOKUP(Table326[[#This Row],[Item]],Table13[Decription],Table13[April 2025 - Balance Qty])</f>
        <v>0</v>
      </c>
      <c r="J134" s="369">
        <f>_xlfn.XLOOKUP(Table326[[#This Row],[Item]],Table13[Decription],Table13[Article])</f>
        <v>0</v>
      </c>
    </row>
    <row r="135" spans="1:10" ht="10.5" customHeight="1">
      <c r="A135" s="307"/>
      <c r="B135" s="308"/>
      <c r="C135" s="309"/>
      <c r="D135" s="311"/>
      <c r="E135" s="232">
        <f>_xlfn.XLOOKUP(Table326[[#This Row],[Item]],Table13[Decription],Table13[Unit])</f>
        <v>0</v>
      </c>
      <c r="F135" s="176"/>
      <c r="G135" s="232">
        <f>_xlfn.XLOOKUP(Table326[[#This Row],[Item]],Table13[Decription],Table13[Unit Cost])</f>
        <v>0</v>
      </c>
      <c r="H135" s="352">
        <f>Table326[[#This Row],[Unit Cost]]*Table326[[#This Row],[Quantity Issued]]</f>
        <v>0</v>
      </c>
      <c r="I135" s="356">
        <f>_xlfn.XLOOKUP(Table326[[#This Row],[Item]],Table13[Decription],Table13[April 2025 - Balance Qty])</f>
        <v>0</v>
      </c>
      <c r="J135" s="369">
        <f>_xlfn.XLOOKUP(Table326[[#This Row],[Item]],Table13[Decription],Table13[Article])</f>
        <v>0</v>
      </c>
    </row>
    <row r="136" spans="1:10" ht="10.5" customHeight="1">
      <c r="A136" s="307"/>
      <c r="B136" s="308"/>
      <c r="C136" s="309"/>
      <c r="D136" s="311"/>
      <c r="E136" s="232">
        <f>_xlfn.XLOOKUP(Table326[[#This Row],[Item]],Table13[Decription],Table13[Unit])</f>
        <v>0</v>
      </c>
      <c r="F136" s="176"/>
      <c r="G136" s="232">
        <f>_xlfn.XLOOKUP(Table326[[#This Row],[Item]],Table13[Decription],Table13[Unit Cost])</f>
        <v>0</v>
      </c>
      <c r="H136" s="352">
        <f>Table326[[#This Row],[Unit Cost]]*Table326[[#This Row],[Quantity Issued]]</f>
        <v>0</v>
      </c>
      <c r="I136" s="356">
        <f>_xlfn.XLOOKUP(Table326[[#This Row],[Item]],Table13[Decription],Table13[April 2025 - Balance Qty])</f>
        <v>0</v>
      </c>
      <c r="J136" s="369">
        <f>_xlfn.XLOOKUP(Table326[[#This Row],[Item]],Table13[Decription],Table13[Article])</f>
        <v>0</v>
      </c>
    </row>
    <row r="137" spans="1:10" ht="10.5" customHeight="1">
      <c r="A137" s="307"/>
      <c r="B137" s="308"/>
      <c r="C137" s="309"/>
      <c r="D137" s="311"/>
      <c r="E137" s="232">
        <f>_xlfn.XLOOKUP(Table326[[#This Row],[Item]],Table13[Decription],Table13[Unit])</f>
        <v>0</v>
      </c>
      <c r="F137" s="176"/>
      <c r="G137" s="232">
        <f>_xlfn.XLOOKUP(Table326[[#This Row],[Item]],Table13[Decription],Table13[Unit Cost])</f>
        <v>0</v>
      </c>
      <c r="H137" s="352">
        <f>Table326[[#This Row],[Unit Cost]]*Table326[[#This Row],[Quantity Issued]]</f>
        <v>0</v>
      </c>
      <c r="I137" s="356">
        <f>_xlfn.XLOOKUP(Table326[[#This Row],[Item]],Table13[Decription],Table13[April 2025 - Balance Qty])</f>
        <v>0</v>
      </c>
      <c r="J137" s="369">
        <f>_xlfn.XLOOKUP(Table326[[#This Row],[Item]],Table13[Decription],Table13[Article])</f>
        <v>0</v>
      </c>
    </row>
    <row r="138" spans="1:10" ht="10.5" customHeight="1">
      <c r="A138" s="307"/>
      <c r="B138" s="308"/>
      <c r="C138" s="309"/>
      <c r="D138" s="311"/>
      <c r="E138" s="232">
        <f>_xlfn.XLOOKUP(Table326[[#This Row],[Item]],Table13[Decription],Table13[Unit])</f>
        <v>0</v>
      </c>
      <c r="F138" s="176"/>
      <c r="G138" s="232">
        <f>_xlfn.XLOOKUP(Table326[[#This Row],[Item]],Table13[Decription],Table13[Unit Cost])</f>
        <v>0</v>
      </c>
      <c r="H138" s="352">
        <f>Table326[[#This Row],[Unit Cost]]*Table326[[#This Row],[Quantity Issued]]</f>
        <v>0</v>
      </c>
      <c r="I138" s="356">
        <f>_xlfn.XLOOKUP(Table326[[#This Row],[Item]],Table13[Decription],Table13[April 2025 - Balance Qty])</f>
        <v>0</v>
      </c>
      <c r="J138" s="369">
        <f>_xlfn.XLOOKUP(Table326[[#This Row],[Item]],Table13[Decription],Table13[Article])</f>
        <v>0</v>
      </c>
    </row>
    <row r="139" spans="1:10" ht="10.5" customHeight="1">
      <c r="A139" s="307"/>
      <c r="B139" s="308"/>
      <c r="C139" s="309"/>
      <c r="D139" s="311"/>
      <c r="E139" s="232">
        <f>_xlfn.XLOOKUP(Table326[[#This Row],[Item]],Table13[Decription],Table13[Unit])</f>
        <v>0</v>
      </c>
      <c r="F139" s="176"/>
      <c r="G139" s="232">
        <f>_xlfn.XLOOKUP(Table326[[#This Row],[Item]],Table13[Decription],Table13[Unit Cost])</f>
        <v>0</v>
      </c>
      <c r="H139" s="352">
        <f>Table326[[#This Row],[Unit Cost]]*Table326[[#This Row],[Quantity Issued]]</f>
        <v>0</v>
      </c>
      <c r="I139" s="356">
        <f>_xlfn.XLOOKUP(Table326[[#This Row],[Item]],Table13[Decription],Table13[April 2025 - Balance Qty])</f>
        <v>0</v>
      </c>
      <c r="J139" s="369">
        <f>_xlfn.XLOOKUP(Table326[[#This Row],[Item]],Table13[Decription],Table13[Article])</f>
        <v>0</v>
      </c>
    </row>
    <row r="140" spans="1:10" ht="10.5" customHeight="1">
      <c r="A140" s="307"/>
      <c r="B140" s="308"/>
      <c r="C140" s="309"/>
      <c r="D140" s="311"/>
      <c r="E140" s="232">
        <f>_xlfn.XLOOKUP(Table326[[#This Row],[Item]],Table13[Decription],Table13[Unit])</f>
        <v>0</v>
      </c>
      <c r="F140" s="176"/>
      <c r="G140" s="232">
        <f>_xlfn.XLOOKUP(Table326[[#This Row],[Item]],Table13[Decription],Table13[Unit Cost])</f>
        <v>0</v>
      </c>
      <c r="H140" s="352">
        <f>Table326[[#This Row],[Unit Cost]]*Table326[[#This Row],[Quantity Issued]]</f>
        <v>0</v>
      </c>
      <c r="I140" s="356">
        <f>_xlfn.XLOOKUP(Table326[[#This Row],[Item]],Table13[Decription],Table13[April 2025 - Balance Qty])</f>
        <v>0</v>
      </c>
      <c r="J140" s="369">
        <f>_xlfn.XLOOKUP(Table326[[#This Row],[Item]],Table13[Decription],Table13[Article])</f>
        <v>0</v>
      </c>
    </row>
    <row r="141" spans="1:10" ht="10.5" customHeight="1">
      <c r="A141" s="307"/>
      <c r="B141" s="308"/>
      <c r="C141" s="309"/>
      <c r="D141" s="311"/>
      <c r="E141" s="232">
        <f>_xlfn.XLOOKUP(Table326[[#This Row],[Item]],Table13[Decription],Table13[Unit])</f>
        <v>0</v>
      </c>
      <c r="F141" s="176"/>
      <c r="G141" s="232">
        <f>_xlfn.XLOOKUP(Table326[[#This Row],[Item]],Table13[Decription],Table13[Unit Cost])</f>
        <v>0</v>
      </c>
      <c r="H141" s="352">
        <f>Table326[[#This Row],[Unit Cost]]*Table326[[#This Row],[Quantity Issued]]</f>
        <v>0</v>
      </c>
      <c r="I141" s="356">
        <f>_xlfn.XLOOKUP(Table326[[#This Row],[Item]],Table13[Decription],Table13[April 2025 - Balance Qty])</f>
        <v>0</v>
      </c>
      <c r="J141" s="369">
        <f>_xlfn.XLOOKUP(Table326[[#This Row],[Item]],Table13[Decription],Table13[Article])</f>
        <v>0</v>
      </c>
    </row>
    <row r="142" spans="1:10" ht="10.5" customHeight="1">
      <c r="A142" s="307"/>
      <c r="B142" s="308"/>
      <c r="C142" s="309"/>
      <c r="D142" s="311"/>
      <c r="E142" s="232">
        <f>_xlfn.XLOOKUP(Table326[[#This Row],[Item]],Table13[Decription],Table13[Unit])</f>
        <v>0</v>
      </c>
      <c r="F142" s="176"/>
      <c r="G142" s="232">
        <f>_xlfn.XLOOKUP(Table326[[#This Row],[Item]],Table13[Decription],Table13[Unit Cost])</f>
        <v>0</v>
      </c>
      <c r="H142" s="352">
        <f>Table326[[#This Row],[Unit Cost]]*Table326[[#This Row],[Quantity Issued]]</f>
        <v>0</v>
      </c>
      <c r="I142" s="356">
        <f>_xlfn.XLOOKUP(Table326[[#This Row],[Item]],Table13[Decription],Table13[April 2025 - Balance Qty])</f>
        <v>0</v>
      </c>
      <c r="J142" s="369">
        <f>_xlfn.XLOOKUP(Table326[[#This Row],[Item]],Table13[Decription],Table13[Article])</f>
        <v>0</v>
      </c>
    </row>
    <row r="143" spans="1:10" ht="10.5" customHeight="1">
      <c r="A143" s="307"/>
      <c r="B143" s="308"/>
      <c r="C143" s="309"/>
      <c r="D143" s="311"/>
      <c r="E143" s="232">
        <f>_xlfn.XLOOKUP(Table326[[#This Row],[Item]],Table13[Decription],Table13[Unit])</f>
        <v>0</v>
      </c>
      <c r="F143" s="176"/>
      <c r="G143" s="232">
        <f>_xlfn.XLOOKUP(Table326[[#This Row],[Item]],Table13[Decription],Table13[Unit Cost])</f>
        <v>0</v>
      </c>
      <c r="H143" s="352">
        <f>Table326[[#This Row],[Unit Cost]]*Table326[[#This Row],[Quantity Issued]]</f>
        <v>0</v>
      </c>
      <c r="I143" s="356">
        <f>_xlfn.XLOOKUP(Table326[[#This Row],[Item]],Table13[Decription],Table13[April 2025 - Balance Qty])</f>
        <v>0</v>
      </c>
      <c r="J143" s="369">
        <f>_xlfn.XLOOKUP(Table326[[#This Row],[Item]],Table13[Decription],Table13[Article])</f>
        <v>0</v>
      </c>
    </row>
    <row r="144" spans="1:10" ht="10.5" customHeight="1">
      <c r="A144" s="307"/>
      <c r="B144" s="308"/>
      <c r="C144" s="309"/>
      <c r="D144" s="311"/>
      <c r="E144" s="232">
        <f>_xlfn.XLOOKUP(Table326[[#This Row],[Item]],Table13[Decription],Table13[Unit])</f>
        <v>0</v>
      </c>
      <c r="F144" s="176"/>
      <c r="G144" s="232">
        <f>_xlfn.XLOOKUP(Table326[[#This Row],[Item]],Table13[Decription],Table13[Unit Cost])</f>
        <v>0</v>
      </c>
      <c r="H144" s="352">
        <f>Table326[[#This Row],[Unit Cost]]*Table326[[#This Row],[Quantity Issued]]</f>
        <v>0</v>
      </c>
      <c r="I144" s="356">
        <f>_xlfn.XLOOKUP(Table326[[#This Row],[Item]],Table13[Decription],Table13[April 2025 - Balance Qty])</f>
        <v>0</v>
      </c>
      <c r="J144" s="369">
        <f>_xlfn.XLOOKUP(Table326[[#This Row],[Item]],Table13[Decription],Table13[Article])</f>
        <v>0</v>
      </c>
    </row>
    <row r="145" spans="1:10" ht="10.5" customHeight="1">
      <c r="A145" s="307"/>
      <c r="B145" s="308"/>
      <c r="C145" s="309"/>
      <c r="D145" s="311"/>
      <c r="E145" s="232">
        <f>_xlfn.XLOOKUP(Table326[[#This Row],[Item]],Table13[Decription],Table13[Unit])</f>
        <v>0</v>
      </c>
      <c r="F145" s="176"/>
      <c r="G145" s="232">
        <f>_xlfn.XLOOKUP(Table326[[#This Row],[Item]],Table13[Decription],Table13[Unit Cost])</f>
        <v>0</v>
      </c>
      <c r="H145" s="352">
        <f>Table326[[#This Row],[Unit Cost]]*Table326[[#This Row],[Quantity Issued]]</f>
        <v>0</v>
      </c>
      <c r="I145" s="356">
        <f>_xlfn.XLOOKUP(Table326[[#This Row],[Item]],Table13[Decription],Table13[April 2025 - Balance Qty])</f>
        <v>0</v>
      </c>
      <c r="J145" s="369">
        <f>_xlfn.XLOOKUP(Table326[[#This Row],[Item]],Table13[Decription],Table13[Article])</f>
        <v>0</v>
      </c>
    </row>
    <row r="146" spans="1:10" ht="10.5" customHeight="1">
      <c r="A146" s="307"/>
      <c r="B146" s="308"/>
      <c r="C146" s="309"/>
      <c r="D146" s="311"/>
      <c r="E146" s="232">
        <f>_xlfn.XLOOKUP(Table326[[#This Row],[Item]],Table13[Decription],Table13[Unit])</f>
        <v>0</v>
      </c>
      <c r="F146" s="176"/>
      <c r="G146" s="232">
        <f>_xlfn.XLOOKUP(Table326[[#This Row],[Item]],Table13[Decription],Table13[Unit Cost])</f>
        <v>0</v>
      </c>
      <c r="H146" s="352">
        <f>Table326[[#This Row],[Unit Cost]]*Table326[[#This Row],[Quantity Issued]]</f>
        <v>0</v>
      </c>
      <c r="I146" s="356">
        <f>_xlfn.XLOOKUP(Table326[[#This Row],[Item]],Table13[Decription],Table13[April 2025 - Balance Qty])</f>
        <v>0</v>
      </c>
      <c r="J146" s="369">
        <f>_xlfn.XLOOKUP(Table326[[#This Row],[Item]],Table13[Decription],Table13[Article])</f>
        <v>0</v>
      </c>
    </row>
    <row r="147" spans="1:10" ht="10.5" customHeight="1">
      <c r="A147" s="307"/>
      <c r="B147" s="308"/>
      <c r="C147" s="309"/>
      <c r="D147" s="311"/>
      <c r="E147" s="232">
        <f>_xlfn.XLOOKUP(Table326[[#This Row],[Item]],Table13[Decription],Table13[Unit])</f>
        <v>0</v>
      </c>
      <c r="F147" s="176"/>
      <c r="G147" s="232">
        <f>_xlfn.XLOOKUP(Table326[[#This Row],[Item]],Table13[Decription],Table13[Unit Cost])</f>
        <v>0</v>
      </c>
      <c r="H147" s="352">
        <f>Table326[[#This Row],[Unit Cost]]*Table326[[#This Row],[Quantity Issued]]</f>
        <v>0</v>
      </c>
      <c r="I147" s="356">
        <f>_xlfn.XLOOKUP(Table326[[#This Row],[Item]],Table13[Decription],Table13[April 2025 - Balance Qty])</f>
        <v>0</v>
      </c>
      <c r="J147" s="369">
        <f>_xlfn.XLOOKUP(Table326[[#This Row],[Item]],Table13[Decription],Table13[Article])</f>
        <v>0</v>
      </c>
    </row>
    <row r="148" spans="1:10" ht="10.5" customHeight="1">
      <c r="A148" s="307"/>
      <c r="B148" s="308"/>
      <c r="C148" s="309"/>
      <c r="D148" s="311"/>
      <c r="E148" s="232">
        <f>_xlfn.XLOOKUP(Table326[[#This Row],[Item]],Table13[Decription],Table13[Unit])</f>
        <v>0</v>
      </c>
      <c r="F148" s="176"/>
      <c r="G148" s="232">
        <f>_xlfn.XLOOKUP(Table326[[#This Row],[Item]],Table13[Decription],Table13[Unit Cost])</f>
        <v>0</v>
      </c>
      <c r="H148" s="352">
        <f>Table326[[#This Row],[Unit Cost]]*Table326[[#This Row],[Quantity Issued]]</f>
        <v>0</v>
      </c>
      <c r="I148" s="356">
        <f>_xlfn.XLOOKUP(Table326[[#This Row],[Item]],Table13[Decription],Table13[April 2025 - Balance Qty])</f>
        <v>0</v>
      </c>
      <c r="J148" s="369">
        <f>_xlfn.XLOOKUP(Table326[[#This Row],[Item]],Table13[Decription],Table13[Article])</f>
        <v>0</v>
      </c>
    </row>
    <row r="149" spans="1:10" ht="10.5" customHeight="1">
      <c r="A149" s="307"/>
      <c r="B149" s="308"/>
      <c r="C149" s="309"/>
      <c r="D149" s="311"/>
      <c r="E149" s="232">
        <f>_xlfn.XLOOKUP(Table326[[#This Row],[Item]],Table13[Decription],Table13[Unit])</f>
        <v>0</v>
      </c>
      <c r="F149" s="176"/>
      <c r="G149" s="232">
        <f>_xlfn.XLOOKUP(Table326[[#This Row],[Item]],Table13[Decription],Table13[Unit Cost])</f>
        <v>0</v>
      </c>
      <c r="H149" s="352">
        <f>Table326[[#This Row],[Unit Cost]]*Table326[[#This Row],[Quantity Issued]]</f>
        <v>0</v>
      </c>
      <c r="I149" s="356">
        <f>_xlfn.XLOOKUP(Table326[[#This Row],[Item]],Table13[Decription],Table13[April 2025 - Balance Qty])</f>
        <v>0</v>
      </c>
      <c r="J149" s="369">
        <f>_xlfn.XLOOKUP(Table326[[#This Row],[Item]],Table13[Decription],Table13[Article])</f>
        <v>0</v>
      </c>
    </row>
    <row r="150" spans="1:10" ht="10.5" customHeight="1">
      <c r="A150" s="307"/>
      <c r="B150" s="308"/>
      <c r="C150" s="309"/>
      <c r="D150" s="311"/>
      <c r="E150" s="232">
        <f>_xlfn.XLOOKUP(Table326[[#This Row],[Item]],Table13[Decription],Table13[Unit])</f>
        <v>0</v>
      </c>
      <c r="F150" s="176"/>
      <c r="G150" s="232">
        <f>_xlfn.XLOOKUP(Table326[[#This Row],[Item]],Table13[Decription],Table13[Unit Cost])</f>
        <v>0</v>
      </c>
      <c r="H150" s="352">
        <f>Table326[[#This Row],[Unit Cost]]*Table326[[#This Row],[Quantity Issued]]</f>
        <v>0</v>
      </c>
      <c r="I150" s="356">
        <f>_xlfn.XLOOKUP(Table326[[#This Row],[Item]],Table13[Decription],Table13[April 2025 - Balance Qty])</f>
        <v>0</v>
      </c>
      <c r="J150" s="369">
        <f>_xlfn.XLOOKUP(Table326[[#This Row],[Item]],Table13[Decription],Table13[Article])</f>
        <v>0</v>
      </c>
    </row>
    <row r="151" spans="1:10" ht="10.5" customHeight="1">
      <c r="A151" s="307"/>
      <c r="B151" s="308"/>
      <c r="C151" s="309"/>
      <c r="D151" s="311"/>
      <c r="E151" s="232">
        <f>_xlfn.XLOOKUP(Table326[[#This Row],[Item]],Table13[Decription],Table13[Unit])</f>
        <v>0</v>
      </c>
      <c r="F151" s="176"/>
      <c r="G151" s="232">
        <f>_xlfn.XLOOKUP(Table326[[#This Row],[Item]],Table13[Decription],Table13[Unit Cost])</f>
        <v>0</v>
      </c>
      <c r="H151" s="352">
        <f>Table326[[#This Row],[Unit Cost]]*Table326[[#This Row],[Quantity Issued]]</f>
        <v>0</v>
      </c>
      <c r="I151" s="356">
        <f>_xlfn.XLOOKUP(Table326[[#This Row],[Item]],Table13[Decription],Table13[April 2025 - Balance Qty])</f>
        <v>0</v>
      </c>
      <c r="J151" s="369">
        <f>_xlfn.XLOOKUP(Table326[[#This Row],[Item]],Table13[Decription],Table13[Article])</f>
        <v>0</v>
      </c>
    </row>
    <row r="152" spans="1:10" ht="10.5" customHeight="1">
      <c r="A152" s="307"/>
      <c r="B152" s="308"/>
      <c r="C152" s="309"/>
      <c r="D152" s="311"/>
      <c r="E152" s="232">
        <f>_xlfn.XLOOKUP(Table326[[#This Row],[Item]],Table13[Decription],Table13[Unit])</f>
        <v>0</v>
      </c>
      <c r="F152" s="176"/>
      <c r="G152" s="232">
        <f>_xlfn.XLOOKUP(Table326[[#This Row],[Item]],Table13[Decription],Table13[Unit Cost])</f>
        <v>0</v>
      </c>
      <c r="H152" s="352">
        <f>Table326[[#This Row],[Unit Cost]]*Table326[[#This Row],[Quantity Issued]]</f>
        <v>0</v>
      </c>
      <c r="I152" s="356">
        <f>_xlfn.XLOOKUP(Table326[[#This Row],[Item]],Table13[Decription],Table13[April 2025 - Balance Qty])</f>
        <v>0</v>
      </c>
      <c r="J152" s="369">
        <f>_xlfn.XLOOKUP(Table326[[#This Row],[Item]],Table13[Decription],Table13[Article])</f>
        <v>0</v>
      </c>
    </row>
    <row r="153" spans="1:10" ht="10.5" customHeight="1">
      <c r="A153" s="307"/>
      <c r="B153" s="308"/>
      <c r="C153" s="309"/>
      <c r="D153" s="311"/>
      <c r="E153" s="232">
        <f>_xlfn.XLOOKUP(Table326[[#This Row],[Item]],Table13[Decription],Table13[Unit])</f>
        <v>0</v>
      </c>
      <c r="F153" s="176"/>
      <c r="G153" s="232">
        <f>_xlfn.XLOOKUP(Table326[[#This Row],[Item]],Table13[Decription],Table13[Unit Cost])</f>
        <v>0</v>
      </c>
      <c r="H153" s="352">
        <f>Table326[[#This Row],[Unit Cost]]*Table326[[#This Row],[Quantity Issued]]</f>
        <v>0</v>
      </c>
      <c r="I153" s="356">
        <f>_xlfn.XLOOKUP(Table326[[#This Row],[Item]],Table13[Decription],Table13[April 2025 - Balance Qty])</f>
        <v>0</v>
      </c>
      <c r="J153" s="369">
        <f>_xlfn.XLOOKUP(Table326[[#This Row],[Item]],Table13[Decription],Table13[Article])</f>
        <v>0</v>
      </c>
    </row>
    <row r="154" spans="1:10" ht="10.5" customHeight="1">
      <c r="A154" s="307"/>
      <c r="B154" s="308"/>
      <c r="C154" s="309"/>
      <c r="D154" s="311"/>
      <c r="E154" s="232">
        <f>_xlfn.XLOOKUP(Table326[[#This Row],[Item]],Table13[Decription],Table13[Unit])</f>
        <v>0</v>
      </c>
      <c r="F154" s="176"/>
      <c r="G154" s="232">
        <f>_xlfn.XLOOKUP(Table326[[#This Row],[Item]],Table13[Decription],Table13[Unit Cost])</f>
        <v>0</v>
      </c>
      <c r="H154" s="352">
        <f>Table326[[#This Row],[Unit Cost]]*Table326[[#This Row],[Quantity Issued]]</f>
        <v>0</v>
      </c>
      <c r="I154" s="356">
        <f>_xlfn.XLOOKUP(Table326[[#This Row],[Item]],Table13[Decription],Table13[April 2025 - Balance Qty])</f>
        <v>0</v>
      </c>
      <c r="J154" s="369">
        <f>_xlfn.XLOOKUP(Table326[[#This Row],[Item]],Table13[Decription],Table13[Article])</f>
        <v>0</v>
      </c>
    </row>
    <row r="155" spans="1:10" ht="10.5" customHeight="1">
      <c r="A155" s="307"/>
      <c r="B155" s="308"/>
      <c r="C155" s="309"/>
      <c r="D155" s="311"/>
      <c r="E155" s="232">
        <f>_xlfn.XLOOKUP(Table326[[#This Row],[Item]],Table13[Decription],Table13[Unit])</f>
        <v>0</v>
      </c>
      <c r="F155" s="176"/>
      <c r="G155" s="232">
        <f>_xlfn.XLOOKUP(Table326[[#This Row],[Item]],Table13[Decription],Table13[Unit Cost])</f>
        <v>0</v>
      </c>
      <c r="H155" s="352">
        <f>Table326[[#This Row],[Unit Cost]]*Table326[[#This Row],[Quantity Issued]]</f>
        <v>0</v>
      </c>
      <c r="I155" s="356">
        <f>_xlfn.XLOOKUP(Table326[[#This Row],[Item]],Table13[Decription],Table13[April 2025 - Balance Qty])</f>
        <v>0</v>
      </c>
      <c r="J155" s="369">
        <f>_xlfn.XLOOKUP(Table326[[#This Row],[Item]],Table13[Decription],Table13[Article])</f>
        <v>0</v>
      </c>
    </row>
    <row r="156" spans="1:10" ht="10.5" customHeight="1">
      <c r="A156" s="307"/>
      <c r="B156" s="308"/>
      <c r="C156" s="309"/>
      <c r="D156" s="311"/>
      <c r="E156" s="232">
        <f>_xlfn.XLOOKUP(Table326[[#This Row],[Item]],Table13[Decription],Table13[Unit])</f>
        <v>0</v>
      </c>
      <c r="F156" s="176"/>
      <c r="G156" s="232">
        <f>_xlfn.XLOOKUP(Table326[[#This Row],[Item]],Table13[Decription],Table13[Unit Cost])</f>
        <v>0</v>
      </c>
      <c r="H156" s="352">
        <f>Table326[[#This Row],[Unit Cost]]*Table326[[#This Row],[Quantity Issued]]</f>
        <v>0</v>
      </c>
      <c r="I156" s="356">
        <f>_xlfn.XLOOKUP(Table326[[#This Row],[Item]],Table13[Decription],Table13[April 2025 - Balance Qty])</f>
        <v>0</v>
      </c>
      <c r="J156" s="369">
        <f>_xlfn.XLOOKUP(Table326[[#This Row],[Item]],Table13[Decription],Table13[Article])</f>
        <v>0</v>
      </c>
    </row>
    <row r="157" spans="1:10" ht="10.5" customHeight="1">
      <c r="A157" s="307"/>
      <c r="B157" s="308"/>
      <c r="C157" s="309"/>
      <c r="D157" s="311"/>
      <c r="E157" s="232">
        <f>_xlfn.XLOOKUP(Table326[[#This Row],[Item]],Table13[Decription],Table13[Unit])</f>
        <v>0</v>
      </c>
      <c r="F157" s="176"/>
      <c r="G157" s="232">
        <f>_xlfn.XLOOKUP(Table326[[#This Row],[Item]],Table13[Decription],Table13[Unit Cost])</f>
        <v>0</v>
      </c>
      <c r="H157" s="352">
        <f>Table326[[#This Row],[Unit Cost]]*Table326[[#This Row],[Quantity Issued]]</f>
        <v>0</v>
      </c>
      <c r="I157" s="356">
        <f>_xlfn.XLOOKUP(Table326[[#This Row],[Item]],Table13[Decription],Table13[April 2025 - Balance Qty])</f>
        <v>0</v>
      </c>
      <c r="J157" s="369">
        <f>_xlfn.XLOOKUP(Table326[[#This Row],[Item]],Table13[Decription],Table13[Article])</f>
        <v>0</v>
      </c>
    </row>
    <row r="158" spans="1:10" ht="10.5" customHeight="1">
      <c r="A158" s="307"/>
      <c r="B158" s="308"/>
      <c r="C158" s="309"/>
      <c r="D158" s="311"/>
      <c r="E158" s="232">
        <f>_xlfn.XLOOKUP(Table326[[#This Row],[Item]],Table13[Decription],Table13[Unit])</f>
        <v>0</v>
      </c>
      <c r="F158" s="176"/>
      <c r="G158" s="232">
        <f>_xlfn.XLOOKUP(Table326[[#This Row],[Item]],Table13[Decription],Table13[Unit Cost])</f>
        <v>0</v>
      </c>
      <c r="H158" s="352">
        <f>Table326[[#This Row],[Unit Cost]]*Table326[[#This Row],[Quantity Issued]]</f>
        <v>0</v>
      </c>
      <c r="I158" s="356">
        <f>_xlfn.XLOOKUP(Table326[[#This Row],[Item]],Table13[Decription],Table13[April 2025 - Balance Qty])</f>
        <v>0</v>
      </c>
      <c r="J158" s="369">
        <f>_xlfn.XLOOKUP(Table326[[#This Row],[Item]],Table13[Decription],Table13[Article])</f>
        <v>0</v>
      </c>
    </row>
    <row r="159" spans="1:10" ht="10.5" customHeight="1">
      <c r="A159" s="307"/>
      <c r="B159" s="308"/>
      <c r="C159" s="309"/>
      <c r="D159" s="313"/>
      <c r="E159" s="232">
        <f>_xlfn.XLOOKUP(Table326[[#This Row],[Item]],Table13[Decription],Table13[Unit])</f>
        <v>0</v>
      </c>
      <c r="F159" s="176"/>
      <c r="G159" s="232">
        <f>_xlfn.XLOOKUP(Table326[[#This Row],[Item]],Table13[Decription],Table13[Unit Cost])</f>
        <v>0</v>
      </c>
      <c r="H159" s="352">
        <f>Table326[[#This Row],[Unit Cost]]*Table326[[#This Row],[Quantity Issued]]</f>
        <v>0</v>
      </c>
      <c r="I159" s="356">
        <f>_xlfn.XLOOKUP(Table326[[#This Row],[Item]],Table13[Decription],Table13[April 2025 - Balance Qty])</f>
        <v>0</v>
      </c>
      <c r="J159" s="369">
        <f>_xlfn.XLOOKUP(Table326[[#This Row],[Item]],Table13[Decription],Table13[Article])</f>
        <v>0</v>
      </c>
    </row>
    <row r="160" spans="1:10" ht="10.5" customHeight="1">
      <c r="A160" s="307"/>
      <c r="B160" s="308"/>
      <c r="C160" s="309"/>
      <c r="D160" s="316"/>
      <c r="E160" s="232">
        <f>_xlfn.XLOOKUP(Table326[[#This Row],[Item]],Table13[Decription],Table13[Unit])</f>
        <v>0</v>
      </c>
      <c r="F160" s="176"/>
      <c r="G160" s="232">
        <f>_xlfn.XLOOKUP(Table326[[#This Row],[Item]],Table13[Decription],Table13[Unit Cost])</f>
        <v>0</v>
      </c>
      <c r="H160" s="352">
        <f>Table326[[#This Row],[Unit Cost]]*Table326[[#This Row],[Quantity Issued]]</f>
        <v>0</v>
      </c>
      <c r="I160" s="356">
        <f>_xlfn.XLOOKUP(Table326[[#This Row],[Item]],Table13[Decription],Table13[April 2025 - Balance Qty])</f>
        <v>0</v>
      </c>
      <c r="J160" s="369">
        <f>_xlfn.XLOOKUP(Table326[[#This Row],[Item]],Table13[Decription],Table13[Article])</f>
        <v>0</v>
      </c>
    </row>
    <row r="161" spans="1:10" ht="10.5" customHeight="1">
      <c r="A161" s="307"/>
      <c r="B161" s="308"/>
      <c r="C161" s="309"/>
      <c r="D161" s="311"/>
      <c r="E161" s="232">
        <f>_xlfn.XLOOKUP(Table326[[#This Row],[Item]],Table13[Decription],Table13[Unit])</f>
        <v>0</v>
      </c>
      <c r="F161" s="176"/>
      <c r="G161" s="232">
        <f>_xlfn.XLOOKUP(Table326[[#This Row],[Item]],Table13[Decription],Table13[Unit Cost])</f>
        <v>0</v>
      </c>
      <c r="H161" s="352">
        <f>Table326[[#This Row],[Unit Cost]]*Table326[[#This Row],[Quantity Issued]]</f>
        <v>0</v>
      </c>
      <c r="I161" s="356">
        <f>_xlfn.XLOOKUP(Table326[[#This Row],[Item]],Table13[Decription],Table13[April 2025 - Balance Qty])</f>
        <v>0</v>
      </c>
      <c r="J161" s="369">
        <f>_xlfn.XLOOKUP(Table326[[#This Row],[Item]],Table13[Decription],Table13[Article])</f>
        <v>0</v>
      </c>
    </row>
    <row r="162" spans="1:10" ht="10.5" customHeight="1">
      <c r="A162" s="307"/>
      <c r="B162" s="308"/>
      <c r="C162" s="309"/>
      <c r="D162" s="311"/>
      <c r="E162" s="232">
        <f>_xlfn.XLOOKUP(Table326[[#This Row],[Item]],Table13[Decription],Table13[Unit])</f>
        <v>0</v>
      </c>
      <c r="F162" s="176"/>
      <c r="G162" s="232">
        <f>_xlfn.XLOOKUP(Table326[[#This Row],[Item]],Table13[Decription],Table13[Unit Cost])</f>
        <v>0</v>
      </c>
      <c r="H162" s="352">
        <f>Table326[[#This Row],[Unit Cost]]*Table326[[#This Row],[Quantity Issued]]</f>
        <v>0</v>
      </c>
      <c r="I162" s="356">
        <f>_xlfn.XLOOKUP(Table326[[#This Row],[Item]],Table13[Decription],Table13[April 2025 - Balance Qty])</f>
        <v>0</v>
      </c>
      <c r="J162" s="369">
        <f>_xlfn.XLOOKUP(Table326[[#This Row],[Item]],Table13[Decription],Table13[Article])</f>
        <v>0</v>
      </c>
    </row>
    <row r="163" spans="1:10" ht="10.5" customHeight="1">
      <c r="A163" s="307"/>
      <c r="B163" s="308"/>
      <c r="C163" s="309"/>
      <c r="D163" s="311"/>
      <c r="E163" s="232">
        <f>_xlfn.XLOOKUP(Table326[[#This Row],[Item]],Table13[Decription],Table13[Unit])</f>
        <v>0</v>
      </c>
      <c r="F163" s="176"/>
      <c r="G163" s="232">
        <f>_xlfn.XLOOKUP(Table326[[#This Row],[Item]],Table13[Decription],Table13[Unit Cost])</f>
        <v>0</v>
      </c>
      <c r="H163" s="352">
        <f>Table326[[#This Row],[Unit Cost]]*Table326[[#This Row],[Quantity Issued]]</f>
        <v>0</v>
      </c>
      <c r="I163" s="356">
        <f>_xlfn.XLOOKUP(Table326[[#This Row],[Item]],Table13[Decription],Table13[April 2025 - Balance Qty])</f>
        <v>0</v>
      </c>
      <c r="J163" s="369">
        <f>_xlfn.XLOOKUP(Table326[[#This Row],[Item]],Table13[Decription],Table13[Article])</f>
        <v>0</v>
      </c>
    </row>
    <row r="164" spans="1:10" ht="10.5" customHeight="1">
      <c r="A164" s="307"/>
      <c r="B164" s="308"/>
      <c r="C164" s="309"/>
      <c r="D164" s="311"/>
      <c r="E164" s="232">
        <f>_xlfn.XLOOKUP(Table326[[#This Row],[Item]],Table13[Decription],Table13[Unit])</f>
        <v>0</v>
      </c>
      <c r="F164" s="176"/>
      <c r="G164" s="232">
        <f>_xlfn.XLOOKUP(Table326[[#This Row],[Item]],Table13[Decription],Table13[Unit Cost])</f>
        <v>0</v>
      </c>
      <c r="H164" s="352">
        <f>Table326[[#This Row],[Unit Cost]]*Table326[[#This Row],[Quantity Issued]]</f>
        <v>0</v>
      </c>
      <c r="I164" s="356">
        <f>_xlfn.XLOOKUP(Table326[[#This Row],[Item]],Table13[Decription],Table13[April 2025 - Balance Qty])</f>
        <v>0</v>
      </c>
      <c r="J164" s="369">
        <f>_xlfn.XLOOKUP(Table326[[#This Row],[Item]],Table13[Decription],Table13[Article])</f>
        <v>0</v>
      </c>
    </row>
    <row r="165" spans="1:10" ht="10.5" customHeight="1">
      <c r="A165" s="307"/>
      <c r="B165" s="308"/>
      <c r="C165" s="309"/>
      <c r="D165" s="311"/>
      <c r="E165" s="232">
        <f>_xlfn.XLOOKUP(Table326[[#This Row],[Item]],Table13[Decription],Table13[Unit])</f>
        <v>0</v>
      </c>
      <c r="F165" s="176"/>
      <c r="G165" s="232">
        <f>_xlfn.XLOOKUP(Table326[[#This Row],[Item]],Table13[Decription],Table13[Unit Cost])</f>
        <v>0</v>
      </c>
      <c r="H165" s="352">
        <f>Table326[[#This Row],[Unit Cost]]*Table326[[#This Row],[Quantity Issued]]</f>
        <v>0</v>
      </c>
      <c r="I165" s="356">
        <f>_xlfn.XLOOKUP(Table326[[#This Row],[Item]],Table13[Decription],Table13[April 2025 - Balance Qty])</f>
        <v>0</v>
      </c>
      <c r="J165" s="369">
        <f>_xlfn.XLOOKUP(Table326[[#This Row],[Item]],Table13[Decription],Table13[Article])</f>
        <v>0</v>
      </c>
    </row>
    <row r="166" spans="1:10" ht="10.5" customHeight="1">
      <c r="A166" s="307"/>
      <c r="B166" s="308"/>
      <c r="C166" s="309"/>
      <c r="D166" s="311"/>
      <c r="E166" s="232">
        <f>_xlfn.XLOOKUP(Table326[[#This Row],[Item]],Table13[Decription],Table13[Unit])</f>
        <v>0</v>
      </c>
      <c r="F166" s="176"/>
      <c r="G166" s="232">
        <f>_xlfn.XLOOKUP(Table326[[#This Row],[Item]],Table13[Decription],Table13[Unit Cost])</f>
        <v>0</v>
      </c>
      <c r="H166" s="352">
        <f>Table326[[#This Row],[Unit Cost]]*Table326[[#This Row],[Quantity Issued]]</f>
        <v>0</v>
      </c>
      <c r="I166" s="356">
        <f>_xlfn.XLOOKUP(Table326[[#This Row],[Item]],Table13[Decription],Table13[April 2025 - Balance Qty])</f>
        <v>0</v>
      </c>
      <c r="J166" s="369">
        <f>_xlfn.XLOOKUP(Table326[[#This Row],[Item]],Table13[Decription],Table13[Article])</f>
        <v>0</v>
      </c>
    </row>
    <row r="167" spans="1:10" ht="10.5" customHeight="1">
      <c r="A167" s="307"/>
      <c r="B167" s="308"/>
      <c r="C167" s="309"/>
      <c r="D167" s="311"/>
      <c r="E167" s="232">
        <f>_xlfn.XLOOKUP(Table326[[#This Row],[Item]],Table13[Decription],Table13[Unit])</f>
        <v>0</v>
      </c>
      <c r="F167" s="176"/>
      <c r="G167" s="232">
        <f>_xlfn.XLOOKUP(Table326[[#This Row],[Item]],Table13[Decription],Table13[Unit Cost])</f>
        <v>0</v>
      </c>
      <c r="H167" s="352">
        <f>Table326[[#This Row],[Unit Cost]]*Table326[[#This Row],[Quantity Issued]]</f>
        <v>0</v>
      </c>
      <c r="I167" s="356">
        <f>_xlfn.XLOOKUP(Table326[[#This Row],[Item]],Table13[Decription],Table13[April 2025 - Balance Qty])</f>
        <v>0</v>
      </c>
      <c r="J167" s="369">
        <f>_xlfn.XLOOKUP(Table326[[#This Row],[Item]],Table13[Decription],Table13[Article])</f>
        <v>0</v>
      </c>
    </row>
    <row r="168" spans="1:10" ht="10.5" customHeight="1">
      <c r="A168" s="307"/>
      <c r="B168" s="308"/>
      <c r="C168" s="309"/>
      <c r="D168" s="311"/>
      <c r="E168" s="232">
        <f>_xlfn.XLOOKUP(Table326[[#This Row],[Item]],Table13[Decription],Table13[Unit])</f>
        <v>0</v>
      </c>
      <c r="F168" s="176"/>
      <c r="G168" s="232">
        <f>_xlfn.XLOOKUP(Table326[[#This Row],[Item]],Table13[Decription],Table13[Unit Cost])</f>
        <v>0</v>
      </c>
      <c r="H168" s="352">
        <f>Table326[[#This Row],[Unit Cost]]*Table326[[#This Row],[Quantity Issued]]</f>
        <v>0</v>
      </c>
      <c r="I168" s="356">
        <f>_xlfn.XLOOKUP(Table326[[#This Row],[Item]],Table13[Decription],Table13[April 2025 - Balance Qty])</f>
        <v>0</v>
      </c>
      <c r="J168" s="373">
        <f>_xlfn.XLOOKUP(Table326[[#This Row],[Item]],Table13[Decription],Table13[Article])</f>
        <v>0</v>
      </c>
    </row>
    <row r="169" spans="1:10" ht="10.5" customHeight="1">
      <c r="A169" s="307"/>
      <c r="B169" s="308"/>
      <c r="C169" s="309"/>
      <c r="D169" s="311"/>
      <c r="E169" s="232">
        <f>_xlfn.XLOOKUP(Table326[[#This Row],[Item]],Table13[Decription],Table13[Unit])</f>
        <v>0</v>
      </c>
      <c r="F169" s="176"/>
      <c r="G169" s="232">
        <f>_xlfn.XLOOKUP(Table326[[#This Row],[Item]],Table13[Decription],Table13[Unit Cost])</f>
        <v>0</v>
      </c>
      <c r="H169" s="352">
        <f>Table326[[#This Row],[Unit Cost]]*Table326[[#This Row],[Quantity Issued]]</f>
        <v>0</v>
      </c>
      <c r="I169" s="356">
        <f>_xlfn.XLOOKUP(Table326[[#This Row],[Item]],Table13[Decription],Table13[April 2025 - Balance Qty])</f>
        <v>0</v>
      </c>
      <c r="J169" s="373">
        <f>_xlfn.XLOOKUP(Table326[[#This Row],[Item]],Table13[Decription],Table13[Article])</f>
        <v>0</v>
      </c>
    </row>
    <row r="170" spans="1:10" ht="10.5" customHeight="1">
      <c r="A170" s="307"/>
      <c r="B170" s="308"/>
      <c r="C170" s="309"/>
      <c r="D170" s="311"/>
      <c r="E170" s="232">
        <f>_xlfn.XLOOKUP(Table326[[#This Row],[Item]],Table13[Decription],Table13[Unit])</f>
        <v>0</v>
      </c>
      <c r="F170" s="176"/>
      <c r="G170" s="232">
        <f>_xlfn.XLOOKUP(Table326[[#This Row],[Item]],Table13[Decription],Table13[Unit Cost])</f>
        <v>0</v>
      </c>
      <c r="H170" s="352">
        <f>Table326[[#This Row],[Unit Cost]]*Table326[[#This Row],[Quantity Issued]]</f>
        <v>0</v>
      </c>
      <c r="I170" s="356">
        <f>_xlfn.XLOOKUP(Table326[[#This Row],[Item]],Table13[Decription],Table13[April 2025 - Balance Qty])</f>
        <v>0</v>
      </c>
      <c r="J170" s="373">
        <f>_xlfn.XLOOKUP(Table326[[#This Row],[Item]],Table13[Decription],Table13[Article])</f>
        <v>0</v>
      </c>
    </row>
    <row r="171" spans="1:10" ht="10.5" customHeight="1">
      <c r="A171" s="307"/>
      <c r="B171" s="308"/>
      <c r="C171" s="309"/>
      <c r="D171" s="311"/>
      <c r="E171" s="232">
        <f>_xlfn.XLOOKUP(Table326[[#This Row],[Item]],Table13[Decription],Table13[Unit])</f>
        <v>0</v>
      </c>
      <c r="F171" s="176"/>
      <c r="G171" s="232">
        <f>_xlfn.XLOOKUP(Table326[[#This Row],[Item]],Table13[Decription],Table13[Unit Cost])</f>
        <v>0</v>
      </c>
      <c r="H171" s="352">
        <f>Table326[[#This Row],[Unit Cost]]*Table326[[#This Row],[Quantity Issued]]</f>
        <v>0</v>
      </c>
      <c r="I171" s="356">
        <f>_xlfn.XLOOKUP(Table326[[#This Row],[Item]],Table13[Decription],Table13[April 2025 - Balance Qty])</f>
        <v>0</v>
      </c>
      <c r="J171" s="373">
        <f>_xlfn.XLOOKUP(Table326[[#This Row],[Item]],Table13[Decription],Table13[Article])</f>
        <v>0</v>
      </c>
    </row>
    <row r="172" spans="1:10" ht="10.5" customHeight="1">
      <c r="A172" s="307"/>
      <c r="B172" s="308"/>
      <c r="C172" s="309"/>
      <c r="D172" s="311"/>
      <c r="E172" s="232">
        <f>_xlfn.XLOOKUP(Table326[[#This Row],[Item]],Table13[Decription],Table13[Unit])</f>
        <v>0</v>
      </c>
      <c r="F172" s="176"/>
      <c r="G172" s="232">
        <f>_xlfn.XLOOKUP(Table326[[#This Row],[Item]],Table13[Decription],Table13[Unit Cost])</f>
        <v>0</v>
      </c>
      <c r="H172" s="352">
        <f>Table326[[#This Row],[Unit Cost]]*Table326[[#This Row],[Quantity Issued]]</f>
        <v>0</v>
      </c>
      <c r="I172" s="356">
        <f>_xlfn.XLOOKUP(Table326[[#This Row],[Item]],Table13[Decription],Table13[April 2025 - Balance Qty])</f>
        <v>0</v>
      </c>
      <c r="J172" s="373">
        <f>_xlfn.XLOOKUP(Table326[[#This Row],[Item]],Table13[Decription],Table13[Article])</f>
        <v>0</v>
      </c>
    </row>
    <row r="173" spans="1:10" ht="10.5" customHeight="1">
      <c r="A173" s="307"/>
      <c r="B173" s="308"/>
      <c r="C173" s="309"/>
      <c r="D173" s="311"/>
      <c r="E173" s="232">
        <f>_xlfn.XLOOKUP(Table326[[#This Row],[Item]],Table13[Decription],Table13[Unit])</f>
        <v>0</v>
      </c>
      <c r="F173" s="176"/>
      <c r="G173" s="232">
        <f>_xlfn.XLOOKUP(Table326[[#This Row],[Item]],Table13[Decription],Table13[Unit Cost])</f>
        <v>0</v>
      </c>
      <c r="H173" s="352">
        <f>Table326[[#This Row],[Unit Cost]]*Table326[[#This Row],[Quantity Issued]]</f>
        <v>0</v>
      </c>
      <c r="I173" s="356">
        <f>_xlfn.XLOOKUP(Table326[[#This Row],[Item]],Table13[Decription],Table13[April 2025 - Balance Qty])</f>
        <v>0</v>
      </c>
      <c r="J173" s="373">
        <f>_xlfn.XLOOKUP(Table326[[#This Row],[Item]],Table13[Decription],Table13[Article])</f>
        <v>0</v>
      </c>
    </row>
    <row r="174" spans="1:10" ht="10.5" customHeight="1">
      <c r="A174" s="307"/>
      <c r="B174" s="308"/>
      <c r="C174" s="309"/>
      <c r="D174" s="311"/>
      <c r="E174" s="232">
        <f>_xlfn.XLOOKUP(Table326[[#This Row],[Item]],Table13[Decription],Table13[Unit])</f>
        <v>0</v>
      </c>
      <c r="F174" s="176"/>
      <c r="G174" s="232">
        <f>_xlfn.XLOOKUP(Table326[[#This Row],[Item]],Table13[Decription],Table13[Unit Cost])</f>
        <v>0</v>
      </c>
      <c r="H174" s="352">
        <f>Table326[[#This Row],[Unit Cost]]*Table326[[#This Row],[Quantity Issued]]</f>
        <v>0</v>
      </c>
      <c r="I174" s="356">
        <f>_xlfn.XLOOKUP(Table326[[#This Row],[Item]],Table13[Decription],Table13[April 2025 - Balance Qty])</f>
        <v>0</v>
      </c>
      <c r="J174" s="369">
        <f>_xlfn.XLOOKUP(Table326[[#This Row],[Item]],Table13[Decription],Table13[Article])</f>
        <v>0</v>
      </c>
    </row>
    <row r="175" spans="1:10" ht="10.5" customHeight="1">
      <c r="A175" s="307"/>
      <c r="B175" s="308"/>
      <c r="C175" s="309"/>
      <c r="D175" s="311"/>
      <c r="E175" s="232">
        <f>_xlfn.XLOOKUP(Table326[[#This Row],[Item]],Table13[Decription],Table13[Unit])</f>
        <v>0</v>
      </c>
      <c r="F175" s="176"/>
      <c r="G175" s="232">
        <f>_xlfn.XLOOKUP(Table326[[#This Row],[Item]],Table13[Decription],Table13[Unit Cost])</f>
        <v>0</v>
      </c>
      <c r="H175" s="352">
        <f>Table326[[#This Row],[Unit Cost]]*Table326[[#This Row],[Quantity Issued]]</f>
        <v>0</v>
      </c>
      <c r="I175" s="356">
        <f>_xlfn.XLOOKUP(Table326[[#This Row],[Item]],Table13[Decription],Table13[April 2025 - Balance Qty])</f>
        <v>0</v>
      </c>
      <c r="J175" s="369">
        <f>_xlfn.XLOOKUP(Table326[[#This Row],[Item]],Table13[Decription],Table13[Article])</f>
        <v>0</v>
      </c>
    </row>
    <row r="176" spans="1:10" ht="10.5" customHeight="1">
      <c r="A176" s="307"/>
      <c r="B176" s="308"/>
      <c r="C176" s="309"/>
      <c r="D176" s="311"/>
      <c r="E176" s="232">
        <f>_xlfn.XLOOKUP(Table326[[#This Row],[Item]],Table13[Decription],Table13[Unit])</f>
        <v>0</v>
      </c>
      <c r="F176" s="176"/>
      <c r="G176" s="232">
        <f>_xlfn.XLOOKUP(Table326[[#This Row],[Item]],Table13[Decription],Table13[Unit Cost])</f>
        <v>0</v>
      </c>
      <c r="H176" s="352">
        <f>Table326[[#This Row],[Unit Cost]]*Table326[[#This Row],[Quantity Issued]]</f>
        <v>0</v>
      </c>
      <c r="I176" s="356">
        <f>_xlfn.XLOOKUP(Table326[[#This Row],[Item]],Table13[Decription],Table13[April 2025 - Balance Qty])</f>
        <v>0</v>
      </c>
      <c r="J176" s="369">
        <f>_xlfn.XLOOKUP(Table326[[#This Row],[Item]],Table13[Decription],Table13[Article])</f>
        <v>0</v>
      </c>
    </row>
    <row r="177" spans="1:10" ht="10.5" customHeight="1">
      <c r="A177" s="307"/>
      <c r="B177" s="308"/>
      <c r="C177" s="309"/>
      <c r="D177" s="311"/>
      <c r="E177" s="232">
        <f>_xlfn.XLOOKUP(Table326[[#This Row],[Item]],Table13[Decription],Table13[Unit])</f>
        <v>0</v>
      </c>
      <c r="F177" s="176"/>
      <c r="G177" s="232">
        <f>_xlfn.XLOOKUP(Table326[[#This Row],[Item]],Table13[Decription],Table13[Unit Cost])</f>
        <v>0</v>
      </c>
      <c r="H177" s="352">
        <f>Table326[[#This Row],[Unit Cost]]*Table326[[#This Row],[Quantity Issued]]</f>
        <v>0</v>
      </c>
      <c r="I177" s="356">
        <f>_xlfn.XLOOKUP(Table326[[#This Row],[Item]],Table13[Decription],Table13[April 2025 - Balance Qty])</f>
        <v>0</v>
      </c>
      <c r="J177" s="369">
        <f>_xlfn.XLOOKUP(Table326[[#This Row],[Item]],Table13[Decription],Table13[Article])</f>
        <v>0</v>
      </c>
    </row>
    <row r="178" spans="1:10" ht="10.5" customHeight="1">
      <c r="A178" s="307"/>
      <c r="B178" s="308"/>
      <c r="C178" s="309"/>
      <c r="D178" s="311"/>
      <c r="E178" s="232">
        <f>_xlfn.XLOOKUP(Table326[[#This Row],[Item]],Table13[Decription],Table13[Unit])</f>
        <v>0</v>
      </c>
      <c r="F178" s="176"/>
      <c r="G178" s="232">
        <f>_xlfn.XLOOKUP(Table326[[#This Row],[Item]],Table13[Decription],Table13[Unit Cost])</f>
        <v>0</v>
      </c>
      <c r="H178" s="352">
        <f>Table326[[#This Row],[Unit Cost]]*Table326[[#This Row],[Quantity Issued]]</f>
        <v>0</v>
      </c>
      <c r="I178" s="356">
        <f>_xlfn.XLOOKUP(Table326[[#This Row],[Item]],Table13[Decription],Table13[April 2025 - Balance Qty])</f>
        <v>0</v>
      </c>
      <c r="J178" s="369">
        <f>_xlfn.XLOOKUP(Table326[[#This Row],[Item]],Table13[Decription],Table13[Article])</f>
        <v>0</v>
      </c>
    </row>
    <row r="179" spans="1:10" ht="10.5" customHeight="1">
      <c r="A179" s="307"/>
      <c r="B179" s="308"/>
      <c r="C179" s="309"/>
      <c r="D179" s="311"/>
      <c r="E179" s="232">
        <f>_xlfn.XLOOKUP(Table326[[#This Row],[Item]],Table13[Decription],Table13[Unit])</f>
        <v>0</v>
      </c>
      <c r="F179" s="176"/>
      <c r="G179" s="232">
        <f>_xlfn.XLOOKUP(Table326[[#This Row],[Item]],Table13[Decription],Table13[Unit Cost])</f>
        <v>0</v>
      </c>
      <c r="H179" s="352">
        <f>Table326[[#This Row],[Unit Cost]]*Table326[[#This Row],[Quantity Issued]]</f>
        <v>0</v>
      </c>
      <c r="I179" s="356">
        <f>_xlfn.XLOOKUP(Table326[[#This Row],[Item]],Table13[Decription],Table13[April 2025 - Balance Qty])</f>
        <v>0</v>
      </c>
      <c r="J179" s="373">
        <f>_xlfn.XLOOKUP(Table326[[#This Row],[Item]],Table13[Decription],Table13[Article])</f>
        <v>0</v>
      </c>
    </row>
    <row r="180" spans="1:10" ht="10.5" customHeight="1">
      <c r="A180" s="307"/>
      <c r="B180" s="308"/>
      <c r="C180" s="309"/>
      <c r="D180" s="311"/>
      <c r="E180" s="232">
        <f>_xlfn.XLOOKUP(Table326[[#This Row],[Item]],Table13[Decription],Table13[Unit])</f>
        <v>0</v>
      </c>
      <c r="F180" s="176"/>
      <c r="G180" s="232">
        <f>_xlfn.XLOOKUP(Table326[[#This Row],[Item]],Table13[Decription],Table13[Unit Cost])</f>
        <v>0</v>
      </c>
      <c r="H180" s="352">
        <f>Table326[[#This Row],[Unit Cost]]*Table326[[#This Row],[Quantity Issued]]</f>
        <v>0</v>
      </c>
      <c r="I180" s="356">
        <f>_xlfn.XLOOKUP(Table326[[#This Row],[Item]],Table13[Decription],Table13[April 2025 - Balance Qty])</f>
        <v>0</v>
      </c>
      <c r="J180" s="327">
        <f>_xlfn.XLOOKUP(Table326[[#This Row],[Item]],Table13[Decription],Table13[Article])</f>
        <v>0</v>
      </c>
    </row>
    <row r="181" spans="1:10" ht="10.5" customHeight="1">
      <c r="A181" s="307"/>
      <c r="B181" s="308"/>
      <c r="C181" s="309"/>
      <c r="D181" s="311"/>
      <c r="E181" s="232">
        <f>_xlfn.XLOOKUP(Table326[[#This Row],[Item]],Table13[Decription],Table13[Unit])</f>
        <v>0</v>
      </c>
      <c r="F181" s="176"/>
      <c r="G181" s="232">
        <f>_xlfn.XLOOKUP(Table326[[#This Row],[Item]],Table13[Decription],Table13[Unit Cost])</f>
        <v>0</v>
      </c>
      <c r="H181" s="352">
        <f>Table326[[#This Row],[Unit Cost]]*Table326[[#This Row],[Quantity Issued]]</f>
        <v>0</v>
      </c>
      <c r="I181" s="356">
        <f>_xlfn.XLOOKUP(Table326[[#This Row],[Item]],Table13[Decription],Table13[April 2025 - Balance Qty])</f>
        <v>0</v>
      </c>
      <c r="J181" s="373">
        <f>_xlfn.XLOOKUP(Table326[[#This Row],[Item]],Table13[Decription],Table13[Article])</f>
        <v>0</v>
      </c>
    </row>
    <row r="182" spans="1:10" ht="10.5" customHeight="1">
      <c r="A182" s="307"/>
      <c r="B182" s="308"/>
      <c r="C182" s="309"/>
      <c r="D182" s="311"/>
      <c r="E182" s="232">
        <f>_xlfn.XLOOKUP(Table326[[#This Row],[Item]],Table13[Decription],Table13[Unit])</f>
        <v>0</v>
      </c>
      <c r="F182" s="176"/>
      <c r="G182" s="232">
        <f>_xlfn.XLOOKUP(Table326[[#This Row],[Item]],Table13[Decription],Table13[Unit Cost])</f>
        <v>0</v>
      </c>
      <c r="H182" s="352">
        <f>Table326[[#This Row],[Unit Cost]]*Table326[[#This Row],[Quantity Issued]]</f>
        <v>0</v>
      </c>
      <c r="I182" s="356">
        <f>_xlfn.XLOOKUP(Table326[[#This Row],[Item]],Table13[Decription],Table13[April 2025 - Balance Qty])</f>
        <v>0</v>
      </c>
      <c r="J182" s="373">
        <f>_xlfn.XLOOKUP(Table326[[#This Row],[Item]],Table13[Decription],Table13[Article])</f>
        <v>0</v>
      </c>
    </row>
    <row r="183" spans="1:10" ht="10.5" customHeight="1">
      <c r="A183" s="307"/>
      <c r="B183" s="308"/>
      <c r="C183" s="309"/>
      <c r="D183" s="311"/>
      <c r="E183" s="232">
        <f>_xlfn.XLOOKUP(Table326[[#This Row],[Item]],Table13[Decription],Table13[Unit])</f>
        <v>0</v>
      </c>
      <c r="F183" s="176"/>
      <c r="G183" s="232">
        <f>_xlfn.XLOOKUP(Table326[[#This Row],[Item]],Table13[Decription],Table13[Unit Cost])</f>
        <v>0</v>
      </c>
      <c r="H183" s="352">
        <f>Table326[[#This Row],[Unit Cost]]*Table326[[#This Row],[Quantity Issued]]</f>
        <v>0</v>
      </c>
      <c r="I183" s="356">
        <f>_xlfn.XLOOKUP(Table326[[#This Row],[Item]],Table13[Decription],Table13[April 2025 - Balance Qty])</f>
        <v>0</v>
      </c>
      <c r="J183" s="373">
        <f>_xlfn.XLOOKUP(Table326[[#This Row],[Item]],Table13[Decription],Table13[Article])</f>
        <v>0</v>
      </c>
    </row>
    <row r="184" spans="1:10" ht="10.5" customHeight="1">
      <c r="A184" s="307"/>
      <c r="B184" s="308"/>
      <c r="C184" s="309"/>
      <c r="D184" s="311"/>
      <c r="E184" s="232">
        <f>_xlfn.XLOOKUP(Table326[[#This Row],[Item]],Table13[Decription],Table13[Unit])</f>
        <v>0</v>
      </c>
      <c r="F184" s="176"/>
      <c r="G184" s="232">
        <f>_xlfn.XLOOKUP(Table326[[#This Row],[Item]],Table13[Decription],Table13[Unit Cost])</f>
        <v>0</v>
      </c>
      <c r="H184" s="352">
        <f>Table326[[#This Row],[Unit Cost]]*Table326[[#This Row],[Quantity Issued]]</f>
        <v>0</v>
      </c>
      <c r="I184" s="356">
        <f>_xlfn.XLOOKUP(Table326[[#This Row],[Item]],Table13[Decription],Table13[April 2025 - Balance Qty])</f>
        <v>0</v>
      </c>
      <c r="J184" s="373">
        <f>_xlfn.XLOOKUP(Table326[[#This Row],[Item]],Table13[Decription],Table13[Article])</f>
        <v>0</v>
      </c>
    </row>
    <row r="185" spans="1:10" ht="10.5" customHeight="1">
      <c r="A185" s="307"/>
      <c r="B185" s="308"/>
      <c r="C185" s="309"/>
      <c r="D185" s="311"/>
      <c r="E185" s="232">
        <f>_xlfn.XLOOKUP(Table326[[#This Row],[Item]],Table13[Decription],Table13[Unit])</f>
        <v>0</v>
      </c>
      <c r="F185" s="176"/>
      <c r="G185" s="232">
        <f>_xlfn.XLOOKUP(Table326[[#This Row],[Item]],Table13[Decription],Table13[Unit Cost])</f>
        <v>0</v>
      </c>
      <c r="H185" s="352">
        <f>Table326[[#This Row],[Unit Cost]]*Table326[[#This Row],[Quantity Issued]]</f>
        <v>0</v>
      </c>
      <c r="I185" s="356">
        <f>_xlfn.XLOOKUP(Table326[[#This Row],[Item]],Table13[Decription],Table13[April 2025 - Balance Qty])</f>
        <v>0</v>
      </c>
      <c r="J185" s="373">
        <f>_xlfn.XLOOKUP(Table326[[#This Row],[Item]],Table13[Decription],Table13[Article])</f>
        <v>0</v>
      </c>
    </row>
    <row r="186" spans="1:10" ht="10.5" customHeight="1">
      <c r="A186" s="307"/>
      <c r="B186" s="308"/>
      <c r="C186" s="309"/>
      <c r="D186" s="311"/>
      <c r="E186" s="232">
        <f>_xlfn.XLOOKUP(Table326[[#This Row],[Item]],Table13[Decription],Table13[Unit])</f>
        <v>0</v>
      </c>
      <c r="F186" s="176"/>
      <c r="G186" s="232">
        <f>_xlfn.XLOOKUP(Table326[[#This Row],[Item]],Table13[Decription],Table13[Unit Cost])</f>
        <v>0</v>
      </c>
      <c r="H186" s="352">
        <f>Table326[[#This Row],[Unit Cost]]*Table326[[#This Row],[Quantity Issued]]</f>
        <v>0</v>
      </c>
      <c r="I186" s="356">
        <f>_xlfn.XLOOKUP(Table326[[#This Row],[Item]],Table13[Decription],Table13[April 2025 - Balance Qty])</f>
        <v>0</v>
      </c>
      <c r="J186" s="373">
        <f>_xlfn.XLOOKUP(Table326[[#This Row],[Item]],Table13[Decription],Table13[Article])</f>
        <v>0</v>
      </c>
    </row>
    <row r="187" spans="1:10" ht="10.5" customHeight="1">
      <c r="A187" s="307"/>
      <c r="B187" s="308"/>
      <c r="C187" s="309"/>
      <c r="D187" s="311"/>
      <c r="E187" s="232">
        <f>_xlfn.XLOOKUP(Table326[[#This Row],[Item]],Table13[Decription],Table13[Unit])</f>
        <v>0</v>
      </c>
      <c r="F187" s="176"/>
      <c r="G187" s="232">
        <f>_xlfn.XLOOKUP(Table326[[#This Row],[Item]],Table13[Decription],Table13[Unit Cost])</f>
        <v>0</v>
      </c>
      <c r="H187" s="352">
        <f>Table326[[#This Row],[Unit Cost]]*Table326[[#This Row],[Quantity Issued]]</f>
        <v>0</v>
      </c>
      <c r="I187" s="356">
        <f>_xlfn.XLOOKUP(Table326[[#This Row],[Item]],Table13[Decription],Table13[April 2025 - Balance Qty])</f>
        <v>0</v>
      </c>
      <c r="J187" s="373">
        <f>_xlfn.XLOOKUP(Table326[[#This Row],[Item]],Table13[Decription],Table13[Article])</f>
        <v>0</v>
      </c>
    </row>
    <row r="188" spans="1:10" ht="10.5" customHeight="1">
      <c r="A188" s="307"/>
      <c r="B188" s="308"/>
      <c r="C188" s="309"/>
      <c r="D188" s="311"/>
      <c r="E188" s="232">
        <f>_xlfn.XLOOKUP(Table326[[#This Row],[Item]],Table13[Decription],Table13[Unit])</f>
        <v>0</v>
      </c>
      <c r="F188" s="176"/>
      <c r="G188" s="232">
        <f>_xlfn.XLOOKUP(Table326[[#This Row],[Item]],Table13[Decription],Table13[Unit Cost])</f>
        <v>0</v>
      </c>
      <c r="H188" s="352">
        <f>Table326[[#This Row],[Unit Cost]]*Table326[[#This Row],[Quantity Issued]]</f>
        <v>0</v>
      </c>
      <c r="I188" s="356">
        <f>_xlfn.XLOOKUP(Table326[[#This Row],[Item]],Table13[Decription],Table13[April 2025 - Balance Qty])</f>
        <v>0</v>
      </c>
      <c r="J188" s="373">
        <f>_xlfn.XLOOKUP(Table326[[#This Row],[Item]],Table13[Decription],Table13[Article])</f>
        <v>0</v>
      </c>
    </row>
    <row r="189" spans="1:10" ht="10.5" customHeight="1">
      <c r="A189" s="307"/>
      <c r="B189" s="308"/>
      <c r="C189" s="309"/>
      <c r="D189" s="311"/>
      <c r="E189" s="232">
        <f>_xlfn.XLOOKUP(Table326[[#This Row],[Item]],Table13[Decription],Table13[Unit])</f>
        <v>0</v>
      </c>
      <c r="F189" s="176"/>
      <c r="G189" s="232">
        <f>_xlfn.XLOOKUP(Table326[[#This Row],[Item]],Table13[Decription],Table13[Unit Cost])</f>
        <v>0</v>
      </c>
      <c r="H189" s="352">
        <f>Table326[[#This Row],[Unit Cost]]*Table326[[#This Row],[Quantity Issued]]</f>
        <v>0</v>
      </c>
      <c r="I189" s="356">
        <f>_xlfn.XLOOKUP(Table326[[#This Row],[Item]],Table13[Decription],Table13[April 2025 - Balance Qty])</f>
        <v>0</v>
      </c>
      <c r="J189" s="373">
        <f>_xlfn.XLOOKUP(Table326[[#This Row],[Item]],Table13[Decription],Table13[Article])</f>
        <v>0</v>
      </c>
    </row>
    <row r="190" spans="1:10" ht="10.5" customHeight="1">
      <c r="A190" s="307"/>
      <c r="B190" s="308"/>
      <c r="C190" s="309"/>
      <c r="D190" s="311"/>
      <c r="E190" s="232">
        <f>_xlfn.XLOOKUP(Table326[[#This Row],[Item]],Table13[Decription],Table13[Unit])</f>
        <v>0</v>
      </c>
      <c r="F190" s="176"/>
      <c r="G190" s="232">
        <f>_xlfn.XLOOKUP(Table326[[#This Row],[Item]],Table13[Decription],Table13[Unit Cost])</f>
        <v>0</v>
      </c>
      <c r="H190" s="352">
        <f>Table326[[#This Row],[Unit Cost]]*Table326[[#This Row],[Quantity Issued]]</f>
        <v>0</v>
      </c>
      <c r="I190" s="356">
        <f>_xlfn.XLOOKUP(Table326[[#This Row],[Item]],Table13[Decription],Table13[April 2025 - Balance Qty])</f>
        <v>0</v>
      </c>
      <c r="J190" s="373">
        <f>_xlfn.XLOOKUP(Table326[[#This Row],[Item]],Table13[Decription],Table13[Article])</f>
        <v>0</v>
      </c>
    </row>
    <row r="191" spans="1:10" ht="10.5" customHeight="1">
      <c r="A191" s="307"/>
      <c r="B191" s="308"/>
      <c r="C191" s="309"/>
      <c r="D191" s="311"/>
      <c r="E191" s="232">
        <f>_xlfn.XLOOKUP(Table326[[#This Row],[Item]],Table13[Decription],Table13[Unit])</f>
        <v>0</v>
      </c>
      <c r="F191" s="176"/>
      <c r="G191" s="232">
        <f>_xlfn.XLOOKUP(Table326[[#This Row],[Item]],Table13[Decription],Table13[Unit Cost])</f>
        <v>0</v>
      </c>
      <c r="H191" s="352">
        <f>Table326[[#This Row],[Unit Cost]]*Table326[[#This Row],[Quantity Issued]]</f>
        <v>0</v>
      </c>
      <c r="I191" s="356">
        <f>_xlfn.XLOOKUP(Table326[[#This Row],[Item]],Table13[Decription],Table13[April 2025 - Balance Qty])</f>
        <v>0</v>
      </c>
      <c r="J191" s="373">
        <f>_xlfn.XLOOKUP(Table326[[#This Row],[Item]],Table13[Decription],Table13[Article])</f>
        <v>0</v>
      </c>
    </row>
    <row r="192" spans="1:10" ht="10.5" customHeight="1">
      <c r="A192" s="172"/>
      <c r="B192" s="179"/>
      <c r="C192" s="180"/>
      <c r="D192" s="311"/>
      <c r="E192" s="176">
        <f>_xlfn.XLOOKUP(Table326[[#This Row],[Item]],Table13[Decription],Table13[Unit])</f>
        <v>0</v>
      </c>
      <c r="F192" s="176"/>
      <c r="G192" s="176">
        <f>_xlfn.XLOOKUP(Table326[[#This Row],[Item]],Table13[Decription],Table13[Unit Cost])</f>
        <v>0</v>
      </c>
      <c r="H192" s="351">
        <f>Table326[[#This Row],[Unit Cost]]*Table326[[#This Row],[Quantity Issued]]</f>
        <v>0</v>
      </c>
      <c r="I192" s="353">
        <f>_xlfn.XLOOKUP(Table326[[#This Row],[Item]],Table13[Decription],Table13[April 2025 - Balance Qty])</f>
        <v>0</v>
      </c>
      <c r="J192" s="372">
        <f>_xlfn.XLOOKUP(Table326[[#This Row],[Item]],Table13[Decription],Table13[Article])</f>
        <v>0</v>
      </c>
    </row>
    <row r="193" spans="1:11" ht="10.5" customHeight="1">
      <c r="A193" s="172"/>
      <c r="B193" s="179"/>
      <c r="C193" s="180"/>
      <c r="D193" s="311"/>
      <c r="E193" s="176">
        <f>_xlfn.XLOOKUP(Table326[[#This Row],[Item]],Table13[Decription],Table13[Unit])</f>
        <v>0</v>
      </c>
      <c r="F193" s="176"/>
      <c r="G193" s="176">
        <f>_xlfn.XLOOKUP(Table326[[#This Row],[Item]],Table13[Decription],Table13[Unit Cost])</f>
        <v>0</v>
      </c>
      <c r="H193" s="351">
        <f>Table326[[#This Row],[Unit Cost]]*Table326[[#This Row],[Quantity Issued]]</f>
        <v>0</v>
      </c>
      <c r="I193" s="353">
        <f>_xlfn.XLOOKUP(Table326[[#This Row],[Item]],Table13[Decription],Table13[April 2025 - Balance Qty])</f>
        <v>0</v>
      </c>
      <c r="J193" s="372">
        <f>_xlfn.XLOOKUP(Table326[[#This Row],[Item]],Table13[Decription],Table13[Article])</f>
        <v>0</v>
      </c>
    </row>
    <row r="194" spans="1:11" ht="10.5" customHeight="1">
      <c r="A194" s="172"/>
      <c r="B194" s="179"/>
      <c r="C194" s="180"/>
      <c r="D194" s="311"/>
      <c r="E194" s="176">
        <f>_xlfn.XLOOKUP(Table326[[#This Row],[Item]],Table13[Decription],Table13[Unit])</f>
        <v>0</v>
      </c>
      <c r="F194" s="176"/>
      <c r="G194" s="176">
        <f>_xlfn.XLOOKUP(Table326[[#This Row],[Item]],Table13[Decription],Table13[Unit Cost])</f>
        <v>0</v>
      </c>
      <c r="H194" s="351">
        <f>Table326[[#This Row],[Unit Cost]]*Table326[[#This Row],[Quantity Issued]]</f>
        <v>0</v>
      </c>
      <c r="I194" s="353">
        <f>_xlfn.XLOOKUP(Table326[[#This Row],[Item]],Table13[Decription],Table13[April 2025 - Balance Qty])</f>
        <v>0</v>
      </c>
      <c r="J194" s="372">
        <f>_xlfn.XLOOKUP(Table326[[#This Row],[Item]],Table13[Decription],Table13[Article])</f>
        <v>0</v>
      </c>
    </row>
    <row r="195" spans="1:11" ht="10.5" customHeight="1">
      <c r="A195" s="172"/>
      <c r="B195" s="179"/>
      <c r="C195" s="180"/>
      <c r="D195" s="311"/>
      <c r="E195" s="176">
        <f>_xlfn.XLOOKUP(Table326[[#This Row],[Item]],Table13[Decription],Table13[Unit])</f>
        <v>0</v>
      </c>
      <c r="F195" s="176"/>
      <c r="G195" s="176">
        <f>_xlfn.XLOOKUP(Table326[[#This Row],[Item]],Table13[Decription],Table13[Unit Cost])</f>
        <v>0</v>
      </c>
      <c r="H195" s="351">
        <f>Table326[[#This Row],[Unit Cost]]*Table326[[#This Row],[Quantity Issued]]</f>
        <v>0</v>
      </c>
      <c r="I195" s="353">
        <f>_xlfn.XLOOKUP(Table326[[#This Row],[Item]],Table13[Decription],Table13[April 2025 - Balance Qty])</f>
        <v>0</v>
      </c>
      <c r="J195" s="372">
        <f>_xlfn.XLOOKUP(Table326[[#This Row],[Item]],Table13[Decription],Table13[Article])</f>
        <v>0</v>
      </c>
    </row>
    <row r="196" spans="1:11" ht="10.5" customHeight="1">
      <c r="A196" s="172"/>
      <c r="B196" s="179"/>
      <c r="C196" s="180"/>
      <c r="D196" s="311"/>
      <c r="E196" s="176">
        <f>_xlfn.XLOOKUP(Table326[[#This Row],[Item]],Table13[Decription],Table13[Unit])</f>
        <v>0</v>
      </c>
      <c r="F196" s="176"/>
      <c r="G196" s="176">
        <f>_xlfn.XLOOKUP(Table326[[#This Row],[Item]],Table13[Decription],Table13[Unit Cost])</f>
        <v>0</v>
      </c>
      <c r="H196" s="351">
        <f>Table326[[#This Row],[Unit Cost]]*Table326[[#This Row],[Quantity Issued]]</f>
        <v>0</v>
      </c>
      <c r="I196" s="353">
        <f>_xlfn.XLOOKUP(Table326[[#This Row],[Item]],Table13[Decription],Table13[April 2025 - Balance Qty])</f>
        <v>0</v>
      </c>
      <c r="J196" s="372">
        <f>_xlfn.XLOOKUP(Table326[[#This Row],[Item]],Table13[Decription],Table13[Article])</f>
        <v>0</v>
      </c>
    </row>
    <row r="197" spans="1:11" ht="10.5" customHeight="1" thickBot="1">
      <c r="A197" s="375"/>
      <c r="B197" s="376"/>
      <c r="C197" s="377"/>
      <c r="D197" s="378"/>
      <c r="E197" s="379">
        <f>_xlfn.XLOOKUP(Table326[[#This Row],[Item]],Table13[Decription],Table13[Unit])</f>
        <v>0</v>
      </c>
      <c r="F197" s="379"/>
      <c r="G197" s="379">
        <f>_xlfn.XLOOKUP(Table326[[#This Row],[Item]],Table13[Decription],Table13[Unit Cost])</f>
        <v>0</v>
      </c>
      <c r="H197" s="380">
        <f>Table326[[#This Row],[Unit Cost]]*Table326[[#This Row],[Quantity Issued]]</f>
        <v>0</v>
      </c>
      <c r="I197" s="381">
        <f>_xlfn.XLOOKUP(Table326[[#This Row],[Item]],Table13[Decription],Table13[April 2025 - Balance Qty])</f>
        <v>0</v>
      </c>
      <c r="J197" s="382">
        <f>_xlfn.XLOOKUP(Table326[[#This Row],[Item]],Table13[Decription],Table13[Article])</f>
        <v>0</v>
      </c>
    </row>
    <row r="198" spans="1:11" ht="10.5" customHeight="1">
      <c r="A198" s="328"/>
      <c r="B198" s="329"/>
      <c r="C198" s="330"/>
      <c r="D198" s="331"/>
      <c r="E198" s="332"/>
      <c r="F198" s="333"/>
      <c r="G198" s="332"/>
      <c r="H198" s="334"/>
      <c r="I198" s="335"/>
      <c r="J198" s="327"/>
    </row>
    <row r="199" spans="1:11" ht="10.5" customHeight="1">
      <c r="A199" s="328"/>
      <c r="B199" s="329"/>
      <c r="C199" s="330"/>
      <c r="D199" s="331"/>
      <c r="E199" s="332"/>
      <c r="F199" s="333"/>
      <c r="G199" s="332"/>
      <c r="H199" s="334"/>
      <c r="I199" s="335"/>
      <c r="J199" s="327"/>
    </row>
    <row r="200" spans="1:11" ht="10.5" customHeight="1">
      <c r="A200" s="328"/>
      <c r="B200" s="329"/>
      <c r="C200" s="330"/>
      <c r="D200" s="331"/>
      <c r="E200" s="332"/>
      <c r="F200" s="333"/>
      <c r="G200" s="332"/>
      <c r="H200" s="334"/>
      <c r="I200" s="335"/>
      <c r="J200" s="327"/>
    </row>
    <row r="201" spans="1:11" s="302" customFormat="1" ht="10.5" customHeight="1">
      <c r="A201" s="328"/>
      <c r="B201" s="329"/>
      <c r="C201" s="330"/>
      <c r="D201" s="331"/>
      <c r="E201" s="332"/>
      <c r="F201" s="333"/>
      <c r="G201" s="332"/>
      <c r="H201" s="334"/>
      <c r="I201" s="335"/>
      <c r="J201" s="327"/>
    </row>
    <row r="202" spans="1:11" s="302" customFormat="1" ht="10.5" customHeight="1">
      <c r="A202" s="328"/>
      <c r="B202" s="329"/>
      <c r="C202" s="330"/>
      <c r="D202" s="331"/>
      <c r="E202" s="332"/>
      <c r="F202" s="333"/>
      <c r="G202" s="332"/>
      <c r="H202" s="334"/>
      <c r="I202" s="335"/>
      <c r="J202" s="327"/>
    </row>
    <row r="203" spans="1:11" ht="10.5" customHeight="1">
      <c r="A203" s="328"/>
      <c r="B203" s="329"/>
      <c r="C203" s="330"/>
      <c r="D203" s="331"/>
      <c r="E203" s="332"/>
      <c r="F203" s="333"/>
      <c r="G203" s="332"/>
      <c r="H203" s="334"/>
      <c r="I203" s="335"/>
      <c r="J203" s="327"/>
    </row>
    <row r="204" spans="1:11">
      <c r="A204" s="328"/>
      <c r="B204" s="329"/>
      <c r="C204" s="330"/>
      <c r="D204" s="331"/>
      <c r="E204" s="332"/>
      <c r="F204" s="333"/>
      <c r="G204" s="332"/>
      <c r="H204" s="334"/>
      <c r="I204" s="335"/>
      <c r="J204" s="327"/>
      <c r="K204" s="300"/>
    </row>
    <row r="205" spans="1:11">
      <c r="I205" s="43"/>
      <c r="J205" s="43"/>
    </row>
    <row r="206" spans="1:11">
      <c r="I206" s="43"/>
      <c r="J206" s="43"/>
    </row>
    <row r="207" spans="1:11">
      <c r="I207" s="43"/>
      <c r="J207" s="43"/>
    </row>
    <row r="208" spans="1:11">
      <c r="I208" s="43"/>
      <c r="J208" s="43"/>
    </row>
    <row r="209" spans="9:10">
      <c r="I209" s="43"/>
      <c r="J209" s="43"/>
    </row>
    <row r="210" spans="9:10">
      <c r="I210" s="43"/>
      <c r="J210" s="43"/>
    </row>
    <row r="211" spans="9:10">
      <c r="I211" s="43"/>
      <c r="J211" s="43"/>
    </row>
    <row r="212" spans="9:10">
      <c r="I212" s="43"/>
      <c r="J212" s="43"/>
    </row>
    <row r="213" spans="9:10">
      <c r="I213" s="43"/>
      <c r="J213" s="43"/>
    </row>
    <row r="214" spans="9:10">
      <c r="I214" s="43"/>
      <c r="J214" s="43"/>
    </row>
    <row r="215" spans="9:10">
      <c r="I215" s="43"/>
      <c r="J215" s="43"/>
    </row>
    <row r="216" spans="9:10">
      <c r="I216" s="43"/>
      <c r="J216" s="43"/>
    </row>
  </sheetData>
  <dataConsolidate>
    <dataRefs count="1">
      <dataRef name="$D$2:$D$75,$F$2:$F$75"/>
    </dataRefs>
  </dataConsolidate>
  <phoneticPr fontId="17" type="noConversion"/>
  <pageMargins left="0.11811023622047245" right="0.11811023622047245" top="0.11811023622047245" bottom="0.11811023622047245" header="0.11811023622047245" footer="0.11811023622047245"/>
  <pageSetup paperSize="9" scale="79" fitToHeight="0" orientation="portrait" horizontalDpi="1200" verticalDpi="1200" r:id="rId1"/>
  <rowBreaks count="1" manualBreakCount="1">
    <brk id="99" max="9" man="1"/>
  </row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3C0B260-0AEF-4E51-B3B2-BEF8489D1DF5}">
          <x14:formula1>
            <xm:f>'Inventory 2025 - Summary'!$C$6:$C$162</xm:f>
          </x14:formula1>
          <xm:sqref>D10 D48:D51 D6:D7 D39 D28 D57:D204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6B16F-0F21-44C4-80A8-284E9D880DE6}">
  <sheetPr codeName="Sheet4">
    <pageSetUpPr fitToPage="1"/>
  </sheetPr>
  <dimension ref="A1:M193"/>
  <sheetViews>
    <sheetView view="pageBreakPreview" topLeftCell="A82" zoomScale="80" zoomScaleNormal="100" zoomScaleSheetLayoutView="100" workbookViewId="0">
      <selection activeCell="K11" sqref="K11:K176"/>
    </sheetView>
  </sheetViews>
  <sheetFormatPr defaultColWidth="8.81640625" defaultRowHeight="14.5"/>
  <cols>
    <col min="1" max="1" width="16.1796875" style="11" customWidth="1"/>
    <col min="2" max="2" width="11" style="11" customWidth="1"/>
    <col min="3" max="3" width="8.453125" style="11" customWidth="1"/>
    <col min="4" max="4" width="32.36328125" style="11" customWidth="1"/>
    <col min="5" max="5" width="8.6328125" style="11" customWidth="1"/>
    <col min="6" max="6" width="6.81640625" style="11" bestFit="1" customWidth="1"/>
    <col min="7" max="7" width="10.6328125" style="11" customWidth="1"/>
    <col min="8" max="8" width="22.54296875" style="11" customWidth="1"/>
    <col min="9" max="9" width="8.81640625" style="11"/>
    <col min="10" max="10" width="6.81640625" style="11" bestFit="1" customWidth="1"/>
    <col min="11" max="11" width="44.1796875" style="11" bestFit="1" customWidth="1"/>
    <col min="12" max="12" width="3.08984375" style="11" bestFit="1" customWidth="1"/>
    <col min="13" max="13" width="3.90625" style="11" bestFit="1" customWidth="1"/>
    <col min="14" max="18" width="8.81640625" style="11"/>
    <col min="19" max="19" width="22.08984375" style="11" customWidth="1"/>
    <col min="20" max="20" width="8.81640625" style="11"/>
    <col min="21" max="21" width="21.6328125" style="11" customWidth="1"/>
    <col min="22" max="22" width="26.36328125" style="11" customWidth="1"/>
    <col min="23" max="23" width="23.90625" style="11" customWidth="1"/>
    <col min="24" max="24" width="28.1796875" style="11" customWidth="1"/>
    <col min="25" max="25" width="23.90625" style="11" customWidth="1"/>
    <col min="26" max="16384" width="8.81640625" style="11"/>
  </cols>
  <sheetData>
    <row r="1" spans="1:11">
      <c r="A1" s="386" t="s">
        <v>0</v>
      </c>
      <c r="B1" s="387"/>
      <c r="C1" s="387"/>
      <c r="D1" s="387"/>
      <c r="E1" s="387"/>
      <c r="F1" s="387"/>
      <c r="G1" s="387"/>
      <c r="H1" s="388"/>
    </row>
    <row r="2" spans="1:11">
      <c r="A2" s="12"/>
      <c r="B2" s="13"/>
      <c r="C2" s="13"/>
      <c r="D2" s="13"/>
      <c r="E2" s="13"/>
      <c r="F2" s="13"/>
      <c r="G2" s="13"/>
      <c r="H2" s="14"/>
    </row>
    <row r="3" spans="1:11" ht="24">
      <c r="A3" s="389" t="s">
        <v>1</v>
      </c>
      <c r="B3" s="390"/>
      <c r="C3" s="390"/>
      <c r="D3" s="390"/>
      <c r="E3" s="390"/>
      <c r="F3" s="390"/>
      <c r="G3" s="390"/>
      <c r="H3" s="391"/>
    </row>
    <row r="4" spans="1:11">
      <c r="A4" s="12" t="s">
        <v>2</v>
      </c>
      <c r="B4" s="13"/>
      <c r="C4" s="13"/>
      <c r="D4" s="13"/>
      <c r="E4" s="13"/>
      <c r="F4" s="13"/>
      <c r="G4" s="13"/>
      <c r="H4" s="14"/>
    </row>
    <row r="5" spans="1:11">
      <c r="A5" s="1" t="s">
        <v>3</v>
      </c>
      <c r="B5" s="2" t="s">
        <v>4</v>
      </c>
      <c r="C5" s="3"/>
      <c r="D5" s="3"/>
      <c r="E5" s="4"/>
      <c r="F5" s="5" t="s">
        <v>5</v>
      </c>
      <c r="G5" s="392" t="s">
        <v>292</v>
      </c>
      <c r="H5" s="393"/>
    </row>
    <row r="6" spans="1:11">
      <c r="A6" s="1" t="s">
        <v>6</v>
      </c>
      <c r="B6" s="6" t="s">
        <v>7</v>
      </c>
      <c r="C6" s="7"/>
      <c r="D6" s="7"/>
      <c r="E6" s="4"/>
      <c r="F6" s="5" t="s">
        <v>8</v>
      </c>
      <c r="G6" s="394">
        <v>45747</v>
      </c>
      <c r="H6" s="395"/>
    </row>
    <row r="7" spans="1:11" ht="5" customHeight="1">
      <c r="A7" s="12"/>
      <c r="B7" s="13"/>
      <c r="C7" s="13"/>
      <c r="D7" s="13"/>
      <c r="E7" s="13"/>
      <c r="F7" s="13"/>
      <c r="G7" s="13"/>
      <c r="H7" s="14"/>
    </row>
    <row r="8" spans="1:11">
      <c r="A8" s="396" t="s">
        <v>9</v>
      </c>
      <c r="B8" s="397"/>
      <c r="C8" s="397"/>
      <c r="D8" s="397"/>
      <c r="E8" s="397"/>
      <c r="F8" s="397"/>
      <c r="G8" s="397" t="s">
        <v>10</v>
      </c>
      <c r="H8" s="398"/>
      <c r="J8" s="11" t="s">
        <v>2</v>
      </c>
    </row>
    <row r="9" spans="1:11" ht="3" customHeight="1">
      <c r="A9" s="12"/>
      <c r="B9" s="13"/>
      <c r="C9" s="13"/>
      <c r="D9" s="13"/>
      <c r="E9" s="13"/>
      <c r="F9" s="13"/>
      <c r="G9" s="13"/>
      <c r="H9" s="14"/>
    </row>
    <row r="10" spans="1:11" s="20" customFormat="1" ht="17.5" thickBot="1">
      <c r="A10" s="17" t="s">
        <v>11</v>
      </c>
      <c r="B10" s="18" t="s">
        <v>12</v>
      </c>
      <c r="C10" s="18" t="s">
        <v>13</v>
      </c>
      <c r="D10" s="18" t="s">
        <v>14</v>
      </c>
      <c r="E10" s="18" t="s">
        <v>15</v>
      </c>
      <c r="F10" s="18" t="s">
        <v>16</v>
      </c>
      <c r="G10" s="18" t="s">
        <v>17</v>
      </c>
      <c r="H10" s="19" t="s">
        <v>18</v>
      </c>
    </row>
    <row r="11" spans="1:11" s="260" customFormat="1" ht="11" thickTop="1">
      <c r="A11" s="37" t="s">
        <v>276</v>
      </c>
      <c r="B11" s="38"/>
      <c r="C11" s="39"/>
      <c r="D11" s="257" t="s">
        <v>102</v>
      </c>
      <c r="E11" s="258" t="str">
        <f>_xlfn.XLOOKUP(D11,Table13[Decription],Table13[Unit])</f>
        <v>box</v>
      </c>
      <c r="F11" s="222">
        <v>1</v>
      </c>
      <c r="G11" s="258">
        <f>_xlfn.XLOOKUP(D11,Table13[Decription],Table13[Unit Cost])</f>
        <v>100</v>
      </c>
      <c r="H11" s="259">
        <f>G11*F11</f>
        <v>100</v>
      </c>
      <c r="K11" s="261"/>
    </row>
    <row r="12" spans="1:11" s="260" customFormat="1" ht="10.5">
      <c r="A12" s="37" t="s">
        <v>276</v>
      </c>
      <c r="B12" s="38"/>
      <c r="C12" s="39"/>
      <c r="D12" s="40" t="s">
        <v>49</v>
      </c>
      <c r="E12" s="258" t="str">
        <f>_xlfn.XLOOKUP(D12,Table13[Decription],Table13[Unit])</f>
        <v>box</v>
      </c>
      <c r="F12" s="222">
        <v>1</v>
      </c>
      <c r="G12" s="258">
        <f>_xlfn.XLOOKUP(D12,Table13[Decription],Table13[Unit Cost])</f>
        <v>47.93</v>
      </c>
      <c r="H12" s="259">
        <f t="shared" ref="H12:H62" si="0">G12*F12</f>
        <v>47.93</v>
      </c>
      <c r="K12" s="262"/>
    </row>
    <row r="13" spans="1:11" s="260" customFormat="1" ht="10.5">
      <c r="A13" s="37" t="s">
        <v>276</v>
      </c>
      <c r="B13" s="38"/>
      <c r="C13" s="39"/>
      <c r="D13" s="40" t="s">
        <v>47</v>
      </c>
      <c r="E13" s="258" t="str">
        <f>_xlfn.XLOOKUP(D13,Table13[Decription],Table13[Unit])</f>
        <v>box</v>
      </c>
      <c r="F13" s="222">
        <v>1</v>
      </c>
      <c r="G13" s="258">
        <f>_xlfn.XLOOKUP(D13,Table13[Decription],Table13[Unit Cost])</f>
        <v>34.33</v>
      </c>
      <c r="H13" s="259">
        <f t="shared" si="0"/>
        <v>34.33</v>
      </c>
      <c r="K13" s="261"/>
    </row>
    <row r="14" spans="1:11" s="260" customFormat="1" ht="10.5">
      <c r="A14" s="37" t="s">
        <v>276</v>
      </c>
      <c r="B14" s="38"/>
      <c r="C14" s="39"/>
      <c r="D14" s="257" t="s">
        <v>109</v>
      </c>
      <c r="E14" s="258" t="str">
        <f>_xlfn.XLOOKUP(D14,Table13[Decription],Table13[Unit])</f>
        <v>piece</v>
      </c>
      <c r="F14" s="222">
        <v>1</v>
      </c>
      <c r="G14" s="258">
        <f>_xlfn.XLOOKUP(D14,Table13[Decription],Table13[Unit Cost])</f>
        <v>245</v>
      </c>
      <c r="H14" s="259">
        <f t="shared" si="0"/>
        <v>245</v>
      </c>
      <c r="K14" s="262"/>
    </row>
    <row r="15" spans="1:11" s="260" customFormat="1" ht="10.5">
      <c r="A15" s="37" t="s">
        <v>277</v>
      </c>
      <c r="B15" s="38"/>
      <c r="C15" s="226"/>
      <c r="D15" s="263" t="s">
        <v>128</v>
      </c>
      <c r="E15" s="258" t="str">
        <f>_xlfn.XLOOKUP(D15,Table13[Decription],Table13[Unit])</f>
        <v>ream</v>
      </c>
      <c r="F15" s="222">
        <v>2</v>
      </c>
      <c r="G15" s="258">
        <f>_xlfn.XLOOKUP(D15,Table13[Decription],Table13[Unit Cost])</f>
        <v>285</v>
      </c>
      <c r="H15" s="259">
        <f t="shared" si="0"/>
        <v>570</v>
      </c>
      <c r="I15" s="265"/>
      <c r="K15" s="262"/>
    </row>
    <row r="16" spans="1:11" s="260" customFormat="1" ht="10.5">
      <c r="A16" s="37" t="s">
        <v>278</v>
      </c>
      <c r="B16" s="38"/>
      <c r="C16" s="39"/>
      <c r="D16" s="263" t="s">
        <v>54</v>
      </c>
      <c r="E16" s="258" t="str">
        <f>_xlfn.XLOOKUP(D16,Table13[Decription],Table13[Unit])</f>
        <v>ream</v>
      </c>
      <c r="F16" s="222">
        <v>1</v>
      </c>
      <c r="G16" s="258">
        <f>_xlfn.XLOOKUP(D16,Table13[Decription],Table13[Unit Cost])</f>
        <v>325</v>
      </c>
      <c r="H16" s="259">
        <f t="shared" ref="H16" si="1">G16*F16</f>
        <v>325</v>
      </c>
      <c r="I16" s="265"/>
      <c r="K16" s="262"/>
    </row>
    <row r="17" spans="1:11" s="260" customFormat="1" ht="10.5">
      <c r="A17" s="37" t="s">
        <v>278</v>
      </c>
      <c r="B17" s="38"/>
      <c r="C17" s="39"/>
      <c r="D17" s="266" t="s">
        <v>51</v>
      </c>
      <c r="E17" s="258" t="str">
        <f>_xlfn.XLOOKUP(D17,Table13[Decription],Table13[Unit])</f>
        <v>ream</v>
      </c>
      <c r="F17" s="222">
        <v>2</v>
      </c>
      <c r="G17" s="258">
        <f>_xlfn.XLOOKUP(D17,Table13[Decription],Table13[Unit Cost])</f>
        <v>340.17</v>
      </c>
      <c r="H17" s="259">
        <f t="shared" si="0"/>
        <v>680.34</v>
      </c>
      <c r="K17" s="262"/>
    </row>
    <row r="18" spans="1:11" s="260" customFormat="1" ht="10.5">
      <c r="A18" s="37" t="s">
        <v>278</v>
      </c>
      <c r="B18" s="38"/>
      <c r="C18" s="39" t="s">
        <v>2</v>
      </c>
      <c r="D18" s="260" t="s">
        <v>51</v>
      </c>
      <c r="E18" s="258" t="str">
        <f>_xlfn.XLOOKUP(D18,Table13[Decription],Table13[Unit])</f>
        <v>ream</v>
      </c>
      <c r="F18" s="222">
        <v>1</v>
      </c>
      <c r="G18" s="258">
        <f>_xlfn.XLOOKUP(D18,Table13[Decription],Table13[Unit Cost])</f>
        <v>340.17</v>
      </c>
      <c r="H18" s="259">
        <f t="shared" si="0"/>
        <v>340.17</v>
      </c>
      <c r="K18" s="261"/>
    </row>
    <row r="19" spans="1:11" s="260" customFormat="1" ht="10.5">
      <c r="A19" s="37" t="s">
        <v>278</v>
      </c>
      <c r="B19" s="38"/>
      <c r="C19" s="39"/>
      <c r="D19" s="257" t="s">
        <v>281</v>
      </c>
      <c r="E19" s="258" t="str">
        <f>_xlfn.XLOOKUP(D19,Table13[Decription],Table13[Unit])</f>
        <v>piece</v>
      </c>
      <c r="F19" s="222">
        <v>1</v>
      </c>
      <c r="G19" s="258">
        <f>_xlfn.XLOOKUP(D19,Table13[Decription],Table13[Unit Cost])</f>
        <v>110</v>
      </c>
      <c r="H19" s="259">
        <f t="shared" si="0"/>
        <v>110</v>
      </c>
      <c r="K19" s="262"/>
    </row>
    <row r="20" spans="1:11" s="260" customFormat="1" ht="10.5">
      <c r="A20" s="37" t="s">
        <v>282</v>
      </c>
      <c r="B20" s="38"/>
      <c r="C20" s="39"/>
      <c r="D20" s="267" t="s">
        <v>56</v>
      </c>
      <c r="E20" s="258" t="str">
        <f>_xlfn.XLOOKUP(D20,Table13[Decription],Table13[Unit])</f>
        <v>bottle</v>
      </c>
      <c r="F20" s="222">
        <v>1</v>
      </c>
      <c r="G20" s="258">
        <f>_xlfn.XLOOKUP(D20,Table13[Decription],Table13[Unit Cost])</f>
        <v>375</v>
      </c>
      <c r="H20" s="259">
        <f t="shared" si="0"/>
        <v>375</v>
      </c>
      <c r="K20" s="261"/>
    </row>
    <row r="21" spans="1:11" s="260" customFormat="1" ht="10.5">
      <c r="A21" s="37" t="s">
        <v>282</v>
      </c>
      <c r="B21" s="38"/>
      <c r="C21" s="39"/>
      <c r="D21" s="257" t="s">
        <v>57</v>
      </c>
      <c r="E21" s="258" t="str">
        <f>_xlfn.XLOOKUP(D21,Table13[Decription],Table13[Unit])</f>
        <v>bottle</v>
      </c>
      <c r="F21" s="222">
        <v>1</v>
      </c>
      <c r="G21" s="258">
        <f>_xlfn.XLOOKUP(D21,Table13[Decription],Table13[Unit Cost])</f>
        <v>385</v>
      </c>
      <c r="H21" s="259">
        <f t="shared" si="0"/>
        <v>385</v>
      </c>
      <c r="I21" s="260" t="s">
        <v>2</v>
      </c>
      <c r="K21" s="262"/>
    </row>
    <row r="22" spans="1:11" s="260" customFormat="1" ht="10.5">
      <c r="A22" s="37" t="s">
        <v>282</v>
      </c>
      <c r="B22" s="38"/>
      <c r="C22" s="39"/>
      <c r="D22" s="257" t="s">
        <v>58</v>
      </c>
      <c r="E22" s="258" t="str">
        <f>_xlfn.XLOOKUP(D22,Table13[Decription],Table13[Unit])</f>
        <v>bottle</v>
      </c>
      <c r="F22" s="222">
        <v>1</v>
      </c>
      <c r="G22" s="258">
        <f>_xlfn.XLOOKUP(D22,Table13[Decription],Table13[Unit Cost])</f>
        <v>385</v>
      </c>
      <c r="H22" s="259">
        <f t="shared" si="0"/>
        <v>385</v>
      </c>
      <c r="K22" s="261"/>
    </row>
    <row r="23" spans="1:11" s="260" customFormat="1" ht="10.5">
      <c r="A23" s="37" t="s">
        <v>282</v>
      </c>
      <c r="B23" s="38"/>
      <c r="C23" s="39"/>
      <c r="D23" s="257" t="s">
        <v>59</v>
      </c>
      <c r="E23" s="258" t="str">
        <f>_xlfn.XLOOKUP(D23,Table13[Decription],Table13[Unit])</f>
        <v>bottle</v>
      </c>
      <c r="F23" s="222">
        <v>1</v>
      </c>
      <c r="G23" s="258">
        <f>_xlfn.XLOOKUP(D23,Table13[Decription],Table13[Unit Cost])</f>
        <v>385</v>
      </c>
      <c r="H23" s="259">
        <f t="shared" si="0"/>
        <v>385</v>
      </c>
      <c r="K23" s="262"/>
    </row>
    <row r="24" spans="1:11" s="260" customFormat="1" ht="10.5">
      <c r="A24" s="37" t="s">
        <v>283</v>
      </c>
      <c r="B24" s="38"/>
      <c r="C24" s="39"/>
      <c r="D24" s="257" t="s">
        <v>51</v>
      </c>
      <c r="E24" s="258" t="str">
        <f>_xlfn.XLOOKUP(D24,Table13[Decription],Table13[Unit])</f>
        <v>ream</v>
      </c>
      <c r="F24" s="222">
        <v>1</v>
      </c>
      <c r="G24" s="258">
        <f>_xlfn.XLOOKUP(D24,Table13[Decription],Table13[Unit Cost])</f>
        <v>340.17</v>
      </c>
      <c r="H24" s="259">
        <f t="shared" si="0"/>
        <v>340.17</v>
      </c>
      <c r="K24" s="262"/>
    </row>
    <row r="25" spans="1:11" s="260" customFormat="1" ht="10.5">
      <c r="A25" s="37" t="s">
        <v>283</v>
      </c>
      <c r="B25" s="38"/>
      <c r="C25" s="39"/>
      <c r="D25" s="257" t="s">
        <v>159</v>
      </c>
      <c r="E25" s="258" t="str">
        <f>_xlfn.XLOOKUP(D25,Table13[Decription],Table13[Unit])</f>
        <v xml:space="preserve">piece </v>
      </c>
      <c r="F25" s="222">
        <v>2</v>
      </c>
      <c r="G25" s="258">
        <f>_xlfn.XLOOKUP(D25,Table13[Decription],Table13[Unit Cost])</f>
        <v>44</v>
      </c>
      <c r="H25" s="259">
        <f t="shared" si="0"/>
        <v>88</v>
      </c>
      <c r="K25" s="261"/>
    </row>
    <row r="26" spans="1:11" s="260" customFormat="1" ht="10.5">
      <c r="A26" s="37" t="s">
        <v>283</v>
      </c>
      <c r="B26" s="38"/>
      <c r="C26" s="39"/>
      <c r="D26" s="260" t="s">
        <v>155</v>
      </c>
      <c r="E26" s="258" t="str">
        <f>_xlfn.XLOOKUP(D26,Table13[Decription],Table13[Unit])</f>
        <v>bottle</v>
      </c>
      <c r="F26" s="222">
        <v>2</v>
      </c>
      <c r="G26" s="258">
        <f>_xlfn.XLOOKUP(D26,Table13[Decription],Table13[Unit Cost])</f>
        <v>65</v>
      </c>
      <c r="H26" s="259">
        <f t="shared" si="0"/>
        <v>130</v>
      </c>
      <c r="K26" s="262"/>
    </row>
    <row r="27" spans="1:11" s="260" customFormat="1" ht="10.5">
      <c r="A27" s="37" t="s">
        <v>284</v>
      </c>
      <c r="B27" s="38"/>
      <c r="C27" s="39"/>
      <c r="D27" s="257" t="s">
        <v>161</v>
      </c>
      <c r="E27" s="258" t="str">
        <f>_xlfn.XLOOKUP(D27,Table13[Decription],Table13[Unit])</f>
        <v>piece</v>
      </c>
      <c r="F27" s="222">
        <v>2</v>
      </c>
      <c r="G27" s="258">
        <f>_xlfn.XLOOKUP(D27,Table13[Decription],Table13[Unit Cost])</f>
        <v>80.540000000000006</v>
      </c>
      <c r="H27" s="259">
        <f t="shared" si="0"/>
        <v>161.08000000000001</v>
      </c>
      <c r="K27" s="261"/>
    </row>
    <row r="28" spans="1:11" s="260" customFormat="1" ht="10.5">
      <c r="A28" s="37" t="s">
        <v>284</v>
      </c>
      <c r="B28" s="38"/>
      <c r="C28" s="39"/>
      <c r="D28" s="257" t="s">
        <v>64</v>
      </c>
      <c r="E28" s="258" t="str">
        <f>_xlfn.XLOOKUP(D28,Table13[Decription],Table13[Unit])</f>
        <v>piece</v>
      </c>
      <c r="F28" s="222">
        <v>57</v>
      </c>
      <c r="G28" s="258">
        <f>_xlfn.XLOOKUP(D28,Table13[Decription],Table13[Unit Cost])</f>
        <v>8.5755407899999998</v>
      </c>
      <c r="H28" s="259">
        <f t="shared" si="0"/>
        <v>488.80582502999999</v>
      </c>
      <c r="K28" s="262"/>
    </row>
    <row r="29" spans="1:11" s="260" customFormat="1" ht="10.5">
      <c r="A29" s="37" t="s">
        <v>284</v>
      </c>
      <c r="B29" s="38"/>
      <c r="C29" s="39"/>
      <c r="D29" s="257" t="s">
        <v>88</v>
      </c>
      <c r="E29" s="258" t="str">
        <f>_xlfn.XLOOKUP(D29,Table13[Decription],Table13[Unit])</f>
        <v>piece</v>
      </c>
      <c r="F29" s="222">
        <v>2</v>
      </c>
      <c r="G29" s="258">
        <f>_xlfn.XLOOKUP(D29,Table13[Decription],Table13[Unit Cost])</f>
        <v>470</v>
      </c>
      <c r="H29" s="259">
        <f t="shared" si="0"/>
        <v>940</v>
      </c>
      <c r="K29" s="262"/>
    </row>
    <row r="30" spans="1:11" s="260" customFormat="1" ht="10.5">
      <c r="A30" s="37" t="s">
        <v>284</v>
      </c>
      <c r="B30" s="38"/>
      <c r="C30" s="39"/>
      <c r="D30" s="257" t="s">
        <v>158</v>
      </c>
      <c r="E30" s="258" t="str">
        <f>_xlfn.XLOOKUP(D30,Table13[Decription],Table13[Unit])</f>
        <v>piece</v>
      </c>
      <c r="F30" s="222">
        <v>1</v>
      </c>
      <c r="G30" s="258">
        <f>_xlfn.XLOOKUP(D30,Table13[Decription],Table13[Unit Cost])</f>
        <v>3.4791666666666599</v>
      </c>
      <c r="H30" s="259">
        <f t="shared" si="0"/>
        <v>3.4791666666666599</v>
      </c>
      <c r="K30" s="262"/>
    </row>
    <row r="31" spans="1:11" s="260" customFormat="1" ht="10.5">
      <c r="A31" s="37" t="s">
        <v>284</v>
      </c>
      <c r="B31" s="38"/>
      <c r="C31" s="39"/>
      <c r="D31" s="257" t="s">
        <v>340</v>
      </c>
      <c r="E31" s="258" t="str">
        <f>_xlfn.XLOOKUP(D31,Table13[Decription],Table13[Unit])</f>
        <v>piece</v>
      </c>
      <c r="F31" s="222">
        <v>1</v>
      </c>
      <c r="G31" s="258">
        <f>_xlfn.XLOOKUP(D31,Table13[Decription],Table13[Unit Cost])</f>
        <v>75</v>
      </c>
      <c r="H31" s="259">
        <f t="shared" ref="H31" si="2">G31*F31</f>
        <v>75</v>
      </c>
      <c r="K31" s="262"/>
    </row>
    <row r="32" spans="1:11" s="260" customFormat="1" ht="10.5">
      <c r="A32" s="37" t="s">
        <v>284</v>
      </c>
      <c r="B32" s="38"/>
      <c r="C32" s="39"/>
      <c r="D32" s="257" t="s">
        <v>159</v>
      </c>
      <c r="E32" s="258" t="str">
        <f>_xlfn.XLOOKUP(D32,Table13[Decription],Table13[Unit])</f>
        <v xml:space="preserve">piece </v>
      </c>
      <c r="F32" s="222">
        <v>3</v>
      </c>
      <c r="G32" s="258">
        <f>_xlfn.XLOOKUP(D32,Table13[Decription],Table13[Unit Cost])</f>
        <v>44</v>
      </c>
      <c r="H32" s="259">
        <f t="shared" si="0"/>
        <v>132</v>
      </c>
      <c r="K32" s="261"/>
    </row>
    <row r="33" spans="1:11" s="260" customFormat="1" ht="10.5">
      <c r="A33" s="37" t="s">
        <v>285</v>
      </c>
      <c r="B33" s="38"/>
      <c r="C33" s="39"/>
      <c r="D33" s="257" t="s">
        <v>51</v>
      </c>
      <c r="E33" s="258" t="str">
        <f>_xlfn.XLOOKUP(D33,Table13[Decription],Table13[Unit])</f>
        <v>ream</v>
      </c>
      <c r="F33" s="222">
        <v>1</v>
      </c>
      <c r="G33" s="258">
        <f>_xlfn.XLOOKUP(D33,Table13[Decription],Table13[Unit Cost])</f>
        <v>340.17</v>
      </c>
      <c r="H33" s="259">
        <f t="shared" si="0"/>
        <v>340.17</v>
      </c>
      <c r="K33" s="262"/>
    </row>
    <row r="34" spans="1:11" s="260" customFormat="1" ht="10.5">
      <c r="A34" s="37" t="s">
        <v>286</v>
      </c>
      <c r="B34" s="38"/>
      <c r="C34" s="39"/>
      <c r="D34" s="257" t="s">
        <v>113</v>
      </c>
      <c r="E34" s="258" t="str">
        <f>_xlfn.XLOOKUP(D34,Table13[Decription],Table13[Unit])</f>
        <v>piece</v>
      </c>
      <c r="F34" s="222">
        <v>4</v>
      </c>
      <c r="G34" s="258">
        <f>_xlfn.XLOOKUP(D34,Table13[Decription],Table13[Unit Cost])</f>
        <v>15</v>
      </c>
      <c r="H34" s="259">
        <f t="shared" ref="H34" si="3">G34*F34</f>
        <v>60</v>
      </c>
      <c r="K34" s="261"/>
    </row>
    <row r="35" spans="1:11" s="260" customFormat="1" ht="10.5">
      <c r="A35" s="37" t="s">
        <v>286</v>
      </c>
      <c r="B35" s="38"/>
      <c r="C35" s="39"/>
      <c r="D35" s="257" t="s">
        <v>64</v>
      </c>
      <c r="E35" s="258" t="str">
        <f>_xlfn.XLOOKUP(D35,Table13[Decription],Table13[Unit])</f>
        <v>piece</v>
      </c>
      <c r="F35" s="222">
        <v>30</v>
      </c>
      <c r="G35" s="258">
        <f>_xlfn.XLOOKUP(D35,Table13[Decription],Table13[Unit Cost])</f>
        <v>8.5755407899999998</v>
      </c>
      <c r="H35" s="259">
        <f t="shared" si="0"/>
        <v>257.26622370000001</v>
      </c>
      <c r="K35" s="262"/>
    </row>
    <row r="36" spans="1:11" s="260" customFormat="1" ht="10.5">
      <c r="A36" s="37" t="s">
        <v>286</v>
      </c>
      <c r="B36" s="38"/>
      <c r="C36" s="39"/>
      <c r="D36" s="268" t="s">
        <v>126</v>
      </c>
      <c r="E36" s="258" t="str">
        <f>_xlfn.XLOOKUP(D36,Table13[Decription],Table13[Unit])</f>
        <v>pack</v>
      </c>
      <c r="F36" s="222">
        <v>5</v>
      </c>
      <c r="G36" s="258">
        <f>_xlfn.XLOOKUP(D36,Table13[Decription],Table13[Unit Cost])</f>
        <v>40</v>
      </c>
      <c r="H36" s="259">
        <f t="shared" ref="H36" si="4">G36*F36</f>
        <v>200</v>
      </c>
      <c r="K36" s="262"/>
    </row>
    <row r="37" spans="1:11" s="260" customFormat="1" ht="10.5">
      <c r="A37" s="37" t="s">
        <v>287</v>
      </c>
      <c r="B37" s="38"/>
      <c r="C37" s="39"/>
      <c r="D37" s="257" t="s">
        <v>67</v>
      </c>
      <c r="E37" s="258" t="str">
        <f>_xlfn.XLOOKUP(D37,Table13[Decription],Table13[Unit])</f>
        <v>pack</v>
      </c>
      <c r="F37" s="222">
        <v>1</v>
      </c>
      <c r="G37" s="258">
        <f>_xlfn.XLOOKUP(D37,Table13[Decription],Table13[Unit Cost])</f>
        <v>225</v>
      </c>
      <c r="H37" s="259">
        <f t="shared" si="0"/>
        <v>225</v>
      </c>
      <c r="K37" s="262"/>
    </row>
    <row r="38" spans="1:11" s="260" customFormat="1" ht="10.5">
      <c r="A38" s="37" t="s">
        <v>287</v>
      </c>
      <c r="B38" s="38"/>
      <c r="C38" s="226"/>
      <c r="D38" s="260" t="s">
        <v>48</v>
      </c>
      <c r="E38" s="258" t="str">
        <f>_xlfn.XLOOKUP(D38,Table13[Decription],Table13[Unit])</f>
        <v>piece</v>
      </c>
      <c r="F38" s="222">
        <v>1</v>
      </c>
      <c r="G38" s="258">
        <f>_xlfn.XLOOKUP(D38,Table13[Decription],Table13[Unit Cost])</f>
        <v>3.875</v>
      </c>
      <c r="H38" s="259">
        <f t="shared" si="0"/>
        <v>3.875</v>
      </c>
      <c r="K38" s="261"/>
    </row>
    <row r="39" spans="1:11" s="260" customFormat="1" ht="10.5">
      <c r="A39" s="37" t="s">
        <v>287</v>
      </c>
      <c r="B39" s="38"/>
      <c r="C39" s="294"/>
      <c r="D39" s="257" t="s">
        <v>89</v>
      </c>
      <c r="E39" s="258" t="str">
        <f>_xlfn.XLOOKUP(D39,Table13[Decription],Table13[Unit])</f>
        <v>piece</v>
      </c>
      <c r="F39" s="222">
        <v>1</v>
      </c>
      <c r="G39" s="258">
        <f>_xlfn.XLOOKUP(D39,Table13[Decription],Table13[Unit Cost])</f>
        <v>38.89</v>
      </c>
      <c r="H39" s="259">
        <f t="shared" si="0"/>
        <v>38.89</v>
      </c>
      <c r="K39" s="262"/>
    </row>
    <row r="40" spans="1:11" s="260" customFormat="1" ht="10.5">
      <c r="A40" s="37" t="s">
        <v>287</v>
      </c>
      <c r="B40" s="38"/>
      <c r="C40" s="39"/>
      <c r="D40" s="257" t="s">
        <v>128</v>
      </c>
      <c r="E40" s="258" t="str">
        <f>_xlfn.XLOOKUP(D40,Table13[Decription],Table13[Unit])</f>
        <v>ream</v>
      </c>
      <c r="F40" s="222">
        <v>1</v>
      </c>
      <c r="G40" s="258">
        <f>_xlfn.XLOOKUP(D40,Table13[Decription],Table13[Unit Cost])</f>
        <v>285</v>
      </c>
      <c r="H40" s="259">
        <f t="shared" si="0"/>
        <v>285</v>
      </c>
      <c r="K40" s="261"/>
    </row>
    <row r="41" spans="1:11" s="260" customFormat="1" ht="10.5">
      <c r="A41" s="37" t="s">
        <v>287</v>
      </c>
      <c r="B41" s="38"/>
      <c r="C41" s="39"/>
      <c r="D41" s="257" t="s">
        <v>86</v>
      </c>
      <c r="E41" s="258" t="str">
        <f>_xlfn.XLOOKUP(D41,Table13[Decription],Table13[Unit])</f>
        <v>piece</v>
      </c>
      <c r="F41" s="222">
        <v>1</v>
      </c>
      <c r="G41" s="258">
        <f>_xlfn.XLOOKUP(D41,Table13[Decription],Table13[Unit Cost])</f>
        <v>403</v>
      </c>
      <c r="H41" s="259">
        <f t="shared" si="0"/>
        <v>403</v>
      </c>
      <c r="K41" s="262"/>
    </row>
    <row r="42" spans="1:11" s="260" customFormat="1" ht="10.5">
      <c r="A42" s="37" t="s">
        <v>287</v>
      </c>
      <c r="B42" s="38"/>
      <c r="C42" s="39"/>
      <c r="D42" s="257" t="s">
        <v>92</v>
      </c>
      <c r="E42" s="258" t="str">
        <f>_xlfn.XLOOKUP(D42,Table13[Decription],Table13[Unit])</f>
        <v>piece</v>
      </c>
      <c r="F42" s="222">
        <v>1</v>
      </c>
      <c r="G42" s="258">
        <f>_xlfn.XLOOKUP(D42,Table13[Decription],Table13[Unit Cost])</f>
        <v>132</v>
      </c>
      <c r="H42" s="259">
        <f t="shared" ref="H42" si="5">G42*F42</f>
        <v>132</v>
      </c>
      <c r="K42" s="262"/>
    </row>
    <row r="43" spans="1:11" s="260" customFormat="1" ht="10.5">
      <c r="A43" s="37" t="s">
        <v>288</v>
      </c>
      <c r="B43" s="38"/>
      <c r="C43" s="39"/>
      <c r="D43" s="266" t="s">
        <v>62</v>
      </c>
      <c r="E43" s="258" t="str">
        <f>_xlfn.XLOOKUP(D43,Table13[Decription],Table13[Unit])</f>
        <v>bottle</v>
      </c>
      <c r="F43" s="222">
        <v>1</v>
      </c>
      <c r="G43" s="258">
        <f>_xlfn.XLOOKUP(D43,Table13[Decription],Table13[Unit Cost])</f>
        <v>370</v>
      </c>
      <c r="H43" s="259">
        <f t="shared" si="0"/>
        <v>370</v>
      </c>
      <c r="K43" s="262"/>
    </row>
    <row r="44" spans="1:11" s="260" customFormat="1" ht="10.5">
      <c r="A44" s="37" t="s">
        <v>288</v>
      </c>
      <c r="B44" s="38"/>
      <c r="C44" s="39"/>
      <c r="D44" s="260" t="s">
        <v>61</v>
      </c>
      <c r="E44" s="258" t="str">
        <f>_xlfn.XLOOKUP(D44,Table13[Decription],Table13[Unit])</f>
        <v>bottle</v>
      </c>
      <c r="F44" s="222">
        <v>1</v>
      </c>
      <c r="G44" s="258">
        <f>_xlfn.XLOOKUP(D44,Table13[Decription],Table13[Unit Cost])</f>
        <v>370</v>
      </c>
      <c r="H44" s="259">
        <f t="shared" si="0"/>
        <v>370</v>
      </c>
      <c r="K44" s="261"/>
    </row>
    <row r="45" spans="1:11" s="260" customFormat="1" ht="10.5">
      <c r="A45" s="37" t="s">
        <v>288</v>
      </c>
      <c r="B45" s="38"/>
      <c r="C45" s="39"/>
      <c r="D45" s="257" t="s">
        <v>63</v>
      </c>
      <c r="E45" s="258" t="str">
        <f>_xlfn.XLOOKUP(D45,Table13[Decription],Table13[Unit])</f>
        <v>bottle</v>
      </c>
      <c r="F45" s="222">
        <v>1</v>
      </c>
      <c r="G45" s="258">
        <f>_xlfn.XLOOKUP(D45,Table13[Decription],Table13[Unit Cost])</f>
        <v>371.36</v>
      </c>
      <c r="H45" s="259">
        <f t="shared" si="0"/>
        <v>371.36</v>
      </c>
      <c r="K45" s="262"/>
    </row>
    <row r="46" spans="1:11" s="260" customFormat="1" ht="10.5">
      <c r="A46" s="37" t="s">
        <v>288</v>
      </c>
      <c r="B46" s="38"/>
      <c r="C46" s="39"/>
      <c r="D46" s="257" t="s">
        <v>60</v>
      </c>
      <c r="E46" s="258" t="str">
        <f>_xlfn.XLOOKUP(D46,Table13[Decription],Table13[Unit])</f>
        <v>bottle</v>
      </c>
      <c r="F46" s="222">
        <v>1</v>
      </c>
      <c r="G46" s="258">
        <f>_xlfn.XLOOKUP(D46,Table13[Decription],Table13[Unit Cost])</f>
        <v>370.2</v>
      </c>
      <c r="H46" s="259">
        <f t="shared" si="0"/>
        <v>370.2</v>
      </c>
      <c r="K46" s="261"/>
    </row>
    <row r="47" spans="1:11" s="260" customFormat="1" ht="10.5">
      <c r="A47" s="37" t="s">
        <v>288</v>
      </c>
      <c r="B47" s="38"/>
      <c r="C47" s="39"/>
      <c r="D47" s="257" t="s">
        <v>94</v>
      </c>
      <c r="E47" s="258" t="str">
        <f>_xlfn.XLOOKUP(D47,Table13[Decription],Table13[Unit])</f>
        <v>piece</v>
      </c>
      <c r="F47" s="222">
        <v>2</v>
      </c>
      <c r="G47" s="258">
        <f>_xlfn.XLOOKUP(D47,Table13[Decription],Table13[Unit Cost])</f>
        <v>45</v>
      </c>
      <c r="H47" s="259">
        <f t="shared" ref="H47" si="6">G47*F47</f>
        <v>90</v>
      </c>
      <c r="K47" s="261"/>
    </row>
    <row r="48" spans="1:11" s="260" customFormat="1" ht="10.5">
      <c r="A48" s="37" t="s">
        <v>289</v>
      </c>
      <c r="B48" s="38"/>
      <c r="C48" s="39"/>
      <c r="D48" s="257" t="s">
        <v>89</v>
      </c>
      <c r="E48" s="258" t="str">
        <f>_xlfn.XLOOKUP(D48,Table13[Decription],Table13[Unit])</f>
        <v>piece</v>
      </c>
      <c r="F48" s="222">
        <v>1</v>
      </c>
      <c r="G48" s="258">
        <f>_xlfn.XLOOKUP(D48,Table13[Decription],Table13[Unit Cost])</f>
        <v>38.89</v>
      </c>
      <c r="H48" s="259">
        <f t="shared" si="0"/>
        <v>38.89</v>
      </c>
      <c r="K48" s="261"/>
    </row>
    <row r="49" spans="1:11" s="260" customFormat="1" ht="10.5">
      <c r="A49" s="37" t="s">
        <v>290</v>
      </c>
      <c r="B49" s="38"/>
      <c r="C49" s="39"/>
      <c r="D49" s="40" t="s">
        <v>48</v>
      </c>
      <c r="E49" s="258" t="str">
        <f>_xlfn.XLOOKUP(D49,Table13[Decription],Table13[Unit])</f>
        <v>piece</v>
      </c>
      <c r="F49" s="222">
        <v>10</v>
      </c>
      <c r="G49" s="258">
        <f>_xlfn.XLOOKUP(D49,Table13[Decription],Table13[Unit Cost])</f>
        <v>3.875</v>
      </c>
      <c r="H49" s="259">
        <f t="shared" si="0"/>
        <v>38.75</v>
      </c>
      <c r="K49" s="262"/>
    </row>
    <row r="50" spans="1:11" s="260" customFormat="1" ht="10.5">
      <c r="A50" s="37" t="s">
        <v>290</v>
      </c>
      <c r="B50" s="38"/>
      <c r="C50" s="39"/>
      <c r="D50" s="257" t="s">
        <v>152</v>
      </c>
      <c r="E50" s="258" t="str">
        <f>_xlfn.XLOOKUP(D50,Table13[Decription],Table13[Unit])</f>
        <v>roll</v>
      </c>
      <c r="F50" s="222">
        <v>2</v>
      </c>
      <c r="G50" s="258">
        <f>_xlfn.XLOOKUP(D50,Table13[Decription],Table13[Unit Cost])</f>
        <v>28.72</v>
      </c>
      <c r="H50" s="259">
        <f t="shared" si="0"/>
        <v>57.44</v>
      </c>
      <c r="K50" s="261"/>
    </row>
    <row r="51" spans="1:11" s="260" customFormat="1" ht="10.5">
      <c r="A51" s="37" t="s">
        <v>290</v>
      </c>
      <c r="B51" s="38"/>
      <c r="C51" s="39"/>
      <c r="D51" s="257" t="s">
        <v>51</v>
      </c>
      <c r="E51" s="258" t="str">
        <f>_xlfn.XLOOKUP(D51,Table13[Decription],Table13[Unit])</f>
        <v>ream</v>
      </c>
      <c r="F51" s="222">
        <v>1</v>
      </c>
      <c r="G51" s="258">
        <f>_xlfn.XLOOKUP(D51,Table13[Decription],Table13[Unit Cost])</f>
        <v>340.17</v>
      </c>
      <c r="H51" s="259">
        <f t="shared" si="0"/>
        <v>340.17</v>
      </c>
      <c r="K51" s="262"/>
    </row>
    <row r="52" spans="1:11" s="260" customFormat="1" ht="10.5">
      <c r="A52" s="37" t="s">
        <v>290</v>
      </c>
      <c r="B52" s="38"/>
      <c r="C52" s="39"/>
      <c r="D52" s="257" t="s">
        <v>149</v>
      </c>
      <c r="E52" s="258" t="str">
        <f>_xlfn.XLOOKUP(D52,Table13[Decription],Table13[Unit])</f>
        <v>roll</v>
      </c>
      <c r="F52" s="222">
        <v>1</v>
      </c>
      <c r="G52" s="258">
        <f>_xlfn.XLOOKUP(D52,Table13[Decription],Table13[Unit Cost])</f>
        <v>34.75</v>
      </c>
      <c r="H52" s="259">
        <f t="shared" si="0"/>
        <v>34.75</v>
      </c>
      <c r="K52" s="261"/>
    </row>
    <row r="53" spans="1:11" s="260" customFormat="1" ht="10.5">
      <c r="A53" s="37" t="s">
        <v>290</v>
      </c>
      <c r="B53" s="38"/>
      <c r="C53" s="39"/>
      <c r="D53" s="257" t="s">
        <v>159</v>
      </c>
      <c r="E53" s="258" t="str">
        <f>_xlfn.XLOOKUP(D53,Table13[Decription],Table13[Unit])</f>
        <v xml:space="preserve">piece </v>
      </c>
      <c r="F53" s="222">
        <v>1</v>
      </c>
      <c r="G53" s="258">
        <f>_xlfn.XLOOKUP(D53,Table13[Decription],Table13[Unit Cost])</f>
        <v>44</v>
      </c>
      <c r="H53" s="259">
        <f t="shared" si="0"/>
        <v>44</v>
      </c>
      <c r="K53" s="262"/>
    </row>
    <row r="54" spans="1:11" s="260" customFormat="1" ht="10.5">
      <c r="A54" s="37" t="s">
        <v>291</v>
      </c>
      <c r="B54" s="38"/>
      <c r="C54" s="39"/>
      <c r="D54" s="257" t="s">
        <v>66</v>
      </c>
      <c r="E54" s="258" t="str">
        <f>_xlfn.XLOOKUP(D54,Table13[Decription],Table13[Unit])</f>
        <v>piece</v>
      </c>
      <c r="F54" s="222">
        <v>1</v>
      </c>
      <c r="G54" s="258">
        <f>_xlfn.XLOOKUP(D54,Table13[Decription],Table13[Unit Cost])</f>
        <v>84</v>
      </c>
      <c r="H54" s="259">
        <f t="shared" si="0"/>
        <v>84</v>
      </c>
      <c r="K54" s="261"/>
    </row>
    <row r="55" spans="1:11" s="269" customFormat="1" ht="10.5">
      <c r="A55" s="37" t="s">
        <v>291</v>
      </c>
      <c r="B55" s="38"/>
      <c r="C55" s="39"/>
      <c r="D55" s="257" t="s">
        <v>161</v>
      </c>
      <c r="E55" s="258" t="str">
        <f>_xlfn.XLOOKUP(D55,Table13[Decription],Table13[Unit])</f>
        <v>piece</v>
      </c>
      <c r="F55" s="222">
        <v>10</v>
      </c>
      <c r="G55" s="258">
        <f>_xlfn.XLOOKUP(D55,Table13[Decription],Table13[Unit Cost])</f>
        <v>80.540000000000006</v>
      </c>
      <c r="H55" s="259">
        <f t="shared" si="0"/>
        <v>805.40000000000009</v>
      </c>
      <c r="K55" s="262"/>
    </row>
    <row r="56" spans="1:11" s="260" customFormat="1" ht="10.5">
      <c r="A56" s="37" t="s">
        <v>291</v>
      </c>
      <c r="B56" s="38"/>
      <c r="C56" s="39"/>
      <c r="D56" s="257" t="s">
        <v>89</v>
      </c>
      <c r="E56" s="258" t="str">
        <f>_xlfn.XLOOKUP(D56,Table13[Decription],Table13[Unit])</f>
        <v>piece</v>
      </c>
      <c r="F56" s="222">
        <v>1</v>
      </c>
      <c r="G56" s="258">
        <f>_xlfn.XLOOKUP(D56,Table13[Decription],Table13[Unit Cost])</f>
        <v>38.89</v>
      </c>
      <c r="H56" s="259">
        <f t="shared" si="0"/>
        <v>38.89</v>
      </c>
      <c r="K56" s="261"/>
    </row>
    <row r="57" spans="1:11" s="260" customFormat="1" ht="10.5">
      <c r="A57" s="37" t="s">
        <v>291</v>
      </c>
      <c r="B57" s="270"/>
      <c r="C57" s="226"/>
      <c r="D57" s="267" t="s">
        <v>115</v>
      </c>
      <c r="E57" s="258" t="str">
        <f>_xlfn.XLOOKUP(D57,Table13[Decription],Table13[Unit])</f>
        <v xml:space="preserve">piece </v>
      </c>
      <c r="F57" s="222">
        <v>5</v>
      </c>
      <c r="G57" s="258">
        <f>_xlfn.XLOOKUP(D57,Table13[Decription],Table13[Unit Cost])</f>
        <v>20</v>
      </c>
      <c r="H57" s="259">
        <f t="shared" si="0"/>
        <v>100</v>
      </c>
      <c r="K57" s="262"/>
    </row>
    <row r="58" spans="1:11" s="260" customFormat="1" ht="10.5">
      <c r="A58" s="37" t="s">
        <v>291</v>
      </c>
      <c r="B58" s="38"/>
      <c r="C58" s="39"/>
      <c r="D58" s="257" t="s">
        <v>52</v>
      </c>
      <c r="E58" s="258" t="str">
        <f>_xlfn.XLOOKUP(D58,Table13[Decription],Table13[Unit])</f>
        <v>piece</v>
      </c>
      <c r="F58" s="222">
        <v>4</v>
      </c>
      <c r="G58" s="258">
        <f>_xlfn.XLOOKUP(D58,Table13[Decription],Table13[Unit Cost])</f>
        <v>20</v>
      </c>
      <c r="H58" s="259">
        <f t="shared" si="0"/>
        <v>80</v>
      </c>
      <c r="K58" s="261"/>
    </row>
    <row r="59" spans="1:11" s="260" customFormat="1" ht="10.5">
      <c r="A59" s="37" t="s">
        <v>293</v>
      </c>
      <c r="B59" s="38"/>
      <c r="C59" s="39"/>
      <c r="D59" s="40" t="s">
        <v>62</v>
      </c>
      <c r="E59" s="258" t="str">
        <f>_xlfn.XLOOKUP(D59,Table13[Decription],Table13[Unit])</f>
        <v>bottle</v>
      </c>
      <c r="F59" s="222">
        <v>1</v>
      </c>
      <c r="G59" s="258">
        <f>_xlfn.XLOOKUP(D59,Table13[Decription],Table13[Unit Cost])</f>
        <v>370</v>
      </c>
      <c r="H59" s="259">
        <f t="shared" si="0"/>
        <v>370</v>
      </c>
      <c r="K59" s="262"/>
    </row>
    <row r="60" spans="1:11" s="260" customFormat="1" ht="10.5">
      <c r="A60" s="37" t="s">
        <v>293</v>
      </c>
      <c r="B60" s="38"/>
      <c r="C60" s="39"/>
      <c r="D60" s="40" t="s">
        <v>63</v>
      </c>
      <c r="E60" s="258" t="str">
        <f>_xlfn.XLOOKUP(D60,Table13[Decription],Table13[Unit])</f>
        <v>bottle</v>
      </c>
      <c r="F60" s="222">
        <v>1</v>
      </c>
      <c r="G60" s="258">
        <f>_xlfn.XLOOKUP(D60,Table13[Decription],Table13[Unit Cost])</f>
        <v>371.36</v>
      </c>
      <c r="H60" s="259">
        <f t="shared" si="0"/>
        <v>371.36</v>
      </c>
      <c r="K60" s="261"/>
    </row>
    <row r="61" spans="1:11" s="260" customFormat="1" ht="10.5">
      <c r="A61" s="37" t="s">
        <v>293</v>
      </c>
      <c r="B61" s="38"/>
      <c r="C61" s="39"/>
      <c r="D61" s="40" t="s">
        <v>61</v>
      </c>
      <c r="E61" s="258" t="str">
        <f>_xlfn.XLOOKUP(D61,Table13[Decription],Table13[Unit])</f>
        <v>bottle</v>
      </c>
      <c r="F61" s="222">
        <v>1</v>
      </c>
      <c r="G61" s="258">
        <f>_xlfn.XLOOKUP(D61,Table13[Decription],Table13[Unit Cost])</f>
        <v>370</v>
      </c>
      <c r="H61" s="259">
        <f t="shared" si="0"/>
        <v>370</v>
      </c>
      <c r="K61" s="262"/>
    </row>
    <row r="62" spans="1:11" s="260" customFormat="1" ht="10.5">
      <c r="A62" s="37" t="s">
        <v>293</v>
      </c>
      <c r="B62" s="38"/>
      <c r="C62" s="39"/>
      <c r="D62" s="40" t="s">
        <v>60</v>
      </c>
      <c r="E62" s="258" t="str">
        <f>_xlfn.XLOOKUP(D62,Table13[Decription],Table13[Unit])</f>
        <v>bottle</v>
      </c>
      <c r="F62" s="222">
        <v>1</v>
      </c>
      <c r="G62" s="258">
        <f>_xlfn.XLOOKUP(D62,Table13[Decription],Table13[Unit Cost])</f>
        <v>370.2</v>
      </c>
      <c r="H62" s="259">
        <f t="shared" si="0"/>
        <v>370.2</v>
      </c>
      <c r="K62" s="261"/>
    </row>
    <row r="63" spans="1:11" s="260" customFormat="1" ht="10.5">
      <c r="A63" s="37" t="s">
        <v>293</v>
      </c>
      <c r="B63" s="38"/>
      <c r="C63" s="39"/>
      <c r="D63" s="40" t="s">
        <v>138</v>
      </c>
      <c r="E63" s="258" t="str">
        <f>_xlfn.XLOOKUP(D63,Table13[Decription],Table13[Unit])</f>
        <v>bottle</v>
      </c>
      <c r="F63" s="222">
        <v>2</v>
      </c>
      <c r="G63" s="258">
        <f>_xlfn.XLOOKUP(D63,Table13[Decription],Table13[Unit Cost])</f>
        <v>468.3</v>
      </c>
      <c r="H63" s="259">
        <f t="shared" ref="H63:H78" si="7">G63*F63</f>
        <v>936.6</v>
      </c>
      <c r="K63" s="262"/>
    </row>
    <row r="64" spans="1:11" s="260" customFormat="1" ht="10.5">
      <c r="A64" s="37" t="s">
        <v>293</v>
      </c>
      <c r="B64" s="38"/>
      <c r="C64" s="39"/>
      <c r="D64" s="40" t="s">
        <v>134</v>
      </c>
      <c r="E64" s="258" t="str">
        <f>_xlfn.XLOOKUP(D64,Table13[Decription],Table13[Unit])</f>
        <v>bottle</v>
      </c>
      <c r="F64" s="222">
        <v>2</v>
      </c>
      <c r="G64" s="258">
        <f>_xlfn.XLOOKUP(D64,Table13[Decription],Table13[Unit Cost])</f>
        <v>462.43</v>
      </c>
      <c r="H64" s="259">
        <f t="shared" si="7"/>
        <v>924.86</v>
      </c>
      <c r="K64" s="261"/>
    </row>
    <row r="65" spans="1:11" s="260" customFormat="1" ht="10.5">
      <c r="A65" s="37" t="s">
        <v>293</v>
      </c>
      <c r="B65" s="38"/>
      <c r="C65" s="39"/>
      <c r="D65" s="40" t="s">
        <v>135</v>
      </c>
      <c r="E65" s="258" t="str">
        <f>_xlfn.XLOOKUP(D65,Table13[Decription],Table13[Unit])</f>
        <v>bottle</v>
      </c>
      <c r="F65" s="222">
        <v>2</v>
      </c>
      <c r="G65" s="258">
        <f>_xlfn.XLOOKUP(D65,Table13[Decription],Table13[Unit Cost])</f>
        <v>458.46</v>
      </c>
      <c r="H65" s="259">
        <f t="shared" si="7"/>
        <v>916.92</v>
      </c>
      <c r="K65" s="262"/>
    </row>
    <row r="66" spans="1:11" s="260" customFormat="1" ht="10.5">
      <c r="A66" s="37" t="s">
        <v>293</v>
      </c>
      <c r="B66" s="38"/>
      <c r="C66" s="39"/>
      <c r="D66" s="40" t="s">
        <v>136</v>
      </c>
      <c r="E66" s="258" t="str">
        <f>_xlfn.XLOOKUP(D66,Table13[Decription],Table13[Unit])</f>
        <v>bottle</v>
      </c>
      <c r="F66" s="222">
        <v>2</v>
      </c>
      <c r="G66" s="258">
        <f>_xlfn.XLOOKUP(D66,Table13[Decription],Table13[Unit Cost])</f>
        <v>458.46</v>
      </c>
      <c r="H66" s="259">
        <f t="shared" si="7"/>
        <v>916.92</v>
      </c>
      <c r="K66" s="261"/>
    </row>
    <row r="67" spans="1:11" s="260" customFormat="1" ht="10.5">
      <c r="A67" s="37" t="s">
        <v>293</v>
      </c>
      <c r="B67" s="38"/>
      <c r="C67" s="39"/>
      <c r="D67" s="40" t="s">
        <v>125</v>
      </c>
      <c r="E67" s="258" t="str">
        <f>_xlfn.XLOOKUP(D67,Table13[Decription],Table13[Unit])</f>
        <v>pack</v>
      </c>
      <c r="F67" s="222">
        <v>3</v>
      </c>
      <c r="G67" s="258">
        <f>_xlfn.XLOOKUP(D67,Table13[Decription],Table13[Unit Cost])</f>
        <v>150</v>
      </c>
      <c r="H67" s="259">
        <f t="shared" ref="H67" si="8">G67*F67</f>
        <v>450</v>
      </c>
      <c r="K67" s="261"/>
    </row>
    <row r="68" spans="1:11" s="260" customFormat="1" ht="10.5">
      <c r="A68" s="37" t="s">
        <v>294</v>
      </c>
      <c r="B68" s="38"/>
      <c r="C68" s="39"/>
      <c r="D68" s="40" t="s">
        <v>51</v>
      </c>
      <c r="E68" s="258" t="str">
        <f>_xlfn.XLOOKUP(D68,Table13[Decription],Table13[Unit])</f>
        <v>ream</v>
      </c>
      <c r="F68" s="222">
        <v>1</v>
      </c>
      <c r="G68" s="258">
        <f>_xlfn.XLOOKUP(D68,Table13[Decription],Table13[Unit Cost])</f>
        <v>340.17</v>
      </c>
      <c r="H68" s="259">
        <f t="shared" si="7"/>
        <v>340.17</v>
      </c>
      <c r="K68" s="262"/>
    </row>
    <row r="69" spans="1:11" s="260" customFormat="1" ht="10.5">
      <c r="A69" s="37" t="s">
        <v>295</v>
      </c>
      <c r="B69" s="38"/>
      <c r="C69" s="39"/>
      <c r="D69" s="40" t="s">
        <v>129</v>
      </c>
      <c r="E69" s="258" t="str">
        <f>_xlfn.XLOOKUP(D69,Table13[Decription],Table13[Unit])</f>
        <v>ream</v>
      </c>
      <c r="F69" s="222">
        <v>4</v>
      </c>
      <c r="G69" s="258">
        <f>_xlfn.XLOOKUP(D69,Table13[Decription],Table13[Unit Cost])</f>
        <v>310</v>
      </c>
      <c r="H69" s="259">
        <f t="shared" si="7"/>
        <v>1240</v>
      </c>
      <c r="K69" s="262"/>
    </row>
    <row r="70" spans="1:11" s="260" customFormat="1" ht="10.5">
      <c r="A70" s="37" t="s">
        <v>295</v>
      </c>
      <c r="B70" s="38"/>
      <c r="C70" s="39"/>
      <c r="D70" s="40" t="s">
        <v>159</v>
      </c>
      <c r="E70" s="258" t="str">
        <f>_xlfn.XLOOKUP(D70,Table13[Decription],Table13[Unit])</f>
        <v xml:space="preserve">piece </v>
      </c>
      <c r="F70" s="222">
        <v>4</v>
      </c>
      <c r="G70" s="258">
        <f>_xlfn.XLOOKUP(D70,Table13[Decription],Table13[Unit Cost])</f>
        <v>44</v>
      </c>
      <c r="H70" s="259">
        <f t="shared" si="7"/>
        <v>176</v>
      </c>
      <c r="K70" s="261"/>
    </row>
    <row r="71" spans="1:11" s="260" customFormat="1" ht="10.5">
      <c r="A71" s="37" t="s">
        <v>295</v>
      </c>
      <c r="B71" s="38"/>
      <c r="C71" s="39"/>
      <c r="D71" s="40" t="s">
        <v>99</v>
      </c>
      <c r="E71" s="258" t="str">
        <f>_xlfn.XLOOKUP(D71,Table13[Decription],Table13[Unit])</f>
        <v xml:space="preserve">piece </v>
      </c>
      <c r="F71" s="222">
        <v>3</v>
      </c>
      <c r="G71" s="258">
        <f>_xlfn.XLOOKUP(D71,Table13[Decription],Table13[Unit Cost])</f>
        <v>42</v>
      </c>
      <c r="H71" s="259">
        <f t="shared" si="7"/>
        <v>126</v>
      </c>
      <c r="K71" s="261"/>
    </row>
    <row r="72" spans="1:11" s="260" customFormat="1" ht="10.5">
      <c r="A72" s="37" t="s">
        <v>296</v>
      </c>
      <c r="B72" s="38"/>
      <c r="C72" s="39"/>
      <c r="D72" s="257" t="s">
        <v>89</v>
      </c>
      <c r="E72" s="258" t="str">
        <f>_xlfn.XLOOKUP(D72,Table13[Decription],Table13[Unit])</f>
        <v>piece</v>
      </c>
      <c r="F72" s="222">
        <v>1</v>
      </c>
      <c r="G72" s="258">
        <f>_xlfn.XLOOKUP(D72,Table13[Decription],Table13[Unit Cost])</f>
        <v>38.89</v>
      </c>
      <c r="H72" s="259">
        <f t="shared" si="7"/>
        <v>38.89</v>
      </c>
      <c r="K72" s="261"/>
    </row>
    <row r="73" spans="1:11" s="260" customFormat="1" ht="10.5">
      <c r="A73" s="37" t="s">
        <v>296</v>
      </c>
      <c r="B73" s="38"/>
      <c r="C73" s="39"/>
      <c r="D73" s="257" t="s">
        <v>147</v>
      </c>
      <c r="E73" s="258" t="str">
        <f>_xlfn.XLOOKUP(D73,Table13[Decription],Table13[Unit])</f>
        <v xml:space="preserve">piece </v>
      </c>
      <c r="F73" s="222">
        <v>2</v>
      </c>
      <c r="G73" s="258">
        <f>_xlfn.XLOOKUP(D73,Table13[Decription],Table13[Unit Cost])</f>
        <v>45</v>
      </c>
      <c r="H73" s="259">
        <f t="shared" ref="H73" si="9">G73*F73</f>
        <v>90</v>
      </c>
      <c r="K73" s="261"/>
    </row>
    <row r="74" spans="1:11" s="260" customFormat="1" ht="10.5">
      <c r="A74" s="249" t="s">
        <v>297</v>
      </c>
      <c r="B74" s="250"/>
      <c r="C74" s="226"/>
      <c r="D74" s="40" t="s">
        <v>66</v>
      </c>
      <c r="E74" s="258" t="str">
        <f>_xlfn.XLOOKUP(D74,Table13[Decription],Table13[Unit])</f>
        <v>piece</v>
      </c>
      <c r="F74" s="272">
        <v>2</v>
      </c>
      <c r="G74" s="271">
        <f>_xlfn.XLOOKUP(D74,Table13[Decription],Table13[Unit Cost])</f>
        <v>84</v>
      </c>
      <c r="H74" s="273">
        <f t="shared" si="7"/>
        <v>168</v>
      </c>
      <c r="K74" s="262"/>
    </row>
    <row r="75" spans="1:11" s="260" customFormat="1" ht="10.5">
      <c r="A75" s="249" t="s">
        <v>299</v>
      </c>
      <c r="B75" s="250"/>
      <c r="C75" s="226"/>
      <c r="D75" s="40" t="s">
        <v>152</v>
      </c>
      <c r="E75" s="258" t="str">
        <f>_xlfn.XLOOKUP(D75,Table13[Decription],Table13[Unit])</f>
        <v>roll</v>
      </c>
      <c r="F75" s="272">
        <v>1</v>
      </c>
      <c r="G75" s="271">
        <f>_xlfn.XLOOKUP(D75,Table13[Decription],Table13[Unit Cost])</f>
        <v>28.72</v>
      </c>
      <c r="H75" s="273">
        <f t="shared" si="7"/>
        <v>28.72</v>
      </c>
      <c r="K75" s="261"/>
    </row>
    <row r="76" spans="1:11" s="260" customFormat="1" ht="10.5">
      <c r="A76" s="37" t="s">
        <v>299</v>
      </c>
      <c r="B76" s="38"/>
      <c r="C76" s="39"/>
      <c r="D76" s="40" t="s">
        <v>56</v>
      </c>
      <c r="E76" s="258" t="str">
        <f>_xlfn.XLOOKUP(D76,Table13[Decription],Table13[Unit])</f>
        <v>bottle</v>
      </c>
      <c r="F76" s="222">
        <v>1</v>
      </c>
      <c r="G76" s="258">
        <f>_xlfn.XLOOKUP(D76,Table13[Decription],Table13[Unit Cost])</f>
        <v>375</v>
      </c>
      <c r="H76" s="259">
        <f t="shared" si="7"/>
        <v>375</v>
      </c>
      <c r="K76" s="261"/>
    </row>
    <row r="77" spans="1:11" s="260" customFormat="1" ht="10.5">
      <c r="A77" s="37" t="s">
        <v>299</v>
      </c>
      <c r="B77" s="38"/>
      <c r="C77" s="39"/>
      <c r="D77" s="40" t="s">
        <v>57</v>
      </c>
      <c r="E77" s="258" t="str">
        <f>_xlfn.XLOOKUP(D77,Table13[Decription],Table13[Unit])</f>
        <v>bottle</v>
      </c>
      <c r="F77" s="222">
        <v>1</v>
      </c>
      <c r="G77" s="258">
        <f>_xlfn.XLOOKUP(D77,Table13[Decription],Table13[Unit Cost])</f>
        <v>385</v>
      </c>
      <c r="H77" s="259">
        <f t="shared" si="7"/>
        <v>385</v>
      </c>
      <c r="K77" s="262"/>
    </row>
    <row r="78" spans="1:11" s="260" customFormat="1" ht="10.5">
      <c r="A78" s="37" t="s">
        <v>299</v>
      </c>
      <c r="B78" s="38"/>
      <c r="C78" s="39"/>
      <c r="D78" s="40" t="s">
        <v>59</v>
      </c>
      <c r="E78" s="258" t="str">
        <f>_xlfn.XLOOKUP(D78,Table13[Decription],Table13[Unit])</f>
        <v>bottle</v>
      </c>
      <c r="F78" s="272">
        <v>1</v>
      </c>
      <c r="G78" s="271">
        <f>_xlfn.XLOOKUP(D78,Table13[Decription],Table13[Unit Cost])</f>
        <v>385</v>
      </c>
      <c r="H78" s="273">
        <f t="shared" si="7"/>
        <v>385</v>
      </c>
      <c r="J78" s="269"/>
      <c r="K78" s="262"/>
    </row>
    <row r="79" spans="1:11" s="260" customFormat="1" ht="10.5">
      <c r="A79" s="37" t="s">
        <v>300</v>
      </c>
      <c r="B79" s="38"/>
      <c r="C79" s="39"/>
      <c r="D79" s="40" t="s">
        <v>122</v>
      </c>
      <c r="E79" s="258" t="str">
        <f>_xlfn.XLOOKUP(D79,Table13[Decription],Table13[Unit])</f>
        <v xml:space="preserve">piece </v>
      </c>
      <c r="F79" s="272">
        <v>9</v>
      </c>
      <c r="G79" s="271">
        <f>_xlfn.XLOOKUP(D79,Table13[Decription],Table13[Unit Cost])</f>
        <v>83.18</v>
      </c>
      <c r="H79" s="273">
        <f t="shared" ref="H79:H80" si="10">G79*F79</f>
        <v>748.62000000000012</v>
      </c>
      <c r="J79" s="269"/>
      <c r="K79" s="262"/>
    </row>
    <row r="80" spans="1:11" s="260" customFormat="1" ht="10.5">
      <c r="A80" s="37" t="s">
        <v>300</v>
      </c>
      <c r="B80" s="38"/>
      <c r="C80" s="39"/>
      <c r="D80" s="40" t="s">
        <v>120</v>
      </c>
      <c r="E80" s="258" t="str">
        <f>_xlfn.XLOOKUP(D80,Table13[Decription],Table13[Unit])</f>
        <v>pack</v>
      </c>
      <c r="F80" s="272">
        <v>7</v>
      </c>
      <c r="G80" s="271">
        <f>_xlfn.XLOOKUP(D80,Table13[Decription],Table13[Unit Cost])</f>
        <v>80.558285699999999</v>
      </c>
      <c r="H80" s="273">
        <f t="shared" si="10"/>
        <v>563.90799990000005</v>
      </c>
      <c r="J80" s="269"/>
      <c r="K80" s="262"/>
    </row>
    <row r="81" spans="1:11" s="269" customFormat="1" ht="10.5">
      <c r="A81" s="249" t="s">
        <v>301</v>
      </c>
      <c r="B81" s="250"/>
      <c r="C81" s="226"/>
      <c r="D81" s="274" t="s">
        <v>150</v>
      </c>
      <c r="E81" s="258" t="str">
        <f>_xlfn.XLOOKUP(D81,Table13[Decription],Table13[Unit])</f>
        <v>piece</v>
      </c>
      <c r="F81" s="272">
        <v>1</v>
      </c>
      <c r="G81" s="271">
        <f>_xlfn.XLOOKUP(D81,Table13[Decription],Table13[Unit Cost])</f>
        <v>30</v>
      </c>
      <c r="H81" s="273">
        <f t="shared" ref="H81" si="11">G81*F81</f>
        <v>30</v>
      </c>
      <c r="K81" s="261"/>
    </row>
    <row r="82" spans="1:11" s="269" customFormat="1" ht="10.5">
      <c r="A82" s="37" t="s">
        <v>301</v>
      </c>
      <c r="B82" s="38"/>
      <c r="C82" s="39"/>
      <c r="D82" s="223" t="s">
        <v>116</v>
      </c>
      <c r="E82" s="258" t="str">
        <f>_xlfn.XLOOKUP(D82,Table13[Decription],Table13[Unit])</f>
        <v>box</v>
      </c>
      <c r="F82" s="222">
        <v>1</v>
      </c>
      <c r="G82" s="258">
        <f>_xlfn.XLOOKUP(D82,Table13[Decription],Table13[Unit Cost])</f>
        <v>88.46</v>
      </c>
      <c r="H82" s="259">
        <f>G82*F82</f>
        <v>88.46</v>
      </c>
    </row>
    <row r="83" spans="1:11" s="269" customFormat="1" ht="10.5">
      <c r="A83" s="37" t="s">
        <v>301</v>
      </c>
      <c r="B83" s="38"/>
      <c r="C83" s="39"/>
      <c r="D83" s="40" t="s">
        <v>90</v>
      </c>
      <c r="E83" s="258" t="str">
        <f>_xlfn.XLOOKUP(D83,Table13[Decription],Table13[Unit])</f>
        <v>piece</v>
      </c>
      <c r="F83" s="222">
        <v>1</v>
      </c>
      <c r="G83" s="258">
        <f>_xlfn.XLOOKUP(D83,Table13[Decription],Table13[Unit Cost])</f>
        <v>290</v>
      </c>
      <c r="H83" s="273">
        <f t="shared" ref="H83:H139" si="12">G83*F83</f>
        <v>290</v>
      </c>
    </row>
    <row r="84" spans="1:11" s="269" customFormat="1" ht="10.5">
      <c r="A84" s="37" t="s">
        <v>301</v>
      </c>
      <c r="B84" s="38"/>
      <c r="C84" s="39"/>
      <c r="D84" s="257" t="s">
        <v>49</v>
      </c>
      <c r="E84" s="258" t="str">
        <f>_xlfn.XLOOKUP(D84,Table13[Decription],Table13[Unit])</f>
        <v>box</v>
      </c>
      <c r="F84" s="222">
        <v>2</v>
      </c>
      <c r="G84" s="258">
        <f>_xlfn.XLOOKUP(D84,Table13[Decription],Table13[Unit Cost])</f>
        <v>47.93</v>
      </c>
      <c r="H84" s="259">
        <f t="shared" si="12"/>
        <v>95.86</v>
      </c>
    </row>
    <row r="85" spans="1:11" s="269" customFormat="1" ht="10.5">
      <c r="A85" s="37" t="s">
        <v>302</v>
      </c>
      <c r="B85" s="38"/>
      <c r="C85" s="39"/>
      <c r="D85" s="257" t="s">
        <v>64</v>
      </c>
      <c r="E85" s="258" t="str">
        <f>_xlfn.XLOOKUP(D85,Table13[Decription],Table13[Unit])</f>
        <v>piece</v>
      </c>
      <c r="F85" s="222">
        <v>16</v>
      </c>
      <c r="G85" s="258">
        <f>_xlfn.XLOOKUP(D85,Table13[Decription],Table13[Unit Cost])</f>
        <v>8.5755407899999998</v>
      </c>
      <c r="H85" s="259">
        <f t="shared" si="12"/>
        <v>137.20865264</v>
      </c>
    </row>
    <row r="86" spans="1:11" s="269" customFormat="1" ht="10.5">
      <c r="A86" s="37" t="s">
        <v>302</v>
      </c>
      <c r="B86" s="38"/>
      <c r="C86" s="39"/>
      <c r="D86" s="266" t="s">
        <v>68</v>
      </c>
      <c r="E86" s="258" t="str">
        <f>_xlfn.XLOOKUP(D86,Table13[Decription],Table13[Unit])</f>
        <v>box</v>
      </c>
      <c r="F86" s="222">
        <v>2</v>
      </c>
      <c r="G86" s="258">
        <f>_xlfn.XLOOKUP(D86,Table13[Decription],Table13[Unit Cost])</f>
        <v>20</v>
      </c>
      <c r="H86" s="259">
        <f t="shared" si="12"/>
        <v>40</v>
      </c>
    </row>
    <row r="87" spans="1:11" s="269" customFormat="1" ht="10.5">
      <c r="A87" s="37" t="s">
        <v>302</v>
      </c>
      <c r="B87" s="38"/>
      <c r="C87" s="39"/>
      <c r="D87" s="266" t="s">
        <v>112</v>
      </c>
      <c r="E87" s="258" t="str">
        <f>_xlfn.XLOOKUP(D87,Table13[Decription],Table13[Unit])</f>
        <v>box</v>
      </c>
      <c r="F87" s="222">
        <v>3</v>
      </c>
      <c r="G87" s="258">
        <f>_xlfn.XLOOKUP(D87,Table13[Decription],Table13[Unit Cost])</f>
        <v>33.93</v>
      </c>
      <c r="H87" s="259">
        <f t="shared" si="12"/>
        <v>101.78999999999999</v>
      </c>
    </row>
    <row r="88" spans="1:11" s="269" customFormat="1" ht="10.5">
      <c r="A88" s="251"/>
      <c r="B88" s="252"/>
      <c r="C88" s="253"/>
      <c r="D88" s="256" t="s">
        <v>351</v>
      </c>
      <c r="E88" s="275"/>
      <c r="F88" s="276"/>
      <c r="G88" s="275"/>
      <c r="H88" s="277"/>
    </row>
    <row r="89" spans="1:11" s="260" customFormat="1" ht="10.5">
      <c r="A89" s="37" t="s">
        <v>302</v>
      </c>
      <c r="B89" s="38"/>
      <c r="C89" s="39"/>
      <c r="D89" s="278" t="s">
        <v>155</v>
      </c>
      <c r="E89" s="258" t="str">
        <f>_xlfn.XLOOKUP(D89,Table13[Decription],Table13[Unit])</f>
        <v>bottle</v>
      </c>
      <c r="F89" s="222">
        <v>2</v>
      </c>
      <c r="G89" s="258">
        <f>_xlfn.XLOOKUP(D89,Table13[Decription],Table13[Unit Cost])</f>
        <v>65</v>
      </c>
      <c r="H89" s="259">
        <f>G89*F89</f>
        <v>130</v>
      </c>
      <c r="J89" s="269"/>
      <c r="K89" s="262"/>
    </row>
    <row r="90" spans="1:11" s="269" customFormat="1" ht="10.5">
      <c r="A90" s="37" t="s">
        <v>303</v>
      </c>
      <c r="B90" s="38"/>
      <c r="C90" s="39"/>
      <c r="D90" s="257" t="s">
        <v>48</v>
      </c>
      <c r="E90" s="258" t="str">
        <f>_xlfn.XLOOKUP(D90,Table13[Decription],Table13[Unit])</f>
        <v>piece</v>
      </c>
      <c r="F90" s="222">
        <v>10</v>
      </c>
      <c r="G90" s="258">
        <f>_xlfn.XLOOKUP(D90,Table13[Decription],Table13[Unit Cost])</f>
        <v>3.875</v>
      </c>
      <c r="H90" s="259">
        <f t="shared" si="12"/>
        <v>38.75</v>
      </c>
    </row>
    <row r="91" spans="1:11" s="269" customFormat="1" ht="10.5">
      <c r="A91" s="37" t="s">
        <v>303</v>
      </c>
      <c r="B91" s="38"/>
      <c r="C91" s="39"/>
      <c r="D91" s="266" t="s">
        <v>112</v>
      </c>
      <c r="E91" s="258" t="str">
        <f>_xlfn.XLOOKUP(D91,Table13[Decription],Table13[Unit])</f>
        <v>box</v>
      </c>
      <c r="F91" s="222">
        <v>3</v>
      </c>
      <c r="G91" s="258">
        <f>_xlfn.XLOOKUP(D91,Table13[Decription],Table13[Unit Cost])</f>
        <v>33.93</v>
      </c>
      <c r="H91" s="259">
        <f t="shared" si="12"/>
        <v>101.78999999999999</v>
      </c>
    </row>
    <row r="92" spans="1:11" s="269" customFormat="1" ht="10.5">
      <c r="A92" s="37" t="s">
        <v>303</v>
      </c>
      <c r="B92" s="38"/>
      <c r="C92" s="39"/>
      <c r="D92" s="260" t="s">
        <v>86</v>
      </c>
      <c r="E92" s="258" t="str">
        <f>_xlfn.XLOOKUP(D92,Table13[Decription],Table13[Unit])</f>
        <v>piece</v>
      </c>
      <c r="F92" s="222">
        <v>2</v>
      </c>
      <c r="G92" s="258">
        <f>_xlfn.XLOOKUP(D92,Table13[Decription],Table13[Unit Cost])</f>
        <v>403</v>
      </c>
      <c r="H92" s="259">
        <f t="shared" si="12"/>
        <v>806</v>
      </c>
    </row>
    <row r="93" spans="1:11" s="269" customFormat="1" ht="10.5">
      <c r="A93" s="37" t="s">
        <v>303</v>
      </c>
      <c r="B93" s="38"/>
      <c r="C93" s="39"/>
      <c r="D93" s="257" t="s">
        <v>53</v>
      </c>
      <c r="E93" s="258" t="str">
        <f>_xlfn.XLOOKUP(D93,Table13[Decription],Table13[Unit])</f>
        <v>piece</v>
      </c>
      <c r="F93" s="222">
        <v>3</v>
      </c>
      <c r="G93" s="258">
        <f>_xlfn.XLOOKUP(D93,Table13[Decription],Table13[Unit Cost])</f>
        <v>20</v>
      </c>
      <c r="H93" s="259">
        <f t="shared" si="12"/>
        <v>60</v>
      </c>
    </row>
    <row r="94" spans="1:11" s="269" customFormat="1" ht="10.5">
      <c r="A94" s="37" t="s">
        <v>304</v>
      </c>
      <c r="B94" s="38"/>
      <c r="C94" s="39"/>
      <c r="D94" s="257" t="s">
        <v>49</v>
      </c>
      <c r="E94" s="258" t="str">
        <f>_xlfn.XLOOKUP(D94,Table13[Decription],Table13[Unit])</f>
        <v>box</v>
      </c>
      <c r="F94" s="222">
        <v>1</v>
      </c>
      <c r="G94" s="258">
        <f>_xlfn.XLOOKUP(D94,Table13[Decription],Table13[Unit Cost])</f>
        <v>47.93</v>
      </c>
      <c r="H94" s="259">
        <f t="shared" si="12"/>
        <v>47.93</v>
      </c>
    </row>
    <row r="95" spans="1:11" s="269" customFormat="1" ht="10.5">
      <c r="A95" s="37" t="s">
        <v>304</v>
      </c>
      <c r="B95" s="38"/>
      <c r="C95" s="39"/>
      <c r="D95" s="260" t="s">
        <v>55</v>
      </c>
      <c r="E95" s="258" t="str">
        <f>_xlfn.XLOOKUP(D95,Table13[Decription],Table13[Unit])</f>
        <v>roll</v>
      </c>
      <c r="F95" s="222">
        <v>1</v>
      </c>
      <c r="G95" s="258">
        <f>_xlfn.XLOOKUP(D95,Table13[Decription],Table13[Unit Cost])</f>
        <v>42.15</v>
      </c>
      <c r="H95" s="259">
        <f t="shared" si="12"/>
        <v>42.15</v>
      </c>
    </row>
    <row r="96" spans="1:11" s="269" customFormat="1" ht="10.5">
      <c r="A96" s="37" t="s">
        <v>305</v>
      </c>
      <c r="B96" s="38"/>
      <c r="C96" s="39"/>
      <c r="D96" s="257" t="s">
        <v>64</v>
      </c>
      <c r="E96" s="258" t="str">
        <f>_xlfn.XLOOKUP(D96,Table13[Decription],Table13[Unit])</f>
        <v>piece</v>
      </c>
      <c r="F96" s="222">
        <v>130</v>
      </c>
      <c r="G96" s="258">
        <f>_xlfn.XLOOKUP(D96,Table13[Decription],Table13[Unit Cost])</f>
        <v>8.5755407899999998</v>
      </c>
      <c r="H96" s="259">
        <f t="shared" si="12"/>
        <v>1114.8203027</v>
      </c>
    </row>
    <row r="97" spans="1:8" s="269" customFormat="1" ht="10.5">
      <c r="A97" s="37" t="s">
        <v>306</v>
      </c>
      <c r="B97" s="38"/>
      <c r="C97" s="39"/>
      <c r="D97" s="257" t="s">
        <v>108</v>
      </c>
      <c r="E97" s="258" t="str">
        <f>_xlfn.XLOOKUP(D97,Table13[Decription],Table13[Unit])</f>
        <v>box</v>
      </c>
      <c r="F97" s="222">
        <v>4</v>
      </c>
      <c r="G97" s="258">
        <f>_xlfn.XLOOKUP(D97,Table13[Decription],Table13[Unit Cost])</f>
        <v>43.53</v>
      </c>
      <c r="H97" s="259">
        <f t="shared" si="12"/>
        <v>174.12</v>
      </c>
    </row>
    <row r="98" spans="1:8" s="269" customFormat="1" ht="10.5">
      <c r="A98" s="37" t="s">
        <v>306</v>
      </c>
      <c r="B98" s="38"/>
      <c r="C98" s="39"/>
      <c r="D98" s="40" t="s">
        <v>138</v>
      </c>
      <c r="E98" s="258" t="str">
        <f>_xlfn.XLOOKUP(D98,Table13[Decription],Table13[Unit])</f>
        <v>bottle</v>
      </c>
      <c r="F98" s="222">
        <v>1</v>
      </c>
      <c r="G98" s="258">
        <f>_xlfn.XLOOKUP(D98,Table13[Decription],Table13[Unit Cost])</f>
        <v>468.3</v>
      </c>
      <c r="H98" s="259">
        <f t="shared" si="12"/>
        <v>468.3</v>
      </c>
    </row>
    <row r="99" spans="1:8" s="269" customFormat="1" ht="10.5">
      <c r="A99" s="37" t="s">
        <v>306</v>
      </c>
      <c r="B99" s="38"/>
      <c r="C99" s="39" t="s">
        <v>2</v>
      </c>
      <c r="D99" s="40" t="s">
        <v>134</v>
      </c>
      <c r="E99" s="258" t="str">
        <f>_xlfn.XLOOKUP(D99,Table13[Decription],Table13[Unit])</f>
        <v>bottle</v>
      </c>
      <c r="F99" s="222">
        <v>2</v>
      </c>
      <c r="G99" s="258">
        <f>_xlfn.XLOOKUP(D99,Table13[Decription],Table13[Unit Cost])</f>
        <v>462.43</v>
      </c>
      <c r="H99" s="259">
        <f t="shared" si="12"/>
        <v>924.86</v>
      </c>
    </row>
    <row r="100" spans="1:8" s="269" customFormat="1" ht="10.5">
      <c r="A100" s="37" t="s">
        <v>306</v>
      </c>
      <c r="B100" s="38"/>
      <c r="C100" s="39"/>
      <c r="D100" s="40" t="s">
        <v>135</v>
      </c>
      <c r="E100" s="258" t="str">
        <f>_xlfn.XLOOKUP(D100,Table13[Decription],Table13[Unit])</f>
        <v>bottle</v>
      </c>
      <c r="F100" s="222">
        <v>2</v>
      </c>
      <c r="G100" s="258">
        <f>_xlfn.XLOOKUP(D100,Table13[Decription],Table13[Unit Cost])</f>
        <v>458.46</v>
      </c>
      <c r="H100" s="259">
        <f t="shared" si="12"/>
        <v>916.92</v>
      </c>
    </row>
    <row r="101" spans="1:8" s="269" customFormat="1" ht="10.5">
      <c r="A101" s="37" t="s">
        <v>306</v>
      </c>
      <c r="B101" s="38"/>
      <c r="C101" s="39"/>
      <c r="D101" s="40" t="s">
        <v>136</v>
      </c>
      <c r="E101" s="258" t="str">
        <f>_xlfn.XLOOKUP(D101,Table13[Decription],Table13[Unit])</f>
        <v>bottle</v>
      </c>
      <c r="F101" s="222">
        <v>1</v>
      </c>
      <c r="G101" s="258">
        <f>_xlfn.XLOOKUP(D101,Table13[Decription],Table13[Unit Cost])</f>
        <v>458.46</v>
      </c>
      <c r="H101" s="259">
        <f t="shared" si="12"/>
        <v>458.46</v>
      </c>
    </row>
    <row r="102" spans="1:8" s="269" customFormat="1" ht="10.5">
      <c r="A102" s="37" t="s">
        <v>306</v>
      </c>
      <c r="B102" s="38"/>
      <c r="C102" s="39"/>
      <c r="D102" s="257" t="s">
        <v>131</v>
      </c>
      <c r="E102" s="258" t="str">
        <f>_xlfn.XLOOKUP(D102,Table13[Decription],Table13[Unit])</f>
        <v>pack</v>
      </c>
      <c r="F102" s="222">
        <v>3</v>
      </c>
      <c r="G102" s="258">
        <f>_xlfn.XLOOKUP(D102,Table13[Decription],Table13[Unit Cost])</f>
        <v>40</v>
      </c>
      <c r="H102" s="259">
        <f t="shared" si="12"/>
        <v>120</v>
      </c>
    </row>
    <row r="103" spans="1:8" s="269" customFormat="1" ht="10.5">
      <c r="A103" s="37" t="s">
        <v>307</v>
      </c>
      <c r="B103" s="38"/>
      <c r="C103" s="39"/>
      <c r="D103" s="227" t="s">
        <v>51</v>
      </c>
      <c r="E103" s="258" t="str">
        <f>_xlfn.XLOOKUP(D103,Table13[Decription],Table13[Unit])</f>
        <v>ream</v>
      </c>
      <c r="F103" s="222">
        <v>2</v>
      </c>
      <c r="G103" s="258">
        <f>_xlfn.XLOOKUP(D103,Table13[Decription],Table13[Unit Cost])</f>
        <v>340.17</v>
      </c>
      <c r="H103" s="259">
        <f t="shared" si="12"/>
        <v>680.34</v>
      </c>
    </row>
    <row r="104" spans="1:8" s="269" customFormat="1" ht="10.5">
      <c r="A104" s="37" t="s">
        <v>309</v>
      </c>
      <c r="B104" s="38"/>
      <c r="C104" s="39"/>
      <c r="D104" s="40" t="s">
        <v>85</v>
      </c>
      <c r="E104" s="258" t="str">
        <f>_xlfn.XLOOKUP(D104,Table13[Decription],Table13[Unit])</f>
        <v>piece</v>
      </c>
      <c r="F104" s="222">
        <v>1</v>
      </c>
      <c r="G104" s="258">
        <f>_xlfn.XLOOKUP(D104,Table13[Decription],Table13[Unit Cost])</f>
        <v>110</v>
      </c>
      <c r="H104" s="259">
        <f t="shared" si="12"/>
        <v>110</v>
      </c>
    </row>
    <row r="105" spans="1:8" s="269" customFormat="1" ht="10.5">
      <c r="A105" s="37" t="s">
        <v>309</v>
      </c>
      <c r="B105" s="38"/>
      <c r="C105" s="39"/>
      <c r="D105" s="257" t="s">
        <v>89</v>
      </c>
      <c r="E105" s="258" t="str">
        <f>_xlfn.XLOOKUP(D105,Table13[Decription],Table13[Unit])</f>
        <v>piece</v>
      </c>
      <c r="F105" s="222">
        <v>1</v>
      </c>
      <c r="G105" s="258">
        <f>_xlfn.XLOOKUP(D105,Table13[Decription],Table13[Unit Cost])</f>
        <v>38.89</v>
      </c>
      <c r="H105" s="259">
        <f t="shared" si="12"/>
        <v>38.89</v>
      </c>
    </row>
    <row r="106" spans="1:8" s="269" customFormat="1" ht="10.5">
      <c r="A106" s="37" t="s">
        <v>309</v>
      </c>
      <c r="B106" s="38"/>
      <c r="C106" s="39"/>
      <c r="D106" s="260" t="s">
        <v>122</v>
      </c>
      <c r="E106" s="258" t="str">
        <f>_xlfn.XLOOKUP(D106,Table13[Decription],Table13[Unit])</f>
        <v xml:space="preserve">piece </v>
      </c>
      <c r="F106" s="222">
        <v>2</v>
      </c>
      <c r="G106" s="258">
        <f>_xlfn.XLOOKUP(D106,Table13[Decription],Table13[Unit Cost])</f>
        <v>83.18</v>
      </c>
      <c r="H106" s="259">
        <f t="shared" si="12"/>
        <v>166.36</v>
      </c>
    </row>
    <row r="107" spans="1:8" s="269" customFormat="1" ht="10.5">
      <c r="A107" s="37" t="s">
        <v>309</v>
      </c>
      <c r="B107" s="38"/>
      <c r="C107" s="226"/>
      <c r="D107" s="266" t="s">
        <v>115</v>
      </c>
      <c r="E107" s="264" t="str">
        <f>_xlfn.XLOOKUP(D107,Table13[Decription],Table13[Unit])</f>
        <v xml:space="preserve">piece </v>
      </c>
      <c r="F107" s="222">
        <v>10</v>
      </c>
      <c r="G107" s="258">
        <f>_xlfn.XLOOKUP(D107,Table13[Decription],Table13[Unit Cost])</f>
        <v>20</v>
      </c>
      <c r="H107" s="259">
        <f t="shared" si="12"/>
        <v>200</v>
      </c>
    </row>
    <row r="108" spans="1:8" s="269" customFormat="1" ht="10.5">
      <c r="A108" s="37" t="s">
        <v>310</v>
      </c>
      <c r="B108" s="38"/>
      <c r="C108" s="39"/>
      <c r="D108" s="279" t="s">
        <v>152</v>
      </c>
      <c r="E108" s="258" t="str">
        <f>_xlfn.XLOOKUP(D108,Table13[Decription],Table13[Unit])</f>
        <v>roll</v>
      </c>
      <c r="F108" s="222">
        <v>1</v>
      </c>
      <c r="G108" s="258">
        <f>_xlfn.XLOOKUP(D108,Table13[Decription],Table13[Unit Cost])</f>
        <v>28.72</v>
      </c>
      <c r="H108" s="259">
        <f t="shared" si="12"/>
        <v>28.72</v>
      </c>
    </row>
    <row r="109" spans="1:8" s="269" customFormat="1" ht="10.5">
      <c r="A109" s="37" t="s">
        <v>310</v>
      </c>
      <c r="B109" s="38"/>
      <c r="C109" s="39"/>
      <c r="D109" s="278" t="s">
        <v>91</v>
      </c>
      <c r="E109" s="258" t="str">
        <f>_xlfn.XLOOKUP(D109,Table13[Decription],Table13[Unit])</f>
        <v>piece</v>
      </c>
      <c r="F109" s="222">
        <v>2</v>
      </c>
      <c r="G109" s="258">
        <f>_xlfn.XLOOKUP(D109,Table13[Decription],Table13[Unit Cost])</f>
        <v>6</v>
      </c>
      <c r="H109" s="259">
        <f t="shared" si="12"/>
        <v>12</v>
      </c>
    </row>
    <row r="110" spans="1:8" s="269" customFormat="1" ht="10.5">
      <c r="A110" s="37" t="s">
        <v>310</v>
      </c>
      <c r="B110" s="38"/>
      <c r="C110" s="39"/>
      <c r="D110" s="257" t="s">
        <v>160</v>
      </c>
      <c r="E110" s="258" t="str">
        <f>_xlfn.XLOOKUP(D110,Table13[Decription],Table13[Unit])</f>
        <v>piece</v>
      </c>
      <c r="F110" s="222">
        <v>3</v>
      </c>
      <c r="G110" s="258">
        <f>_xlfn.XLOOKUP(D110,Table13[Decription],Table13[Unit Cost])</f>
        <v>83</v>
      </c>
      <c r="H110" s="259">
        <f t="shared" si="12"/>
        <v>249</v>
      </c>
    </row>
    <row r="111" spans="1:8" s="269" customFormat="1" ht="10.5">
      <c r="A111" s="37" t="s">
        <v>310</v>
      </c>
      <c r="B111" s="38"/>
      <c r="C111" s="39"/>
      <c r="D111" s="257" t="s">
        <v>149</v>
      </c>
      <c r="E111" s="258" t="str">
        <f>_xlfn.XLOOKUP(D111,Table13[Decription],Table13[Unit])</f>
        <v>roll</v>
      </c>
      <c r="F111" s="222">
        <v>3</v>
      </c>
      <c r="G111" s="258">
        <f>_xlfn.XLOOKUP(D111,Table13[Decription],Table13[Unit Cost])</f>
        <v>34.75</v>
      </c>
      <c r="H111" s="259">
        <f t="shared" si="12"/>
        <v>104.25</v>
      </c>
    </row>
    <row r="112" spans="1:8" s="269" customFormat="1" ht="10.5">
      <c r="A112" s="37" t="s">
        <v>311</v>
      </c>
      <c r="B112" s="38"/>
      <c r="C112" s="39"/>
      <c r="D112" s="257" t="s">
        <v>138</v>
      </c>
      <c r="E112" s="258" t="str">
        <f>_xlfn.XLOOKUP(D112,Table13[Decription],Table13[Unit])</f>
        <v>bottle</v>
      </c>
      <c r="F112" s="222">
        <v>1</v>
      </c>
      <c r="G112" s="258">
        <f>_xlfn.XLOOKUP(D112,Table13[Decription],Table13[Unit Cost])</f>
        <v>468.3</v>
      </c>
      <c r="H112" s="259">
        <f t="shared" si="12"/>
        <v>468.3</v>
      </c>
    </row>
    <row r="113" spans="1:8" s="269" customFormat="1" ht="10.5">
      <c r="A113" s="37" t="s">
        <v>311</v>
      </c>
      <c r="B113" s="38"/>
      <c r="C113" s="39"/>
      <c r="D113" s="257" t="s">
        <v>125</v>
      </c>
      <c r="E113" s="258" t="str">
        <f>_xlfn.XLOOKUP(D113,Table13[Decription],Table13[Unit])</f>
        <v>pack</v>
      </c>
      <c r="F113" s="222">
        <v>2</v>
      </c>
      <c r="G113" s="258">
        <f>_xlfn.XLOOKUP(D113,Table13[Decription],Table13[Unit Cost])</f>
        <v>150</v>
      </c>
      <c r="H113" s="259">
        <f t="shared" ref="H113" si="13">G113*F113</f>
        <v>300</v>
      </c>
    </row>
    <row r="114" spans="1:8" s="269" customFormat="1" ht="10.5">
      <c r="A114" s="37" t="s">
        <v>312</v>
      </c>
      <c r="B114" s="38"/>
      <c r="C114" s="39"/>
      <c r="D114" s="257" t="s">
        <v>157</v>
      </c>
      <c r="E114" s="258" t="str">
        <f>_xlfn.XLOOKUP(D114,Table13[Decription],Table13[Unit])</f>
        <v>piece</v>
      </c>
      <c r="F114" s="222">
        <v>2</v>
      </c>
      <c r="G114" s="258">
        <f>_xlfn.XLOOKUP(D114,Table13[Decription],Table13[Unit Cost])</f>
        <v>8.4</v>
      </c>
      <c r="H114" s="259">
        <f t="shared" si="12"/>
        <v>16.8</v>
      </c>
    </row>
    <row r="115" spans="1:8" s="269" customFormat="1" ht="10.5">
      <c r="A115" s="37" t="s">
        <v>313</v>
      </c>
      <c r="B115" s="38"/>
      <c r="C115" s="39"/>
      <c r="D115" s="257" t="s">
        <v>149</v>
      </c>
      <c r="E115" s="258" t="str">
        <f>_xlfn.XLOOKUP(D115,Table13[Decription],Table13[Unit])</f>
        <v>roll</v>
      </c>
      <c r="F115" s="222">
        <v>1</v>
      </c>
      <c r="G115" s="258">
        <f>_xlfn.XLOOKUP(D115,Table13[Decription],Table13[Unit Cost])</f>
        <v>34.75</v>
      </c>
      <c r="H115" s="259">
        <f t="shared" si="12"/>
        <v>34.75</v>
      </c>
    </row>
    <row r="116" spans="1:8" s="269" customFormat="1" ht="10.5">
      <c r="A116" s="37" t="s">
        <v>313</v>
      </c>
      <c r="B116" s="38"/>
      <c r="C116" s="39"/>
      <c r="D116" s="257" t="s">
        <v>64</v>
      </c>
      <c r="E116" s="258" t="str">
        <f>_xlfn.XLOOKUP(D116,Table13[Decription],Table13[Unit])</f>
        <v>piece</v>
      </c>
      <c r="F116" s="222">
        <v>1</v>
      </c>
      <c r="G116" s="258">
        <f>_xlfn.XLOOKUP(D116,Table13[Decription],Table13[Unit Cost])</f>
        <v>8.5755407899999998</v>
      </c>
      <c r="H116" s="259">
        <f t="shared" si="12"/>
        <v>8.5755407899999998</v>
      </c>
    </row>
    <row r="117" spans="1:8" s="269" customFormat="1" ht="10.5">
      <c r="A117" s="37" t="s">
        <v>313</v>
      </c>
      <c r="B117" s="38"/>
      <c r="C117" s="39"/>
      <c r="D117" s="257" t="s">
        <v>48</v>
      </c>
      <c r="E117" s="258" t="str">
        <f>_xlfn.XLOOKUP(D117,Table13[Decription],Table13[Unit])</f>
        <v>piece</v>
      </c>
      <c r="F117" s="222">
        <v>5</v>
      </c>
      <c r="G117" s="258">
        <f>_xlfn.XLOOKUP(D117,Table13[Decription],Table13[Unit Cost])</f>
        <v>3.875</v>
      </c>
      <c r="H117" s="259">
        <f t="shared" si="12"/>
        <v>19.375</v>
      </c>
    </row>
    <row r="118" spans="1:8" s="269" customFormat="1" ht="10.5">
      <c r="A118" s="37" t="s">
        <v>314</v>
      </c>
      <c r="B118" s="38"/>
      <c r="C118" s="39"/>
      <c r="D118" s="257" t="s">
        <v>92</v>
      </c>
      <c r="E118" s="258" t="str">
        <f>_xlfn.XLOOKUP(D118,Table13[Decription],Table13[Unit])</f>
        <v>piece</v>
      </c>
      <c r="F118" s="222">
        <v>1</v>
      </c>
      <c r="G118" s="258">
        <f>_xlfn.XLOOKUP(D118,Table13[Decription],Table13[Unit Cost])</f>
        <v>132</v>
      </c>
      <c r="H118" s="259">
        <f t="shared" si="12"/>
        <v>132</v>
      </c>
    </row>
    <row r="119" spans="1:8" s="269" customFormat="1" ht="10.5">
      <c r="A119" s="37" t="s">
        <v>315</v>
      </c>
      <c r="B119" s="38"/>
      <c r="C119" s="39"/>
      <c r="D119" s="279" t="s">
        <v>49</v>
      </c>
      <c r="E119" s="258" t="str">
        <f>_xlfn.XLOOKUP(D119,Table13[Decription],Table13[Unit])</f>
        <v>box</v>
      </c>
      <c r="F119" s="222">
        <v>1</v>
      </c>
      <c r="G119" s="258">
        <f>_xlfn.XLOOKUP(D119,Table13[Decription],Table13[Unit Cost])</f>
        <v>47.93</v>
      </c>
      <c r="H119" s="259">
        <f t="shared" si="12"/>
        <v>47.93</v>
      </c>
    </row>
    <row r="120" spans="1:8" s="269" customFormat="1" ht="10.5">
      <c r="A120" s="37" t="s">
        <v>316</v>
      </c>
      <c r="B120" s="38"/>
      <c r="C120" s="39"/>
      <c r="D120" s="260" t="s">
        <v>116</v>
      </c>
      <c r="E120" s="258" t="str">
        <f>_xlfn.XLOOKUP(D120,Table13[Decription],Table13[Unit])</f>
        <v>box</v>
      </c>
      <c r="F120" s="222">
        <v>1</v>
      </c>
      <c r="G120" s="258">
        <f>_xlfn.XLOOKUP(D120,Table13[Decription],Table13[Unit Cost])</f>
        <v>88.46</v>
      </c>
      <c r="H120" s="259">
        <f t="shared" si="12"/>
        <v>88.46</v>
      </c>
    </row>
    <row r="121" spans="1:8" s="269" customFormat="1" ht="10.5">
      <c r="A121" s="37" t="s">
        <v>317</v>
      </c>
      <c r="B121" s="38"/>
      <c r="C121" s="39"/>
      <c r="D121" s="257" t="s">
        <v>85</v>
      </c>
      <c r="E121" s="258" t="str">
        <f>_xlfn.XLOOKUP(D121,Table13[Decription],Table13[Unit])</f>
        <v>piece</v>
      </c>
      <c r="F121" s="222">
        <v>1</v>
      </c>
      <c r="G121" s="258">
        <f>_xlfn.XLOOKUP(D121,Table13[Decription],Table13[Unit Cost])</f>
        <v>110</v>
      </c>
      <c r="H121" s="259">
        <f t="shared" si="12"/>
        <v>110</v>
      </c>
    </row>
    <row r="122" spans="1:8" s="269" customFormat="1" ht="10.5">
      <c r="A122" s="37" t="s">
        <v>317</v>
      </c>
      <c r="B122" s="38"/>
      <c r="C122" s="39"/>
      <c r="D122" s="257" t="s">
        <v>108</v>
      </c>
      <c r="E122" s="258" t="str">
        <f>_xlfn.XLOOKUP(D122,Table13[Decription],Table13[Unit])</f>
        <v>box</v>
      </c>
      <c r="F122" s="222">
        <v>3</v>
      </c>
      <c r="G122" s="258">
        <f>_xlfn.XLOOKUP(D122,Table13[Decription],Table13[Unit Cost])</f>
        <v>43.53</v>
      </c>
      <c r="H122" s="259">
        <f t="shared" si="12"/>
        <v>130.59</v>
      </c>
    </row>
    <row r="123" spans="1:8" s="269" customFormat="1" ht="10.5">
      <c r="A123" s="37" t="s">
        <v>318</v>
      </c>
      <c r="B123" s="38"/>
      <c r="C123" s="39"/>
      <c r="D123" s="257" t="s">
        <v>48</v>
      </c>
      <c r="E123" s="258" t="str">
        <f>_xlfn.XLOOKUP(D123,Table13[Decription],Table13[Unit])</f>
        <v>piece</v>
      </c>
      <c r="F123" s="222">
        <v>1</v>
      </c>
      <c r="G123" s="258">
        <f>_xlfn.XLOOKUP(D123,Table13[Decription],Table13[Unit Cost])</f>
        <v>3.875</v>
      </c>
      <c r="H123" s="259">
        <f t="shared" si="12"/>
        <v>3.875</v>
      </c>
    </row>
    <row r="124" spans="1:8" s="269" customFormat="1" ht="10.5">
      <c r="A124" s="37" t="s">
        <v>318</v>
      </c>
      <c r="B124" s="38"/>
      <c r="C124" s="39"/>
      <c r="D124" s="257" t="s">
        <v>109</v>
      </c>
      <c r="E124" s="258" t="str">
        <f>_xlfn.XLOOKUP(D124,Table13[Decription],Table13[Unit])</f>
        <v>piece</v>
      </c>
      <c r="F124" s="222">
        <v>1</v>
      </c>
      <c r="G124" s="258">
        <f>_xlfn.XLOOKUP(D124,Table13[Decription],Table13[Unit Cost])</f>
        <v>245</v>
      </c>
      <c r="H124" s="259">
        <f t="shared" si="12"/>
        <v>245</v>
      </c>
    </row>
    <row r="125" spans="1:8" s="269" customFormat="1" ht="10.5">
      <c r="A125" s="37" t="s">
        <v>319</v>
      </c>
      <c r="B125" s="38"/>
      <c r="C125" s="39"/>
      <c r="D125" s="40" t="s">
        <v>118</v>
      </c>
      <c r="E125" s="258" t="str">
        <f>_xlfn.XLOOKUP(D125,Table13[Decription],Table13[Unit])</f>
        <v>piece</v>
      </c>
      <c r="F125" s="222">
        <v>1</v>
      </c>
      <c r="G125" s="258">
        <f>_xlfn.XLOOKUP(D125,Table13[Decription],Table13[Unit Cost])</f>
        <v>121</v>
      </c>
      <c r="H125" s="259">
        <f t="shared" si="12"/>
        <v>121</v>
      </c>
    </row>
    <row r="126" spans="1:8" s="269" customFormat="1" ht="10.5">
      <c r="A126" s="37" t="s">
        <v>319</v>
      </c>
      <c r="B126" s="38"/>
      <c r="C126" s="39"/>
      <c r="D126" s="40" t="s">
        <v>122</v>
      </c>
      <c r="E126" s="258" t="str">
        <f>_xlfn.XLOOKUP(D126,Table13[Decription],Table13[Unit])</f>
        <v xml:space="preserve">piece </v>
      </c>
      <c r="F126" s="222">
        <v>9</v>
      </c>
      <c r="G126" s="258">
        <f>_xlfn.XLOOKUP(D126,Table13[Decription],Table13[Unit Cost])</f>
        <v>83.18</v>
      </c>
      <c r="H126" s="259">
        <f t="shared" si="12"/>
        <v>748.62000000000012</v>
      </c>
    </row>
    <row r="127" spans="1:8" s="269" customFormat="1" ht="10.5">
      <c r="A127" s="37" t="s">
        <v>319</v>
      </c>
      <c r="B127" s="38"/>
      <c r="C127" s="39"/>
      <c r="D127" s="266" t="s">
        <v>120</v>
      </c>
      <c r="E127" s="258" t="str">
        <f>_xlfn.XLOOKUP(D127,Table13[Decription],Table13[Unit])</f>
        <v>pack</v>
      </c>
      <c r="F127" s="222">
        <v>7</v>
      </c>
      <c r="G127" s="258">
        <f>_xlfn.XLOOKUP(D127,Table13[Decription],Table13[Unit Cost])</f>
        <v>80.558285699999999</v>
      </c>
      <c r="H127" s="259">
        <f t="shared" si="12"/>
        <v>563.90799990000005</v>
      </c>
    </row>
    <row r="128" spans="1:8" s="269" customFormat="1" ht="10.5">
      <c r="A128" s="37" t="s">
        <v>320</v>
      </c>
      <c r="B128" s="38"/>
      <c r="C128" s="226"/>
      <c r="D128" s="280" t="s">
        <v>102</v>
      </c>
      <c r="E128" s="264" t="str">
        <f>_xlfn.XLOOKUP(D128,Table13[Decription],Table13[Unit])</f>
        <v>box</v>
      </c>
      <c r="F128" s="222">
        <v>1</v>
      </c>
      <c r="G128" s="258">
        <f>_xlfn.XLOOKUP(D128,Table13[Decription],Table13[Unit Cost])</f>
        <v>100</v>
      </c>
      <c r="H128" s="259">
        <f t="shared" si="12"/>
        <v>100</v>
      </c>
    </row>
    <row r="129" spans="1:8" s="269" customFormat="1" ht="10.5">
      <c r="A129" s="37" t="s">
        <v>320</v>
      </c>
      <c r="B129" s="38"/>
      <c r="C129" s="39"/>
      <c r="D129" s="280" t="s">
        <v>49</v>
      </c>
      <c r="E129" s="264" t="str">
        <f>_xlfn.XLOOKUP(D129,Table13[Decription],Table13[Unit])</f>
        <v>box</v>
      </c>
      <c r="F129" s="222">
        <v>1</v>
      </c>
      <c r="G129" s="258">
        <f>_xlfn.XLOOKUP(D129,Table13[Decription],Table13[Unit Cost])</f>
        <v>47.93</v>
      </c>
      <c r="H129" s="259">
        <f t="shared" si="12"/>
        <v>47.93</v>
      </c>
    </row>
    <row r="130" spans="1:8" s="269" customFormat="1" ht="10.5">
      <c r="A130" s="37" t="s">
        <v>320</v>
      </c>
      <c r="B130" s="38"/>
      <c r="C130" s="39"/>
      <c r="D130" s="279" t="s">
        <v>68</v>
      </c>
      <c r="E130" s="264" t="str">
        <f>_xlfn.XLOOKUP(D130,Table13[Decription],Table13[Unit])</f>
        <v>box</v>
      </c>
      <c r="F130" s="222">
        <v>1</v>
      </c>
      <c r="G130" s="258">
        <f>_xlfn.XLOOKUP(D130,Table13[Decription],Table13[Unit Cost])</f>
        <v>20</v>
      </c>
      <c r="H130" s="259">
        <f t="shared" si="12"/>
        <v>20</v>
      </c>
    </row>
    <row r="131" spans="1:8" s="269" customFormat="1" ht="10.5">
      <c r="A131" s="37" t="s">
        <v>320</v>
      </c>
      <c r="B131" s="38"/>
      <c r="C131" s="39"/>
      <c r="D131" s="257" t="s">
        <v>89</v>
      </c>
      <c r="E131" s="258" t="str">
        <f>_xlfn.XLOOKUP(D131,Table13[Decription],Table13[Unit])</f>
        <v>piece</v>
      </c>
      <c r="F131" s="222">
        <v>1</v>
      </c>
      <c r="G131" s="258">
        <f>_xlfn.XLOOKUP(D131,Table13[Decription],Table13[Unit Cost])</f>
        <v>38.89</v>
      </c>
      <c r="H131" s="259">
        <f t="shared" si="12"/>
        <v>38.89</v>
      </c>
    </row>
    <row r="132" spans="1:8" s="269" customFormat="1" ht="10.5">
      <c r="A132" s="37" t="s">
        <v>321</v>
      </c>
      <c r="B132" s="38"/>
      <c r="C132" s="39"/>
      <c r="D132" s="257" t="s">
        <v>96</v>
      </c>
      <c r="E132" s="258" t="str">
        <f>_xlfn.XLOOKUP(D132,Table13[Decription],Table13[Unit])</f>
        <v>pad</v>
      </c>
      <c r="F132" s="222">
        <v>1</v>
      </c>
      <c r="G132" s="258">
        <f>_xlfn.XLOOKUP(D132,Table13[Decription],Table13[Unit Cost])</f>
        <v>27.22</v>
      </c>
      <c r="H132" s="259">
        <f t="shared" si="12"/>
        <v>27.22</v>
      </c>
    </row>
    <row r="133" spans="1:8" s="269" customFormat="1" ht="10.5">
      <c r="A133" s="37" t="s">
        <v>327</v>
      </c>
      <c r="B133" s="38"/>
      <c r="C133" s="39"/>
      <c r="D133" s="266" t="s">
        <v>105</v>
      </c>
      <c r="E133" s="258" t="str">
        <f>_xlfn.XLOOKUP(D133,Table13[Decription],Table13[Unit])</f>
        <v>piece</v>
      </c>
      <c r="F133" s="222">
        <v>4</v>
      </c>
      <c r="G133" s="258">
        <f>_xlfn.XLOOKUP(D133,Table13[Decription],Table13[Unit Cost])</f>
        <v>27.264615299999999</v>
      </c>
      <c r="H133" s="259">
        <f t="shared" si="12"/>
        <v>109.0584612</v>
      </c>
    </row>
    <row r="134" spans="1:8" s="269" customFormat="1" ht="10.5">
      <c r="A134" s="37" t="s">
        <v>327</v>
      </c>
      <c r="B134" s="38"/>
      <c r="C134" s="39"/>
      <c r="D134" s="260" t="s">
        <v>149</v>
      </c>
      <c r="E134" s="258" t="str">
        <f>_xlfn.XLOOKUP(D134,Table13[Decription],Table13[Unit])</f>
        <v>roll</v>
      </c>
      <c r="F134" s="222">
        <v>1</v>
      </c>
      <c r="G134" s="258">
        <f>_xlfn.XLOOKUP(D134,Table13[Decription],Table13[Unit Cost])</f>
        <v>34.75</v>
      </c>
      <c r="H134" s="259">
        <f t="shared" si="12"/>
        <v>34.75</v>
      </c>
    </row>
    <row r="135" spans="1:8" s="269" customFormat="1" ht="10.5">
      <c r="A135" s="37" t="s">
        <v>327</v>
      </c>
      <c r="B135" s="38"/>
      <c r="C135" s="39"/>
      <c r="D135" s="257" t="s">
        <v>152</v>
      </c>
      <c r="E135" s="258" t="str">
        <f>_xlfn.XLOOKUP(D135,Table13[Decription],Table13[Unit])</f>
        <v>roll</v>
      </c>
      <c r="F135" s="222">
        <v>1</v>
      </c>
      <c r="G135" s="258">
        <f>_xlfn.XLOOKUP(D135,Table13[Decription],Table13[Unit Cost])</f>
        <v>28.72</v>
      </c>
      <c r="H135" s="259">
        <f t="shared" si="12"/>
        <v>28.72</v>
      </c>
    </row>
    <row r="136" spans="1:8" s="269" customFormat="1" ht="10.5">
      <c r="A136" s="37" t="s">
        <v>327</v>
      </c>
      <c r="B136" s="38"/>
      <c r="C136" s="39"/>
      <c r="D136" s="40" t="s">
        <v>96</v>
      </c>
      <c r="E136" s="258" t="str">
        <f>_xlfn.XLOOKUP(D136,Table13[Decription],Table13[Unit])</f>
        <v>pad</v>
      </c>
      <c r="F136" s="222">
        <v>2</v>
      </c>
      <c r="G136" s="258">
        <f>_xlfn.XLOOKUP(D136,Table13[Decription],Table13[Unit Cost])</f>
        <v>27.22</v>
      </c>
      <c r="H136" s="259">
        <f t="shared" si="12"/>
        <v>54.44</v>
      </c>
    </row>
    <row r="137" spans="1:8" s="269" customFormat="1" ht="10.5">
      <c r="A137" s="37" t="s">
        <v>329</v>
      </c>
      <c r="B137" s="38"/>
      <c r="C137" s="39"/>
      <c r="D137" s="266" t="s">
        <v>96</v>
      </c>
      <c r="E137" s="258" t="str">
        <f>_xlfn.XLOOKUP(D137,Table13[Decription],Table13[Unit])</f>
        <v>pad</v>
      </c>
      <c r="F137" s="222">
        <v>2</v>
      </c>
      <c r="G137" s="258">
        <f>_xlfn.XLOOKUP(D137,Table13[Decription],Table13[Unit Cost])</f>
        <v>27.22</v>
      </c>
      <c r="H137" s="259">
        <f t="shared" si="12"/>
        <v>54.44</v>
      </c>
    </row>
    <row r="138" spans="1:8" s="269" customFormat="1" ht="10.5">
      <c r="A138" s="37" t="s">
        <v>334</v>
      </c>
      <c r="B138" s="38"/>
      <c r="C138" s="39"/>
      <c r="D138" s="40" t="s">
        <v>64</v>
      </c>
      <c r="E138" s="258" t="str">
        <f>_xlfn.XLOOKUP(D138,Table13[Decription],Table13[Unit])</f>
        <v>piece</v>
      </c>
      <c r="F138" s="222">
        <v>20</v>
      </c>
      <c r="G138" s="258">
        <f>_xlfn.XLOOKUP(D138,Table13[Decription],Table13[Unit Cost])</f>
        <v>8.5755407899999998</v>
      </c>
      <c r="H138" s="259">
        <f t="shared" si="12"/>
        <v>171.51081579999999</v>
      </c>
    </row>
    <row r="139" spans="1:8" s="269" customFormat="1" ht="10.5">
      <c r="A139" s="37" t="s">
        <v>334</v>
      </c>
      <c r="B139" s="38"/>
      <c r="C139" s="39"/>
      <c r="D139" s="257" t="s">
        <v>48</v>
      </c>
      <c r="E139" s="258" t="str">
        <f>_xlfn.XLOOKUP(D139,Table13[Decription],Table13[Unit])</f>
        <v>piece</v>
      </c>
      <c r="F139" s="222">
        <v>5</v>
      </c>
      <c r="G139" s="258">
        <f>_xlfn.XLOOKUP(D139,Table13[Decription],Table13[Unit Cost])</f>
        <v>3.875</v>
      </c>
      <c r="H139" s="259">
        <f t="shared" si="12"/>
        <v>19.375</v>
      </c>
    </row>
    <row r="140" spans="1:8" s="269" customFormat="1" ht="10.5">
      <c r="A140" s="37" t="s">
        <v>335</v>
      </c>
      <c r="B140" s="38"/>
      <c r="C140" s="39"/>
      <c r="D140" s="257" t="s">
        <v>105</v>
      </c>
      <c r="E140" s="258" t="str">
        <f>_xlfn.XLOOKUP(D140,Table13[Decription],Table13[Unit])</f>
        <v>piece</v>
      </c>
      <c r="F140" s="222">
        <v>8</v>
      </c>
      <c r="G140" s="258">
        <f>_xlfn.XLOOKUP(D140,Table13[Decription],Table13[Unit Cost])</f>
        <v>27.264615299999999</v>
      </c>
      <c r="H140" s="259">
        <f t="shared" ref="H140:H143" si="14">G140*F140</f>
        <v>218.11692239999999</v>
      </c>
    </row>
    <row r="141" spans="1:8" s="269" customFormat="1" ht="10.5">
      <c r="A141" s="37" t="s">
        <v>336</v>
      </c>
      <c r="B141" s="38"/>
      <c r="C141" s="39"/>
      <c r="D141" s="266" t="s">
        <v>122</v>
      </c>
      <c r="E141" s="258" t="str">
        <f>_xlfn.XLOOKUP(D141,Table13[Decription],Table13[Unit])</f>
        <v xml:space="preserve">piece </v>
      </c>
      <c r="F141" s="222">
        <v>5</v>
      </c>
      <c r="G141" s="258">
        <f>_xlfn.XLOOKUP(D141,Table13[Decription],Table13[Unit Cost])</f>
        <v>83.18</v>
      </c>
      <c r="H141" s="259">
        <f t="shared" ref="H141:H142" si="15">G141*F141</f>
        <v>415.90000000000003</v>
      </c>
    </row>
    <row r="142" spans="1:8" s="269" customFormat="1" ht="10.5">
      <c r="A142" s="37" t="s">
        <v>336</v>
      </c>
      <c r="B142" s="38"/>
      <c r="C142" s="39"/>
      <c r="D142" s="266" t="s">
        <v>120</v>
      </c>
      <c r="E142" s="258" t="str">
        <f>_xlfn.XLOOKUP(D142,Table13[Decription],Table13[Unit])</f>
        <v>pack</v>
      </c>
      <c r="F142" s="222">
        <v>5</v>
      </c>
      <c r="G142" s="258">
        <f>_xlfn.XLOOKUP(D142,Table13[Decription],Table13[Unit Cost])</f>
        <v>80.558285699999999</v>
      </c>
      <c r="H142" s="259">
        <f t="shared" si="15"/>
        <v>402.79142849999999</v>
      </c>
    </row>
    <row r="143" spans="1:8" s="269" customFormat="1" ht="10.5">
      <c r="A143" s="37" t="s">
        <v>337</v>
      </c>
      <c r="B143" s="38"/>
      <c r="C143" s="39"/>
      <c r="D143" s="266" t="s">
        <v>51</v>
      </c>
      <c r="E143" s="258" t="str">
        <f>_xlfn.XLOOKUP(D143,Table13[Decription],Table13[Unit])</f>
        <v>ream</v>
      </c>
      <c r="F143" s="222">
        <v>1</v>
      </c>
      <c r="G143" s="258">
        <f>_xlfn.XLOOKUP(D143,Table13[Decription],Table13[Unit Cost])</f>
        <v>340.17</v>
      </c>
      <c r="H143" s="259">
        <f t="shared" si="14"/>
        <v>340.17</v>
      </c>
    </row>
    <row r="144" spans="1:8" s="269" customFormat="1" ht="10.5">
      <c r="A144" s="249" t="s">
        <v>338</v>
      </c>
      <c r="B144" s="288"/>
      <c r="C144" s="289"/>
      <c r="D144" s="266" t="s">
        <v>122</v>
      </c>
      <c r="E144" s="271" t="str">
        <f>_xlfn.XLOOKUP(D144,Table13[Decription],Table13[Unit])</f>
        <v xml:space="preserve">piece </v>
      </c>
      <c r="F144" s="281">
        <v>5</v>
      </c>
      <c r="G144" s="271">
        <f>_xlfn.XLOOKUP(D144,Table13[Decription],Table13[Unit Cost])</f>
        <v>83.18</v>
      </c>
      <c r="H144" s="273">
        <f t="shared" ref="H144:H149" si="16">G144*F144</f>
        <v>415.90000000000003</v>
      </c>
    </row>
    <row r="145" spans="1:13" s="269" customFormat="1" ht="10.5">
      <c r="A145" s="249" t="s">
        <v>338</v>
      </c>
      <c r="B145" s="288"/>
      <c r="C145" s="289"/>
      <c r="D145" s="266" t="s">
        <v>122</v>
      </c>
      <c r="E145" s="271" t="s">
        <v>38</v>
      </c>
      <c r="F145" s="281">
        <v>9</v>
      </c>
      <c r="G145" s="271">
        <f>_xlfn.XLOOKUP(D145,Table13[Decription],Table13[Unit Cost])</f>
        <v>83.18</v>
      </c>
      <c r="H145" s="273">
        <f t="shared" si="16"/>
        <v>748.62000000000012</v>
      </c>
    </row>
    <row r="146" spans="1:13" s="269" customFormat="1" ht="10.5">
      <c r="A146" s="249" t="s">
        <v>338</v>
      </c>
      <c r="B146" s="288"/>
      <c r="C146" s="289"/>
      <c r="D146" s="266" t="s">
        <v>120</v>
      </c>
      <c r="E146" s="271" t="s">
        <v>38</v>
      </c>
      <c r="F146" s="281">
        <v>9</v>
      </c>
      <c r="G146" s="271">
        <f>_xlfn.XLOOKUP(D146,Table13[Decription],Table13[Unit Cost])</f>
        <v>80.558285699999999</v>
      </c>
      <c r="H146" s="273">
        <f t="shared" si="16"/>
        <v>725.02457129999993</v>
      </c>
    </row>
    <row r="147" spans="1:13" s="269" customFormat="1" ht="10.5">
      <c r="A147" s="249" t="s">
        <v>348</v>
      </c>
      <c r="B147" s="290"/>
      <c r="C147" s="289"/>
      <c r="D147" s="282" t="s">
        <v>64</v>
      </c>
      <c r="E147" s="271" t="s">
        <v>38</v>
      </c>
      <c r="F147" s="281">
        <v>2</v>
      </c>
      <c r="G147" s="271">
        <f>_xlfn.XLOOKUP(D147,Table13[Decription],Table13[Unit Cost])</f>
        <v>8.5755407899999998</v>
      </c>
      <c r="H147" s="273">
        <f t="shared" si="16"/>
        <v>17.15108158</v>
      </c>
    </row>
    <row r="148" spans="1:13" s="269" customFormat="1" ht="10.5">
      <c r="A148" s="249" t="s">
        <v>349</v>
      </c>
      <c r="B148" s="290"/>
      <c r="C148" s="289"/>
      <c r="D148" s="40" t="s">
        <v>64</v>
      </c>
      <c r="E148" s="283" t="s">
        <v>38</v>
      </c>
      <c r="F148" s="281">
        <v>10</v>
      </c>
      <c r="G148" s="271">
        <f>_xlfn.XLOOKUP(D148,Table13[Decription],Table13[Unit Cost])</f>
        <v>8.5755407899999998</v>
      </c>
      <c r="H148" s="273">
        <f t="shared" si="16"/>
        <v>85.755407899999994</v>
      </c>
    </row>
    <row r="149" spans="1:13" s="269" customFormat="1" ht="11" thickBot="1">
      <c r="A149" s="284" t="s">
        <v>350</v>
      </c>
      <c r="B149" s="291"/>
      <c r="C149" s="292"/>
      <c r="D149" s="238" t="s">
        <v>159</v>
      </c>
      <c r="E149" s="285" t="s">
        <v>38</v>
      </c>
      <c r="F149" s="286">
        <v>2</v>
      </c>
      <c r="G149" s="287">
        <f>_xlfn.XLOOKUP(D149,Table13[Decription],Table13[Unit Cost])</f>
        <v>44</v>
      </c>
      <c r="H149" s="296">
        <f t="shared" si="16"/>
        <v>88</v>
      </c>
    </row>
    <row r="150" spans="1:13" s="43" customFormat="1" ht="10.25" customHeight="1" thickBot="1">
      <c r="A150" s="251"/>
      <c r="B150" s="252"/>
      <c r="C150" s="253"/>
      <c r="D150" s="256" t="s">
        <v>352</v>
      </c>
      <c r="E150" s="254"/>
      <c r="F150" s="255"/>
      <c r="G150" s="254"/>
      <c r="H150" s="295"/>
      <c r="J150" s="11"/>
      <c r="K150" s="214"/>
    </row>
    <row r="151" spans="1:13" ht="15" thickBot="1">
      <c r="A151" s="242"/>
      <c r="B151" s="243"/>
      <c r="C151" s="244"/>
      <c r="D151" s="239"/>
      <c r="E151" s="245"/>
      <c r="F151" s="246"/>
      <c r="G151" s="247" t="s">
        <v>19</v>
      </c>
      <c r="H151" s="248">
        <f>SUM(H11:H149)</f>
        <v>36792.450400006666</v>
      </c>
      <c r="J151" s="58"/>
      <c r="K151" s="214"/>
      <c r="L151" s="58"/>
      <c r="M151" s="58"/>
    </row>
    <row r="152" spans="1:13" ht="15.5" thickTop="1">
      <c r="A152" s="406" t="s">
        <v>25</v>
      </c>
      <c r="B152" s="407"/>
      <c r="C152" s="407"/>
      <c r="D152" s="407"/>
      <c r="E152" s="240" t="s">
        <v>20</v>
      </c>
      <c r="F152" s="241"/>
      <c r="G152" s="241"/>
      <c r="H152" s="16"/>
      <c r="J152" s="58"/>
      <c r="K152" s="213"/>
      <c r="L152" s="58"/>
      <c r="M152" s="58"/>
    </row>
    <row r="153" spans="1:13">
      <c r="A153" s="406"/>
      <c r="B153" s="408"/>
      <c r="C153" s="408"/>
      <c r="D153" s="408"/>
      <c r="E153" s="15"/>
      <c r="F153" s="15"/>
      <c r="G153" s="15"/>
      <c r="H153" s="16"/>
      <c r="J153" s="43"/>
      <c r="K153" s="214"/>
      <c r="L153" s="58"/>
      <c r="M153" s="58"/>
    </row>
    <row r="154" spans="1:13">
      <c r="A154" s="237"/>
      <c r="B154" s="211"/>
      <c r="C154" s="211"/>
      <c r="D154" s="211"/>
      <c r="E154" s="15"/>
      <c r="F154" s="15"/>
      <c r="G154" s="15"/>
      <c r="H154" s="16"/>
      <c r="J154" s="43"/>
      <c r="K154" s="213"/>
      <c r="L154" s="43"/>
      <c r="M154" s="43"/>
    </row>
    <row r="155" spans="1:13">
      <c r="A155" s="409" t="s">
        <v>21</v>
      </c>
      <c r="B155" s="410"/>
      <c r="C155" s="410"/>
      <c r="D155" s="410"/>
      <c r="E155" s="411" t="s">
        <v>22</v>
      </c>
      <c r="F155" s="411"/>
      <c r="G155" s="411"/>
      <c r="H155" s="412"/>
      <c r="J155" s="43"/>
      <c r="K155" s="214"/>
      <c r="L155" s="43"/>
      <c r="M155" s="43"/>
    </row>
    <row r="156" spans="1:13">
      <c r="A156" s="413" t="s">
        <v>23</v>
      </c>
      <c r="B156" s="414"/>
      <c r="C156" s="414"/>
      <c r="D156" s="414"/>
      <c r="E156" s="415" t="s">
        <v>24</v>
      </c>
      <c r="F156" s="415"/>
      <c r="G156" s="415"/>
      <c r="H156" s="416"/>
      <c r="J156" s="43"/>
      <c r="K156" s="213"/>
      <c r="L156" s="43"/>
      <c r="M156" s="43"/>
    </row>
    <row r="157" spans="1:13">
      <c r="A157" s="399" t="str">
        <f>_xlfn.CONCAT("DATE: ",TEXT(G6,"MMMM DD, YYYY"))</f>
        <v>DATE: March 31, 2025</v>
      </c>
      <c r="B157" s="400"/>
      <c r="C157" s="400"/>
      <c r="D157" s="400"/>
      <c r="E157" s="401" t="str">
        <f>_xlfn.CONCAT("DATE: ",TEXT(G6,"MMMM DD, YYYY"))</f>
        <v>DATE: March 31, 2025</v>
      </c>
      <c r="F157" s="401"/>
      <c r="G157" s="401"/>
      <c r="H157" s="402"/>
      <c r="J157" s="43"/>
      <c r="K157" s="214"/>
      <c r="L157" s="43"/>
      <c r="M157" s="43"/>
    </row>
    <row r="158" spans="1:13" ht="8" customHeight="1" thickBot="1">
      <c r="A158" s="403"/>
      <c r="B158" s="404"/>
      <c r="C158" s="404"/>
      <c r="D158" s="404"/>
      <c r="E158" s="404"/>
      <c r="F158" s="404"/>
      <c r="G158" s="404"/>
      <c r="H158" s="405"/>
      <c r="J158" s="43"/>
      <c r="K158" s="213"/>
      <c r="L158" s="43"/>
      <c r="M158" s="43"/>
    </row>
    <row r="159" spans="1:13">
      <c r="A159" s="212"/>
      <c r="B159" s="212"/>
      <c r="C159" s="212"/>
      <c r="D159" s="212"/>
      <c r="E159" s="212"/>
      <c r="F159" s="212"/>
      <c r="G159" s="212"/>
      <c r="H159" s="212"/>
      <c r="J159" s="43"/>
      <c r="K159" s="214"/>
      <c r="L159" s="43"/>
      <c r="M159" s="43"/>
    </row>
    <row r="160" spans="1:13">
      <c r="J160" s="43"/>
      <c r="K160" s="213"/>
      <c r="L160" s="36"/>
      <c r="M160" s="36"/>
    </row>
    <row r="161" spans="10:13">
      <c r="J161" s="43"/>
      <c r="K161" s="214"/>
      <c r="L161" s="58"/>
      <c r="M161" s="58"/>
    </row>
    <row r="162" spans="10:13">
      <c r="J162" s="43"/>
      <c r="K162" s="213"/>
      <c r="L162" s="43"/>
      <c r="M162" s="43"/>
    </row>
    <row r="163" spans="10:13">
      <c r="J163" s="43"/>
      <c r="K163" s="214"/>
      <c r="L163" s="43"/>
      <c r="M163" s="43"/>
    </row>
    <row r="164" spans="10:13">
      <c r="J164" s="43"/>
      <c r="K164" s="215"/>
      <c r="L164" s="43"/>
      <c r="M164" s="43"/>
    </row>
    <row r="165" spans="10:13">
      <c r="J165" s="36"/>
      <c r="K165" s="214"/>
      <c r="L165" s="43"/>
      <c r="M165" s="43"/>
    </row>
    <row r="166" spans="10:13">
      <c r="J166" s="43"/>
      <c r="K166" s="213"/>
      <c r="L166" s="43"/>
      <c r="M166" s="43"/>
    </row>
    <row r="167" spans="10:13">
      <c r="J167" s="43"/>
      <c r="K167" s="214"/>
      <c r="L167" s="43"/>
      <c r="M167" s="43"/>
    </row>
    <row r="168" spans="10:13">
      <c r="J168" s="43"/>
      <c r="K168" s="213"/>
      <c r="L168" s="43"/>
      <c r="M168" s="43"/>
    </row>
    <row r="169" spans="10:13">
      <c r="J169" s="43"/>
      <c r="K169" s="214"/>
      <c r="L169" s="43"/>
      <c r="M169" s="43"/>
    </row>
    <row r="170" spans="10:13">
      <c r="J170" s="43"/>
      <c r="K170" s="213"/>
      <c r="L170" s="43"/>
      <c r="M170" s="43"/>
    </row>
    <row r="171" spans="10:13">
      <c r="J171" s="43"/>
      <c r="K171" s="214"/>
      <c r="L171" s="43"/>
      <c r="M171" s="43"/>
    </row>
    <row r="172" spans="10:13">
      <c r="J172" s="43"/>
      <c r="K172" s="213"/>
      <c r="L172" s="43"/>
      <c r="M172" s="43"/>
    </row>
    <row r="173" spans="10:13">
      <c r="J173" s="43"/>
      <c r="K173" s="214"/>
      <c r="L173" s="43"/>
      <c r="M173" s="43"/>
    </row>
    <row r="174" spans="10:13">
      <c r="J174" s="43"/>
      <c r="K174" s="213"/>
      <c r="L174" s="43"/>
      <c r="M174" s="43"/>
    </row>
    <row r="175" spans="10:13">
      <c r="J175" s="43"/>
      <c r="K175" s="214"/>
      <c r="L175" s="43"/>
      <c r="M175" s="43"/>
    </row>
    <row r="176" spans="10:13">
      <c r="J176" s="43"/>
      <c r="K176" s="43"/>
      <c r="L176" s="43"/>
      <c r="M176" s="43"/>
    </row>
    <row r="177" spans="10:13">
      <c r="J177" s="43"/>
      <c r="K177" s="43"/>
      <c r="L177" s="43"/>
      <c r="M177" s="43"/>
    </row>
    <row r="178" spans="10:13">
      <c r="J178" s="43"/>
      <c r="K178" s="43"/>
      <c r="L178" s="43"/>
      <c r="M178" s="43"/>
    </row>
    <row r="179" spans="10:13">
      <c r="J179" s="43"/>
      <c r="K179" s="43"/>
      <c r="L179" s="43"/>
      <c r="M179" s="43"/>
    </row>
    <row r="180" spans="10:13">
      <c r="J180" s="43"/>
      <c r="K180" s="43"/>
      <c r="L180" s="43"/>
      <c r="M180" s="43"/>
    </row>
    <row r="181" spans="10:13">
      <c r="J181" s="43"/>
      <c r="K181" s="43"/>
      <c r="L181" s="43"/>
      <c r="M181" s="43"/>
    </row>
    <row r="182" spans="10:13">
      <c r="J182" s="43"/>
      <c r="K182" s="43"/>
      <c r="L182" s="43"/>
      <c r="M182" s="43"/>
    </row>
    <row r="183" spans="10:13">
      <c r="J183" s="43"/>
      <c r="K183" s="43"/>
      <c r="L183" s="43"/>
      <c r="M183" s="43"/>
    </row>
    <row r="184" spans="10:13">
      <c r="J184" s="43"/>
      <c r="K184" s="43"/>
      <c r="L184" s="43"/>
      <c r="M184" s="43"/>
    </row>
    <row r="185" spans="10:13">
      <c r="J185" s="43"/>
      <c r="K185" s="43"/>
      <c r="L185" s="43"/>
      <c r="M185" s="43"/>
    </row>
    <row r="186" spans="10:13">
      <c r="J186" s="43"/>
      <c r="K186" s="43"/>
      <c r="L186" s="43"/>
      <c r="M186" s="43"/>
    </row>
    <row r="187" spans="10:13">
      <c r="J187" s="43"/>
      <c r="K187" s="43"/>
      <c r="L187" s="43"/>
      <c r="M187" s="43"/>
    </row>
    <row r="188" spans="10:13">
      <c r="J188" s="43"/>
      <c r="K188" s="43"/>
      <c r="L188" s="43"/>
      <c r="M188" s="43"/>
    </row>
    <row r="189" spans="10:13">
      <c r="J189" s="43"/>
      <c r="K189" s="43"/>
      <c r="L189" s="43"/>
      <c r="M189" s="43"/>
    </row>
    <row r="190" spans="10:13">
      <c r="J190" s="43"/>
      <c r="K190" s="43"/>
      <c r="L190" s="43"/>
      <c r="M190" s="43"/>
    </row>
    <row r="191" spans="10:13">
      <c r="J191" s="43"/>
      <c r="K191" s="43"/>
      <c r="L191" s="43"/>
      <c r="M191" s="43"/>
    </row>
    <row r="192" spans="10:13">
      <c r="J192" s="43"/>
      <c r="K192" s="43"/>
      <c r="L192" s="43"/>
      <c r="M192" s="43"/>
    </row>
    <row r="193" spans="10:13">
      <c r="J193" s="43"/>
      <c r="K193" s="43"/>
      <c r="L193" s="43"/>
      <c r="M193" s="43"/>
    </row>
  </sheetData>
  <mergeCells count="15">
    <mergeCell ref="A157:D157"/>
    <mergeCell ref="E157:H157"/>
    <mergeCell ref="A158:D158"/>
    <mergeCell ref="E158:H158"/>
    <mergeCell ref="A152:D153"/>
    <mergeCell ref="A155:D155"/>
    <mergeCell ref="E155:H155"/>
    <mergeCell ref="A156:D156"/>
    <mergeCell ref="E156:H156"/>
    <mergeCell ref="A1:H1"/>
    <mergeCell ref="A3:H3"/>
    <mergeCell ref="G5:H5"/>
    <mergeCell ref="G6:H6"/>
    <mergeCell ref="A8:F8"/>
    <mergeCell ref="G8:H8"/>
  </mergeCells>
  <phoneticPr fontId="17" type="noConversion"/>
  <pageMargins left="0.23622047244094491" right="0.23622047244094491" top="0" bottom="0.31496062992125984" header="0.31496062992125984" footer="0.31496062992125984"/>
  <pageSetup paperSize="9" scale="85" fitToHeight="0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504E-103F-4FCF-9CBB-BAC998747F2F}">
  <sheetPr codeName="Sheet12"/>
  <dimension ref="A1:M119"/>
  <sheetViews>
    <sheetView view="pageBreakPreview" topLeftCell="A23" zoomScale="96" zoomScaleNormal="100" zoomScaleSheetLayoutView="100" workbookViewId="0">
      <selection activeCell="K11" sqref="K11:K176"/>
    </sheetView>
  </sheetViews>
  <sheetFormatPr defaultColWidth="8.81640625" defaultRowHeight="14.5"/>
  <cols>
    <col min="1" max="1" width="16.1796875" style="11" customWidth="1"/>
    <col min="2" max="2" width="11" style="11" customWidth="1"/>
    <col min="3" max="3" width="8" style="11" customWidth="1"/>
    <col min="4" max="4" width="32.81640625" style="11" customWidth="1"/>
    <col min="5" max="5" width="8.6328125" style="11" customWidth="1"/>
    <col min="6" max="6" width="6.81640625" style="11" bestFit="1" customWidth="1"/>
    <col min="7" max="7" width="10.6328125" style="11" customWidth="1"/>
    <col min="8" max="8" width="22.54296875" style="11" customWidth="1"/>
    <col min="9" max="9" width="8.81640625" style="11"/>
    <col min="10" max="10" width="42.6328125" style="11" customWidth="1"/>
    <col min="11" max="11" width="44.1796875" style="11" bestFit="1" customWidth="1"/>
    <col min="12" max="12" width="3.08984375" style="11" bestFit="1" customWidth="1"/>
    <col min="13" max="13" width="3.90625" style="11" bestFit="1" customWidth="1"/>
    <col min="14" max="18" width="8.81640625" style="11"/>
    <col min="19" max="19" width="22.08984375" style="11" customWidth="1"/>
    <col min="20" max="20" width="8.81640625" style="11"/>
    <col min="21" max="21" width="21.6328125" style="11" customWidth="1"/>
    <col min="22" max="22" width="26.36328125" style="11" customWidth="1"/>
    <col min="23" max="23" width="23.90625" style="11" customWidth="1"/>
    <col min="24" max="24" width="28.1796875" style="11" customWidth="1"/>
    <col min="25" max="25" width="23.90625" style="11" customWidth="1"/>
    <col min="26" max="16384" width="8.81640625" style="11"/>
  </cols>
  <sheetData>
    <row r="1" spans="1:10">
      <c r="A1" s="386" t="s">
        <v>0</v>
      </c>
      <c r="B1" s="387"/>
      <c r="C1" s="387"/>
      <c r="D1" s="387"/>
      <c r="E1" s="387"/>
      <c r="F1" s="387"/>
      <c r="G1" s="387"/>
      <c r="H1" s="388"/>
    </row>
    <row r="2" spans="1:10">
      <c r="A2" s="12"/>
      <c r="B2" s="13"/>
      <c r="C2" s="13"/>
      <c r="D2" s="13"/>
      <c r="E2" s="13"/>
      <c r="F2" s="13"/>
      <c r="G2" s="13"/>
      <c r="H2" s="14"/>
    </row>
    <row r="3" spans="1:10" ht="24">
      <c r="A3" s="389" t="s">
        <v>1</v>
      </c>
      <c r="B3" s="390"/>
      <c r="C3" s="390"/>
      <c r="D3" s="390"/>
      <c r="E3" s="390"/>
      <c r="F3" s="390"/>
      <c r="G3" s="390"/>
      <c r="H3" s="391"/>
    </row>
    <row r="4" spans="1:10">
      <c r="A4" s="12" t="s">
        <v>2</v>
      </c>
      <c r="B4" s="13"/>
      <c r="C4" s="13"/>
      <c r="D4" s="13"/>
      <c r="E4" s="13"/>
      <c r="F4" s="13"/>
      <c r="G4" s="13"/>
      <c r="H4" s="14"/>
    </row>
    <row r="5" spans="1:10">
      <c r="A5" s="1" t="s">
        <v>3</v>
      </c>
      <c r="B5" s="2" t="s">
        <v>4</v>
      </c>
      <c r="C5" s="3"/>
      <c r="D5" s="3"/>
      <c r="E5" s="4"/>
      <c r="F5" s="5" t="s">
        <v>5</v>
      </c>
      <c r="G5" s="392" t="s">
        <v>45</v>
      </c>
      <c r="H5" s="393"/>
    </row>
    <row r="6" spans="1:10">
      <c r="A6" s="1" t="s">
        <v>6</v>
      </c>
      <c r="B6" s="6" t="s">
        <v>7</v>
      </c>
      <c r="C6" s="7"/>
      <c r="D6" s="7"/>
      <c r="E6" s="4"/>
      <c r="F6" s="5" t="s">
        <v>8</v>
      </c>
      <c r="G6" s="394">
        <v>45747</v>
      </c>
      <c r="H6" s="395"/>
    </row>
    <row r="7" spans="1:10" ht="5" customHeight="1">
      <c r="A7" s="12"/>
      <c r="B7" s="13"/>
      <c r="C7" s="13"/>
      <c r="D7" s="13"/>
      <c r="E7" s="13"/>
      <c r="F7" s="13"/>
      <c r="G7" s="13"/>
      <c r="H7" s="14"/>
    </row>
    <row r="8" spans="1:10">
      <c r="A8" s="396" t="s">
        <v>9</v>
      </c>
      <c r="B8" s="397"/>
      <c r="C8" s="397"/>
      <c r="D8" s="397"/>
      <c r="E8" s="397"/>
      <c r="F8" s="397"/>
      <c r="G8" s="397" t="s">
        <v>10</v>
      </c>
      <c r="H8" s="398"/>
    </row>
    <row r="9" spans="1:10" ht="3" customHeight="1">
      <c r="A9" s="12"/>
      <c r="B9" s="13"/>
      <c r="C9" s="13"/>
      <c r="D9" s="13"/>
      <c r="E9" s="13"/>
      <c r="F9" s="13"/>
      <c r="G9" s="13"/>
      <c r="H9" s="14"/>
    </row>
    <row r="10" spans="1:10" s="20" customFormat="1" ht="17.5" thickBot="1">
      <c r="A10" s="17" t="s">
        <v>11</v>
      </c>
      <c r="B10" s="18" t="s">
        <v>12</v>
      </c>
      <c r="C10" s="18" t="s">
        <v>13</v>
      </c>
      <c r="D10" s="18" t="s">
        <v>14</v>
      </c>
      <c r="E10" s="18" t="s">
        <v>15</v>
      </c>
      <c r="F10" s="18" t="s">
        <v>16</v>
      </c>
      <c r="G10" s="18" t="s">
        <v>17</v>
      </c>
      <c r="H10" s="19" t="s">
        <v>18</v>
      </c>
    </row>
    <row r="11" spans="1:10" s="43" customFormat="1" ht="11" thickTop="1">
      <c r="A11" s="56" t="s">
        <v>280</v>
      </c>
      <c r="B11" s="38"/>
      <c r="C11" s="39"/>
      <c r="D11" s="61" t="s">
        <v>184</v>
      </c>
      <c r="E11" s="57" t="str">
        <f>_xlfn.XLOOKUP(D11,Table13[Decription],Table13[Unit])</f>
        <v>piece</v>
      </c>
      <c r="F11" s="60">
        <v>2</v>
      </c>
      <c r="G11" s="57">
        <f>_xlfn.XLOOKUP(D11,Table13[Decription],Table13[Unit Cost])</f>
        <v>2.8250149200000001</v>
      </c>
      <c r="H11" s="59">
        <f>G11*F11</f>
        <v>5.6500298400000002</v>
      </c>
      <c r="J11" s="216"/>
    </row>
    <row r="12" spans="1:10" s="43" customFormat="1" ht="10.5">
      <c r="A12" s="56" t="s">
        <v>289</v>
      </c>
      <c r="B12" s="38"/>
      <c r="C12" s="39"/>
      <c r="D12" s="61" t="s">
        <v>76</v>
      </c>
      <c r="E12" s="57" t="str">
        <f>_xlfn.XLOOKUP(D12,Table13[Decription],Table13[Unit])</f>
        <v>bottle</v>
      </c>
      <c r="F12" s="60">
        <v>1</v>
      </c>
      <c r="G12" s="57">
        <f>_xlfn.XLOOKUP(D12,Table13[Decription],Table13[Unit Cost])</f>
        <v>432.5</v>
      </c>
      <c r="H12" s="59">
        <f t="shared" ref="H12:H64" si="0">G12*F12</f>
        <v>432.5</v>
      </c>
      <c r="J12" s="217"/>
    </row>
    <row r="13" spans="1:10" s="43" customFormat="1" ht="10.5">
      <c r="A13" s="56" t="s">
        <v>289</v>
      </c>
      <c r="B13" s="38"/>
      <c r="C13" s="39"/>
      <c r="D13" s="61" t="s">
        <v>170</v>
      </c>
      <c r="E13" s="57" t="str">
        <f>_xlfn.XLOOKUP(D13,Table13[Decription],Table13[Unit])</f>
        <v>can</v>
      </c>
      <c r="F13" s="62">
        <v>1</v>
      </c>
      <c r="G13" s="57">
        <f>_xlfn.XLOOKUP(D13,Table13[Decription],Table13[Unit Cost])</f>
        <v>798.58</v>
      </c>
      <c r="H13" s="59">
        <f t="shared" si="0"/>
        <v>798.58</v>
      </c>
      <c r="J13" s="216"/>
    </row>
    <row r="14" spans="1:10" s="43" customFormat="1" ht="10.5">
      <c r="A14" s="56" t="s">
        <v>289</v>
      </c>
      <c r="B14" s="38"/>
      <c r="C14" s="39"/>
      <c r="D14" s="70" t="s">
        <v>164</v>
      </c>
      <c r="E14" s="57" t="str">
        <f>_xlfn.XLOOKUP(D14,Table13[Decription],Table13[Unit])</f>
        <v>can</v>
      </c>
      <c r="F14" s="62">
        <v>1</v>
      </c>
      <c r="G14" s="57">
        <f>_xlfn.XLOOKUP(D14,Table13[Decription],Table13[Unit Cost])</f>
        <v>289.68</v>
      </c>
      <c r="H14" s="59">
        <f t="shared" si="0"/>
        <v>289.68</v>
      </c>
      <c r="J14" s="217"/>
    </row>
    <row r="15" spans="1:10" s="43" customFormat="1" ht="10.5">
      <c r="A15" s="56" t="s">
        <v>289</v>
      </c>
      <c r="B15" s="38"/>
      <c r="C15" s="39"/>
      <c r="D15" s="70" t="s">
        <v>72</v>
      </c>
      <c r="E15" s="57" t="str">
        <f>_xlfn.XLOOKUP(D15,Table13[Decription],Table13[Unit])</f>
        <v>pack</v>
      </c>
      <c r="F15" s="62">
        <v>2</v>
      </c>
      <c r="G15" s="57">
        <f>_xlfn.XLOOKUP(D15,Table13[Decription],Table13[Unit Cost])</f>
        <v>383.93</v>
      </c>
      <c r="H15" s="59">
        <f t="shared" si="0"/>
        <v>767.86</v>
      </c>
      <c r="J15" s="216"/>
    </row>
    <row r="16" spans="1:10" s="43" customFormat="1" ht="10.5">
      <c r="A16" s="56" t="s">
        <v>289</v>
      </c>
      <c r="B16" s="38"/>
      <c r="C16" s="39"/>
      <c r="D16" s="70" t="s">
        <v>71</v>
      </c>
      <c r="E16" s="57" t="str">
        <f>_xlfn.XLOOKUP(D16,Table13[Decription],Table13[Unit])</f>
        <v>roll</v>
      </c>
      <c r="F16" s="62">
        <v>10</v>
      </c>
      <c r="G16" s="57">
        <f>_xlfn.XLOOKUP(D16,Table13[Decription],Table13[Unit Cost])</f>
        <v>28.75</v>
      </c>
      <c r="H16" s="59">
        <f t="shared" si="0"/>
        <v>287.5</v>
      </c>
      <c r="J16" s="217"/>
    </row>
    <row r="17" spans="1:10" s="43" customFormat="1" ht="10.5">
      <c r="A17" s="56" t="s">
        <v>289</v>
      </c>
      <c r="B17" s="38"/>
      <c r="C17" s="39"/>
      <c r="D17" s="70" t="s">
        <v>195</v>
      </c>
      <c r="E17" s="57" t="str">
        <f>_xlfn.XLOOKUP(D17,Table13[Decription],Table13[Unit])</f>
        <v>bottle</v>
      </c>
      <c r="F17" s="62">
        <v>1</v>
      </c>
      <c r="G17" s="57">
        <f>_xlfn.XLOOKUP(D17,Table13[Decription],Table13[Unit Cost])</f>
        <v>168</v>
      </c>
      <c r="H17" s="59">
        <f t="shared" si="0"/>
        <v>168</v>
      </c>
      <c r="J17" s="216"/>
    </row>
    <row r="18" spans="1:10" s="43" customFormat="1" ht="9.65" customHeight="1">
      <c r="A18" s="56" t="s">
        <v>289</v>
      </c>
      <c r="B18" s="38"/>
      <c r="C18" s="39"/>
      <c r="D18" s="61" t="s">
        <v>166</v>
      </c>
      <c r="E18" s="57" t="str">
        <f>_xlfn.XLOOKUP(D18,Table13[Decription],Table13[Unit])</f>
        <v>can</v>
      </c>
      <c r="F18" s="60">
        <v>2</v>
      </c>
      <c r="G18" s="57">
        <f>_xlfn.XLOOKUP(D18,Table13[Decription],Table13[Unit Cost])</f>
        <v>572.76</v>
      </c>
      <c r="H18" s="59">
        <f t="shared" si="0"/>
        <v>1145.52</v>
      </c>
      <c r="J18" s="217"/>
    </row>
    <row r="19" spans="1:10" s="43" customFormat="1" ht="9.65" customHeight="1">
      <c r="A19" s="56" t="s">
        <v>289</v>
      </c>
      <c r="B19" s="38"/>
      <c r="C19" s="39"/>
      <c r="D19" s="61" t="s">
        <v>172</v>
      </c>
      <c r="E19" s="57" t="str">
        <f>_xlfn.XLOOKUP(D19,Table13[Decription],Table13[Unit])</f>
        <v>piece</v>
      </c>
      <c r="F19" s="60">
        <v>2</v>
      </c>
      <c r="G19" s="57">
        <f>_xlfn.XLOOKUP(D19,Table13[Decription],Table13[Unit Cost])</f>
        <v>78.75</v>
      </c>
      <c r="H19" s="59">
        <f t="shared" si="0"/>
        <v>157.5</v>
      </c>
      <c r="J19" s="216"/>
    </row>
    <row r="20" spans="1:10" s="43" customFormat="1" ht="9.65" customHeight="1">
      <c r="A20" s="56" t="s">
        <v>295</v>
      </c>
      <c r="B20" s="38"/>
      <c r="C20" s="39"/>
      <c r="D20" s="70" t="s">
        <v>71</v>
      </c>
      <c r="E20" s="57" t="str">
        <f>_xlfn.XLOOKUP(D20,Table13[Decription],Table13[Unit])</f>
        <v>roll</v>
      </c>
      <c r="F20" s="60">
        <v>10</v>
      </c>
      <c r="G20" s="57">
        <f>_xlfn.XLOOKUP(D20,Table13[Decription],Table13[Unit Cost])</f>
        <v>28.75</v>
      </c>
      <c r="H20" s="59">
        <f t="shared" si="0"/>
        <v>287.5</v>
      </c>
      <c r="J20" s="217"/>
    </row>
    <row r="21" spans="1:10" s="43" customFormat="1" ht="9.65" customHeight="1">
      <c r="A21" s="56" t="s">
        <v>298</v>
      </c>
      <c r="B21" s="38"/>
      <c r="C21" s="39"/>
      <c r="D21" s="70" t="s">
        <v>183</v>
      </c>
      <c r="E21" s="57" t="str">
        <f>_xlfn.XLOOKUP(D21,Table13[Decription],Table13[Unit])</f>
        <v>pack</v>
      </c>
      <c r="F21" s="60">
        <v>14</v>
      </c>
      <c r="G21" s="57">
        <f>_xlfn.XLOOKUP(D21,Table13[Decription],Table13[Unit Cost])</f>
        <v>24.93</v>
      </c>
      <c r="H21" s="59">
        <f t="shared" si="0"/>
        <v>349.02</v>
      </c>
      <c r="J21" s="216"/>
    </row>
    <row r="22" spans="1:10" s="43" customFormat="1" ht="9.65" customHeight="1">
      <c r="A22" s="56" t="s">
        <v>298</v>
      </c>
      <c r="B22" s="38"/>
      <c r="C22" s="39"/>
      <c r="D22" s="70" t="s">
        <v>75</v>
      </c>
      <c r="E22" s="57" t="str">
        <f>_xlfn.XLOOKUP(D22,Table13[Decription],Table13[Unit])</f>
        <v>piece</v>
      </c>
      <c r="F22" s="60">
        <v>3</v>
      </c>
      <c r="G22" s="57">
        <f>_xlfn.XLOOKUP(D22,Table13[Decription],Table13[Unit Cost])</f>
        <v>90.07</v>
      </c>
      <c r="H22" s="59">
        <f t="shared" si="0"/>
        <v>270.20999999999998</v>
      </c>
      <c r="J22" s="217"/>
    </row>
    <row r="23" spans="1:10" s="43" customFormat="1" ht="9.65" customHeight="1">
      <c r="A23" s="56" t="s">
        <v>298</v>
      </c>
      <c r="B23" s="38"/>
      <c r="C23" s="39"/>
      <c r="D23" s="61" t="s">
        <v>76</v>
      </c>
      <c r="E23" s="57" t="str">
        <f>_xlfn.XLOOKUP(D23,Table13[Decription],Table13[Unit])</f>
        <v>bottle</v>
      </c>
      <c r="F23" s="60">
        <v>4</v>
      </c>
      <c r="G23" s="57">
        <f>_xlfn.XLOOKUP(D23,Table13[Decription],Table13[Unit Cost])</f>
        <v>432.5</v>
      </c>
      <c r="H23" s="59">
        <f t="shared" si="0"/>
        <v>1730</v>
      </c>
      <c r="J23" s="216"/>
    </row>
    <row r="24" spans="1:10" s="43" customFormat="1" ht="9.65" customHeight="1">
      <c r="A24" s="56" t="s">
        <v>298</v>
      </c>
      <c r="B24" s="38"/>
      <c r="C24" s="39"/>
      <c r="D24" s="70" t="s">
        <v>164</v>
      </c>
      <c r="E24" s="57" t="str">
        <f>_xlfn.XLOOKUP(D24,Table13[Decription],Table13[Unit])</f>
        <v>can</v>
      </c>
      <c r="F24" s="62">
        <v>2</v>
      </c>
      <c r="G24" s="57">
        <f>_xlfn.XLOOKUP(D24,Table13[Decription],Table13[Unit Cost])</f>
        <v>289.68</v>
      </c>
      <c r="H24" s="59">
        <f t="shared" si="0"/>
        <v>579.36</v>
      </c>
      <c r="J24" s="217"/>
    </row>
    <row r="25" spans="1:10" s="43" customFormat="1" ht="10.5">
      <c r="A25" s="56" t="s">
        <v>298</v>
      </c>
      <c r="B25" s="38"/>
      <c r="C25" s="39"/>
      <c r="D25" s="61" t="s">
        <v>166</v>
      </c>
      <c r="E25" s="57" t="str">
        <f>_xlfn.XLOOKUP(D25,Table13[Decription],Table13[Unit])</f>
        <v>can</v>
      </c>
      <c r="F25" s="62">
        <v>2</v>
      </c>
      <c r="G25" s="57">
        <f>_xlfn.XLOOKUP(D25,Table13[Decription],Table13[Unit Cost])</f>
        <v>572.76</v>
      </c>
      <c r="H25" s="59">
        <f t="shared" si="0"/>
        <v>1145.52</v>
      </c>
      <c r="J25" s="216"/>
    </row>
    <row r="26" spans="1:10" s="43" customFormat="1" ht="10.5">
      <c r="A26" s="56" t="s">
        <v>298</v>
      </c>
      <c r="B26" s="38"/>
      <c r="C26" s="39"/>
      <c r="D26" s="61" t="s">
        <v>172</v>
      </c>
      <c r="E26" s="57" t="str">
        <f>_xlfn.XLOOKUP(D26,Table13[Decription],Table13[Unit])</f>
        <v>piece</v>
      </c>
      <c r="F26" s="62">
        <v>2</v>
      </c>
      <c r="G26" s="57">
        <f>_xlfn.XLOOKUP(D26,Table13[Decription],Table13[Unit Cost])</f>
        <v>78.75</v>
      </c>
      <c r="H26" s="59">
        <f t="shared" si="0"/>
        <v>157.5</v>
      </c>
      <c r="J26" s="217"/>
    </row>
    <row r="27" spans="1:10" s="43" customFormat="1" ht="10.5">
      <c r="A27" s="56" t="s">
        <v>298</v>
      </c>
      <c r="B27" s="38"/>
      <c r="C27" s="39"/>
      <c r="D27" s="61" t="s">
        <v>191</v>
      </c>
      <c r="E27" s="57" t="str">
        <f>_xlfn.XLOOKUP(D27,Table13[Decription],Table13[Unit])</f>
        <v>piece</v>
      </c>
      <c r="F27" s="62">
        <v>2</v>
      </c>
      <c r="G27" s="57">
        <f>_xlfn.XLOOKUP(D27,Table13[Decription],Table13[Unit Cost])</f>
        <v>311</v>
      </c>
      <c r="H27" s="59">
        <f t="shared" si="0"/>
        <v>622</v>
      </c>
      <c r="J27" s="217"/>
    </row>
    <row r="28" spans="1:10" s="43" customFormat="1" ht="10.5">
      <c r="A28" s="56" t="s">
        <v>298</v>
      </c>
      <c r="B28" s="38"/>
      <c r="C28" s="39"/>
      <c r="D28" s="61" t="s">
        <v>185</v>
      </c>
      <c r="E28" s="57" t="str">
        <f>_xlfn.XLOOKUP(D28,Table13[Decription],Table13[Unit])</f>
        <v>bottle</v>
      </c>
      <c r="F28" s="62">
        <v>1</v>
      </c>
      <c r="G28" s="57">
        <f>_xlfn.XLOOKUP(D28,Table13[Decription],Table13[Unit Cost])</f>
        <v>600</v>
      </c>
      <c r="H28" s="59">
        <f t="shared" si="0"/>
        <v>600</v>
      </c>
      <c r="J28" s="217"/>
    </row>
    <row r="29" spans="1:10" s="43" customFormat="1" ht="10.5">
      <c r="A29" s="56" t="s">
        <v>300</v>
      </c>
      <c r="B29" s="38"/>
      <c r="C29" s="39"/>
      <c r="D29" s="61" t="s">
        <v>184</v>
      </c>
      <c r="E29" s="57" t="str">
        <f>_xlfn.XLOOKUP(D29,Table13[Decription],Table13[Unit])</f>
        <v>piece</v>
      </c>
      <c r="F29" s="62">
        <v>5</v>
      </c>
      <c r="G29" s="57">
        <f>_xlfn.XLOOKUP(D29,Table13[Decription],Table13[Unit Cost])</f>
        <v>2.8250149200000001</v>
      </c>
      <c r="H29" s="59">
        <f t="shared" si="0"/>
        <v>14.125074600000001</v>
      </c>
      <c r="J29" s="216"/>
    </row>
    <row r="30" spans="1:10" s="43" customFormat="1" ht="10.5">
      <c r="A30" s="56" t="s">
        <v>300</v>
      </c>
      <c r="B30" s="38"/>
      <c r="C30" s="39"/>
      <c r="D30" s="61" t="s">
        <v>173</v>
      </c>
      <c r="E30" s="57" t="str">
        <f>_xlfn.XLOOKUP(D30,Table13[Decription],Table13[Unit])</f>
        <v>box</v>
      </c>
      <c r="F30" s="62">
        <v>3</v>
      </c>
      <c r="G30" s="57">
        <f>_xlfn.XLOOKUP(D30,Table13[Decription],Table13[Unit Cost])</f>
        <v>238</v>
      </c>
      <c r="H30" s="59">
        <f t="shared" si="0"/>
        <v>714</v>
      </c>
      <c r="J30" s="217"/>
    </row>
    <row r="31" spans="1:10" s="43" customFormat="1" ht="10.5">
      <c r="A31" s="56" t="s">
        <v>300</v>
      </c>
      <c r="B31" s="38"/>
      <c r="C31" s="39"/>
      <c r="D31" s="61" t="s">
        <v>76</v>
      </c>
      <c r="E31" s="57" t="str">
        <f>_xlfn.XLOOKUP(D31,Table13[Decription],Table13[Unit])</f>
        <v>bottle</v>
      </c>
      <c r="F31" s="62">
        <v>4</v>
      </c>
      <c r="G31" s="57">
        <f>_xlfn.XLOOKUP(D31,Table13[Decription],Table13[Unit Cost])</f>
        <v>432.5</v>
      </c>
      <c r="H31" s="59">
        <f t="shared" si="0"/>
        <v>1730</v>
      </c>
      <c r="J31" s="216"/>
    </row>
    <row r="32" spans="1:10" s="43" customFormat="1" ht="10.5">
      <c r="A32" s="56" t="s">
        <v>300</v>
      </c>
      <c r="B32" s="38"/>
      <c r="C32" s="39"/>
      <c r="D32" s="61" t="s">
        <v>170</v>
      </c>
      <c r="E32" s="57" t="str">
        <f>_xlfn.XLOOKUP(D32,Table13[Decription],Table13[Unit])</f>
        <v>can</v>
      </c>
      <c r="F32" s="62">
        <v>3</v>
      </c>
      <c r="G32" s="57">
        <f>_xlfn.XLOOKUP(D32,Table13[Decription],Table13[Unit Cost])</f>
        <v>798.58</v>
      </c>
      <c r="H32" s="59">
        <f t="shared" si="0"/>
        <v>2395.7400000000002</v>
      </c>
      <c r="J32" s="217"/>
    </row>
    <row r="33" spans="1:13" s="43" customFormat="1" ht="10.5">
      <c r="A33" s="56" t="s">
        <v>307</v>
      </c>
      <c r="B33" s="38"/>
      <c r="C33" s="39"/>
      <c r="D33" s="61" t="s">
        <v>166</v>
      </c>
      <c r="E33" s="57" t="str">
        <f>_xlfn.XLOOKUP(D33,Table13[Decription],Table13[Unit])</f>
        <v>can</v>
      </c>
      <c r="F33" s="60">
        <v>1</v>
      </c>
      <c r="G33" s="57">
        <f>_xlfn.XLOOKUP(D33,Table13[Decription],Table13[Unit Cost])</f>
        <v>572.76</v>
      </c>
      <c r="H33" s="59">
        <f t="shared" si="0"/>
        <v>572.76</v>
      </c>
      <c r="J33" s="216"/>
    </row>
    <row r="34" spans="1:13" s="43" customFormat="1" ht="10.5">
      <c r="A34" s="56" t="s">
        <v>307</v>
      </c>
      <c r="B34" s="38"/>
      <c r="C34" s="39"/>
      <c r="D34" s="61" t="s">
        <v>164</v>
      </c>
      <c r="E34" s="57" t="str">
        <f>_xlfn.XLOOKUP(D34,Table13[Decription],Table13[Unit])</f>
        <v>can</v>
      </c>
      <c r="F34" s="60">
        <v>1</v>
      </c>
      <c r="G34" s="57">
        <f>_xlfn.XLOOKUP(D34,Table13[Decription],Table13[Unit Cost])</f>
        <v>289.68</v>
      </c>
      <c r="H34" s="59">
        <f t="shared" si="0"/>
        <v>289.68</v>
      </c>
      <c r="J34" s="217"/>
    </row>
    <row r="35" spans="1:13" s="43" customFormat="1" ht="10.5">
      <c r="A35" s="56" t="s">
        <v>307</v>
      </c>
      <c r="B35" s="38"/>
      <c r="C35" s="39"/>
      <c r="D35" s="61" t="s">
        <v>71</v>
      </c>
      <c r="E35" s="57" t="str">
        <f>_xlfn.XLOOKUP(D35,Table13[Decription],Table13[Unit])</f>
        <v>roll</v>
      </c>
      <c r="F35" s="60">
        <v>11</v>
      </c>
      <c r="G35" s="57">
        <f>_xlfn.XLOOKUP(D35,Table13[Decription],Table13[Unit Cost])</f>
        <v>28.75</v>
      </c>
      <c r="H35" s="59">
        <f t="shared" si="0"/>
        <v>316.25</v>
      </c>
      <c r="J35" s="216"/>
    </row>
    <row r="36" spans="1:13" s="43" customFormat="1" ht="10.5">
      <c r="A36" s="56" t="s">
        <v>308</v>
      </c>
      <c r="B36" s="38"/>
      <c r="C36" s="39"/>
      <c r="D36" s="61" t="s">
        <v>190</v>
      </c>
      <c r="E36" s="57" t="str">
        <f>_xlfn.XLOOKUP(D36,Table13[Decription],Table13[Unit])</f>
        <v>roll</v>
      </c>
      <c r="F36" s="60">
        <v>3</v>
      </c>
      <c r="G36" s="57">
        <f>_xlfn.XLOOKUP(D36,Table13[Decription],Table13[Unit Cost])</f>
        <v>23.84</v>
      </c>
      <c r="H36" s="59">
        <f t="shared" si="0"/>
        <v>71.52</v>
      </c>
      <c r="J36" s="217"/>
    </row>
    <row r="37" spans="1:13" s="43" customFormat="1" ht="9.65" customHeight="1">
      <c r="A37" s="56" t="s">
        <v>308</v>
      </c>
      <c r="B37" s="38"/>
      <c r="C37" s="39"/>
      <c r="D37" s="61" t="s">
        <v>76</v>
      </c>
      <c r="E37" s="57" t="str">
        <f>_xlfn.XLOOKUP(D37,Table13[Decription],Table13[Unit])</f>
        <v>bottle</v>
      </c>
      <c r="F37" s="60">
        <v>4</v>
      </c>
      <c r="G37" s="57">
        <f>_xlfn.XLOOKUP(D37,Table13[Decription],Table13[Unit Cost])</f>
        <v>432.5</v>
      </c>
      <c r="H37" s="59">
        <f t="shared" si="0"/>
        <v>1730</v>
      </c>
      <c r="J37" s="216"/>
      <c r="K37" s="58"/>
      <c r="L37" s="58"/>
      <c r="M37" s="58"/>
    </row>
    <row r="38" spans="1:13" s="43" customFormat="1" ht="9.65" customHeight="1">
      <c r="A38" s="56" t="s">
        <v>308</v>
      </c>
      <c r="B38" s="38"/>
      <c r="C38" s="39"/>
      <c r="D38" s="61" t="s">
        <v>175</v>
      </c>
      <c r="E38" s="57" t="str">
        <f>_xlfn.XLOOKUP(D38,Table13[Decription],Table13[Unit])</f>
        <v>can</v>
      </c>
      <c r="F38" s="60">
        <v>2</v>
      </c>
      <c r="G38" s="57">
        <f>_xlfn.XLOOKUP(D38,Table13[Decription],Table13[Unit Cost])</f>
        <v>165</v>
      </c>
      <c r="H38" s="59">
        <f t="shared" si="0"/>
        <v>330</v>
      </c>
      <c r="J38" s="216"/>
      <c r="K38" s="58"/>
      <c r="L38" s="58"/>
      <c r="M38" s="58"/>
    </row>
    <row r="39" spans="1:13" s="43" customFormat="1" ht="9.65" customHeight="1">
      <c r="A39" s="56" t="s">
        <v>347</v>
      </c>
      <c r="B39" s="38"/>
      <c r="C39" s="39"/>
      <c r="D39" s="61" t="s">
        <v>164</v>
      </c>
      <c r="E39" s="57" t="str">
        <f>_xlfn.XLOOKUP(D39,Table13[Decription],Table13[Unit])</f>
        <v>can</v>
      </c>
      <c r="F39" s="60">
        <v>1</v>
      </c>
      <c r="G39" s="57">
        <f>_xlfn.XLOOKUP(D39,Table13[Decription],Table13[Unit Cost])</f>
        <v>289.68</v>
      </c>
      <c r="H39" s="59">
        <f t="shared" si="0"/>
        <v>289.68</v>
      </c>
      <c r="J39" s="217"/>
      <c r="K39" s="58"/>
      <c r="L39" s="58"/>
      <c r="M39" s="58"/>
    </row>
    <row r="40" spans="1:13" s="43" customFormat="1" ht="9.65" customHeight="1">
      <c r="A40" s="56" t="s">
        <v>347</v>
      </c>
      <c r="B40" s="38"/>
      <c r="C40" s="39"/>
      <c r="D40" s="61" t="s">
        <v>175</v>
      </c>
      <c r="E40" s="57" t="str">
        <f>_xlfn.XLOOKUP(D40,Table13[Decription],Table13[Unit])</f>
        <v>can</v>
      </c>
      <c r="F40" s="60">
        <v>2</v>
      </c>
      <c r="G40" s="57">
        <f>_xlfn.XLOOKUP(D40,Table13[Decription],Table13[Unit Cost])</f>
        <v>165</v>
      </c>
      <c r="H40" s="59">
        <f t="shared" si="0"/>
        <v>330</v>
      </c>
      <c r="J40" s="217"/>
      <c r="K40" s="58"/>
      <c r="L40" s="58"/>
      <c r="M40" s="58"/>
    </row>
    <row r="41" spans="1:13" s="43" customFormat="1" ht="10.5">
      <c r="A41" s="56" t="s">
        <v>319</v>
      </c>
      <c r="B41" s="38"/>
      <c r="C41" s="39"/>
      <c r="D41" s="61" t="s">
        <v>76</v>
      </c>
      <c r="E41" s="57" t="str">
        <f>_xlfn.XLOOKUP(D41,Table13[Decription],Table13[Unit])</f>
        <v>bottle</v>
      </c>
      <c r="F41" s="60">
        <v>1</v>
      </c>
      <c r="G41" s="57">
        <f>_xlfn.XLOOKUP(D41,Table13[Decription],Table13[Unit Cost])</f>
        <v>432.5</v>
      </c>
      <c r="H41" s="59">
        <f t="shared" si="0"/>
        <v>432.5</v>
      </c>
      <c r="J41" s="216"/>
    </row>
    <row r="42" spans="1:13" s="43" customFormat="1" ht="9.65" customHeight="1">
      <c r="A42" s="56" t="s">
        <v>319</v>
      </c>
      <c r="B42" s="38"/>
      <c r="C42" s="39"/>
      <c r="D42" s="70" t="s">
        <v>71</v>
      </c>
      <c r="E42" s="57" t="str">
        <f>_xlfn.XLOOKUP(D42,Table13[Decription],Table13[Unit])</f>
        <v>roll</v>
      </c>
      <c r="F42" s="60">
        <v>13</v>
      </c>
      <c r="G42" s="57">
        <f>_xlfn.XLOOKUP(D42,Table13[Decription],Table13[Unit Cost])</f>
        <v>28.75</v>
      </c>
      <c r="H42" s="59">
        <f t="shared" si="0"/>
        <v>373.75</v>
      </c>
      <c r="J42" s="217"/>
    </row>
    <row r="43" spans="1:13" s="43" customFormat="1" ht="9.65" customHeight="1">
      <c r="A43" s="56" t="s">
        <v>319</v>
      </c>
      <c r="B43" s="38"/>
      <c r="C43" s="39"/>
      <c r="D43" s="70" t="s">
        <v>75</v>
      </c>
      <c r="E43" s="57" t="str">
        <f>_xlfn.XLOOKUP(D43,Table13[Decription],Table13[Unit])</f>
        <v>piece</v>
      </c>
      <c r="F43" s="60">
        <v>2</v>
      </c>
      <c r="G43" s="57">
        <f>_xlfn.XLOOKUP(D43,Table13[Decription],Table13[Unit Cost])</f>
        <v>90.07</v>
      </c>
      <c r="H43" s="59">
        <f t="shared" si="0"/>
        <v>180.14</v>
      </c>
      <c r="J43" s="216"/>
    </row>
    <row r="44" spans="1:13" s="43" customFormat="1" ht="9.65" customHeight="1">
      <c r="A44" s="56" t="s">
        <v>319</v>
      </c>
      <c r="B44" s="38"/>
      <c r="C44" s="39"/>
      <c r="D44" s="70" t="s">
        <v>184</v>
      </c>
      <c r="E44" s="57" t="str">
        <f>_xlfn.XLOOKUP(D44,Table13[Decription],Table13[Unit])</f>
        <v>piece</v>
      </c>
      <c r="F44" s="60">
        <v>3</v>
      </c>
      <c r="G44" s="57">
        <f>_xlfn.XLOOKUP(D44,Table13[Decription],Table13[Unit Cost])</f>
        <v>2.8250149200000001</v>
      </c>
      <c r="H44" s="59">
        <f t="shared" si="0"/>
        <v>8.4750447599999994</v>
      </c>
      <c r="J44" s="216"/>
    </row>
    <row r="45" spans="1:13" s="36" customFormat="1" ht="10.5">
      <c r="A45" s="56" t="s">
        <v>319</v>
      </c>
      <c r="B45" s="38"/>
      <c r="C45" s="39"/>
      <c r="D45" s="70" t="s">
        <v>70</v>
      </c>
      <c r="E45" s="57" t="str">
        <f>_xlfn.XLOOKUP(D45,Table13[Decription],Table13[Unit])</f>
        <v>piece</v>
      </c>
      <c r="F45" s="60">
        <v>1</v>
      </c>
      <c r="G45" s="57">
        <f>_xlfn.XLOOKUP(D45,Table13[Decription],Table13[Unit Cost])</f>
        <v>64.67</v>
      </c>
      <c r="H45" s="59">
        <f t="shared" si="0"/>
        <v>64.67</v>
      </c>
      <c r="J45" s="217"/>
    </row>
    <row r="46" spans="1:13" s="43" customFormat="1" ht="9.65" customHeight="1">
      <c r="A46" s="56" t="s">
        <v>319</v>
      </c>
      <c r="B46" s="38"/>
      <c r="C46" s="39"/>
      <c r="D46" s="61" t="s">
        <v>170</v>
      </c>
      <c r="E46" s="57" t="str">
        <f>_xlfn.XLOOKUP(D46,Table13[Decription],Table13[Unit])</f>
        <v>can</v>
      </c>
      <c r="F46" s="60">
        <v>3</v>
      </c>
      <c r="G46" s="57">
        <f>_xlfn.XLOOKUP(D46,Table13[Decription],Table13[Unit Cost])</f>
        <v>798.58</v>
      </c>
      <c r="H46" s="59">
        <f t="shared" si="0"/>
        <v>2395.7400000000002</v>
      </c>
      <c r="J46" s="216"/>
    </row>
    <row r="47" spans="1:13" s="43" customFormat="1" ht="9.65" customHeight="1">
      <c r="A47" s="56" t="s">
        <v>326</v>
      </c>
      <c r="B47" s="38"/>
      <c r="C47" s="39"/>
      <c r="D47" s="70" t="s">
        <v>71</v>
      </c>
      <c r="E47" s="57" t="str">
        <f>_xlfn.XLOOKUP(D47,Table13[Decription],Table13[Unit])</f>
        <v>roll</v>
      </c>
      <c r="F47" s="60">
        <v>1</v>
      </c>
      <c r="G47" s="57">
        <f>_xlfn.XLOOKUP(D47,Table13[Decription],Table13[Unit Cost])</f>
        <v>28.75</v>
      </c>
      <c r="H47" s="59">
        <f t="shared" si="0"/>
        <v>28.75</v>
      </c>
      <c r="J47" s="217"/>
    </row>
    <row r="48" spans="1:13" s="43" customFormat="1" ht="9.65" customHeight="1">
      <c r="A48" s="56" t="s">
        <v>326</v>
      </c>
      <c r="B48" s="38"/>
      <c r="C48" s="39"/>
      <c r="D48" s="61" t="s">
        <v>188</v>
      </c>
      <c r="E48" s="57" t="str">
        <f>_xlfn.XLOOKUP(D48,Table13[Decription],Table13[Unit])</f>
        <v>roll</v>
      </c>
      <c r="F48" s="60">
        <v>1</v>
      </c>
      <c r="G48" s="57">
        <f>_xlfn.XLOOKUP(D48,Table13[Decription],Table13[Unit Cost])</f>
        <v>22.27</v>
      </c>
      <c r="H48" s="59">
        <f t="shared" si="0"/>
        <v>22.27</v>
      </c>
      <c r="J48" s="218"/>
    </row>
    <row r="49" spans="1:10" s="43" customFormat="1" ht="9.65" customHeight="1">
      <c r="A49" s="56" t="s">
        <v>326</v>
      </c>
      <c r="B49" s="38"/>
      <c r="C49" s="39"/>
      <c r="D49" s="61" t="s">
        <v>180</v>
      </c>
      <c r="E49" s="57" t="str">
        <f>_xlfn.XLOOKUP(D49,Table13[Decription],Table13[Unit])</f>
        <v>piece</v>
      </c>
      <c r="F49" s="60">
        <v>5</v>
      </c>
      <c r="G49" s="57">
        <f>_xlfn.XLOOKUP(D49,Table13[Decription],Table13[Unit Cost])</f>
        <v>18.53</v>
      </c>
      <c r="H49" s="59">
        <f t="shared" si="0"/>
        <v>92.65</v>
      </c>
      <c r="J49" s="218"/>
    </row>
    <row r="50" spans="1:10" s="43" customFormat="1" ht="9.65" customHeight="1">
      <c r="A50" s="56" t="s">
        <v>328</v>
      </c>
      <c r="B50" s="38"/>
      <c r="C50" s="39"/>
      <c r="D50" s="61" t="s">
        <v>188</v>
      </c>
      <c r="E50" s="57" t="str">
        <f>_xlfn.XLOOKUP(D50,Table13[Decription],Table13[Unit])</f>
        <v>roll</v>
      </c>
      <c r="F50" s="60">
        <v>6</v>
      </c>
      <c r="G50" s="57">
        <f>_xlfn.XLOOKUP(D50,Table13[Decription],Table13[Unit Cost])</f>
        <v>22.27</v>
      </c>
      <c r="H50" s="59">
        <f t="shared" si="0"/>
        <v>133.62</v>
      </c>
      <c r="J50" s="217"/>
    </row>
    <row r="51" spans="1:10" s="43" customFormat="1" ht="9.65" customHeight="1">
      <c r="A51" s="56" t="s">
        <v>328</v>
      </c>
      <c r="B51" s="38"/>
      <c r="C51" s="39"/>
      <c r="D51" s="61" t="s">
        <v>190</v>
      </c>
      <c r="E51" s="57" t="str">
        <f>_xlfn.XLOOKUP(D51,Table13[Decription],Table13[Unit])</f>
        <v>roll</v>
      </c>
      <c r="F51" s="60">
        <v>2</v>
      </c>
      <c r="G51" s="57">
        <f>_xlfn.XLOOKUP(D51,Table13[Decription],Table13[Unit Cost])</f>
        <v>23.84</v>
      </c>
      <c r="H51" s="59">
        <f t="shared" si="0"/>
        <v>47.68</v>
      </c>
      <c r="J51" s="216"/>
    </row>
    <row r="52" spans="1:10" s="43" customFormat="1" ht="9.65" customHeight="1">
      <c r="A52" s="56" t="s">
        <v>328</v>
      </c>
      <c r="B52" s="38"/>
      <c r="C52" s="39"/>
      <c r="D52" s="70" t="s">
        <v>183</v>
      </c>
      <c r="E52" s="57" t="str">
        <f>_xlfn.XLOOKUP(D52,Table13[Decription],Table13[Unit])</f>
        <v>pack</v>
      </c>
      <c r="F52" s="60">
        <v>1</v>
      </c>
      <c r="G52" s="57">
        <f>_xlfn.XLOOKUP(D52,Table13[Decription],Table13[Unit Cost])</f>
        <v>24.93</v>
      </c>
      <c r="H52" s="59">
        <f t="shared" si="0"/>
        <v>24.93</v>
      </c>
      <c r="J52" s="217"/>
    </row>
    <row r="53" spans="1:10" s="43" customFormat="1" ht="9.65" customHeight="1">
      <c r="A53" s="56" t="s">
        <v>328</v>
      </c>
      <c r="B53" s="38"/>
      <c r="C53" s="39"/>
      <c r="D53" s="61" t="s">
        <v>180</v>
      </c>
      <c r="E53" s="57" t="str">
        <f>_xlfn.XLOOKUP(D53,Table13[Decription],Table13[Unit])</f>
        <v>piece</v>
      </c>
      <c r="F53" s="60">
        <v>1</v>
      </c>
      <c r="G53" s="57">
        <f>_xlfn.XLOOKUP(D53,Table13[Decription],Table13[Unit Cost])</f>
        <v>18.53</v>
      </c>
      <c r="H53" s="59">
        <f t="shared" si="0"/>
        <v>18.53</v>
      </c>
    </row>
    <row r="54" spans="1:10" s="43" customFormat="1" ht="9.65" customHeight="1">
      <c r="A54" s="56" t="s">
        <v>328</v>
      </c>
      <c r="B54" s="38"/>
      <c r="C54" s="39"/>
      <c r="D54" s="70" t="s">
        <v>71</v>
      </c>
      <c r="E54" s="57" t="str">
        <f>_xlfn.XLOOKUP(D54,Table13[Decription],Table13[Unit])</f>
        <v>roll</v>
      </c>
      <c r="F54" s="60">
        <v>10</v>
      </c>
      <c r="G54" s="57">
        <f>_xlfn.XLOOKUP(D54,Table13[Decription],Table13[Unit Cost])</f>
        <v>28.75</v>
      </c>
      <c r="H54" s="59">
        <f t="shared" si="0"/>
        <v>287.5</v>
      </c>
    </row>
    <row r="55" spans="1:10" s="43" customFormat="1" ht="9.65" customHeight="1">
      <c r="A55" s="56" t="s">
        <v>328</v>
      </c>
      <c r="B55" s="38"/>
      <c r="C55" s="39"/>
      <c r="D55" s="61" t="s">
        <v>76</v>
      </c>
      <c r="E55" s="57" t="str">
        <f>_xlfn.XLOOKUP(D55,Table13[Decription],Table13[Unit])</f>
        <v>bottle</v>
      </c>
      <c r="F55" s="60">
        <v>2</v>
      </c>
      <c r="G55" s="57">
        <f>_xlfn.XLOOKUP(D55,Table13[Decription],Table13[Unit Cost])</f>
        <v>432.5</v>
      </c>
      <c r="H55" s="59">
        <f t="shared" si="0"/>
        <v>865</v>
      </c>
    </row>
    <row r="56" spans="1:10" s="43" customFormat="1" ht="9.65" customHeight="1">
      <c r="A56" s="56" t="s">
        <v>333</v>
      </c>
      <c r="B56" s="38"/>
      <c r="C56" s="39"/>
      <c r="D56" s="61" t="s">
        <v>184</v>
      </c>
      <c r="E56" s="57" t="str">
        <f>_xlfn.XLOOKUP(D56,Table13[Decription],Table13[Unit])</f>
        <v>piece</v>
      </c>
      <c r="F56" s="60">
        <v>4</v>
      </c>
      <c r="G56" s="57">
        <f>_xlfn.XLOOKUP(D56,Table13[Decription],Table13[Unit Cost])</f>
        <v>2.8250149200000001</v>
      </c>
      <c r="H56" s="59">
        <f t="shared" si="0"/>
        <v>11.30005968</v>
      </c>
    </row>
    <row r="57" spans="1:10" s="43" customFormat="1" ht="9.65" customHeight="1">
      <c r="A57" s="56" t="s">
        <v>333</v>
      </c>
      <c r="B57" s="38"/>
      <c r="C57" s="39"/>
      <c r="D57" s="61" t="s">
        <v>180</v>
      </c>
      <c r="E57" s="57" t="str">
        <f>_xlfn.XLOOKUP(D57,Table13[Decription],Table13[Unit])</f>
        <v>piece</v>
      </c>
      <c r="F57" s="60">
        <v>5</v>
      </c>
      <c r="G57" s="57">
        <f>_xlfn.XLOOKUP(D57,Table13[Decription],Table13[Unit Cost])</f>
        <v>18.53</v>
      </c>
      <c r="H57" s="59">
        <f t="shared" si="0"/>
        <v>92.65</v>
      </c>
    </row>
    <row r="58" spans="1:10" s="43" customFormat="1" ht="9.65" customHeight="1">
      <c r="A58" s="56" t="s">
        <v>329</v>
      </c>
      <c r="B58" s="38"/>
      <c r="C58" s="39"/>
      <c r="D58" s="61" t="s">
        <v>180</v>
      </c>
      <c r="E58" s="57" t="str">
        <f>_xlfn.XLOOKUP(D58,Table13[Decription],Table13[Unit])</f>
        <v>piece</v>
      </c>
      <c r="F58" s="60">
        <v>3</v>
      </c>
      <c r="G58" s="57">
        <f>_xlfn.XLOOKUP(D58,Table13[Decription],Table13[Unit Cost])</f>
        <v>18.53</v>
      </c>
      <c r="H58" s="59">
        <f t="shared" si="0"/>
        <v>55.59</v>
      </c>
    </row>
    <row r="59" spans="1:10" s="43" customFormat="1" ht="9.65" customHeight="1">
      <c r="A59" s="56" t="s">
        <v>337</v>
      </c>
      <c r="B59" s="38"/>
      <c r="C59" s="39"/>
      <c r="D59" s="61" t="s">
        <v>76</v>
      </c>
      <c r="E59" s="57" t="str">
        <f>_xlfn.XLOOKUP(D59,Table13[Decription],Table13[Unit])</f>
        <v>bottle</v>
      </c>
      <c r="F59" s="224">
        <v>2</v>
      </c>
      <c r="G59" s="57">
        <f>_xlfn.XLOOKUP(D59,Table13[Decription],Table13[Unit Cost])</f>
        <v>432.5</v>
      </c>
      <c r="H59" s="59">
        <f t="shared" si="0"/>
        <v>865</v>
      </c>
    </row>
    <row r="60" spans="1:10" s="43" customFormat="1" ht="9.65" customHeight="1">
      <c r="A60" s="56" t="s">
        <v>337</v>
      </c>
      <c r="B60" s="38"/>
      <c r="C60" s="39"/>
      <c r="D60" s="70" t="s">
        <v>71</v>
      </c>
      <c r="E60" s="57" t="str">
        <f>_xlfn.XLOOKUP(D60,Table13[Decription],Table13[Unit])</f>
        <v>roll</v>
      </c>
      <c r="F60" s="60">
        <v>10</v>
      </c>
      <c r="G60" s="57">
        <f>_xlfn.XLOOKUP(D60,Table13[Decription],Table13[Unit Cost])</f>
        <v>28.75</v>
      </c>
      <c r="H60" s="59">
        <f t="shared" si="0"/>
        <v>287.5</v>
      </c>
    </row>
    <row r="61" spans="1:10" s="43" customFormat="1" ht="10.25" customHeight="1">
      <c r="A61" s="56" t="s">
        <v>337</v>
      </c>
      <c r="B61" s="38"/>
      <c r="C61" s="39"/>
      <c r="D61" s="61" t="s">
        <v>170</v>
      </c>
      <c r="E61" s="57" t="str">
        <f>_xlfn.XLOOKUP(D61,Table13[Decription],Table13[Unit])</f>
        <v>can</v>
      </c>
      <c r="F61" s="60">
        <v>2</v>
      </c>
      <c r="G61" s="57">
        <f>_xlfn.XLOOKUP(D61,Table13[Decription],Table13[Unit Cost])</f>
        <v>798.58</v>
      </c>
      <c r="H61" s="225">
        <f t="shared" si="0"/>
        <v>1597.16</v>
      </c>
    </row>
    <row r="62" spans="1:10" s="43" customFormat="1" ht="9.65" customHeight="1">
      <c r="A62" s="56" t="s">
        <v>339</v>
      </c>
      <c r="B62" s="38"/>
      <c r="C62" s="39"/>
      <c r="D62" s="70" t="s">
        <v>183</v>
      </c>
      <c r="E62" s="57" t="str">
        <f>_xlfn.XLOOKUP(D62,Table13[Decription],Table13[Unit])</f>
        <v>pack</v>
      </c>
      <c r="F62" s="60">
        <v>1</v>
      </c>
      <c r="G62" s="57">
        <f>_xlfn.XLOOKUP(D62,Table13[Decription],Table13[Unit Cost])</f>
        <v>24.93</v>
      </c>
      <c r="H62" s="59">
        <f t="shared" si="0"/>
        <v>24.93</v>
      </c>
    </row>
    <row r="63" spans="1:10" s="43" customFormat="1" ht="9.65" customHeight="1">
      <c r="A63" s="56" t="s">
        <v>339</v>
      </c>
      <c r="B63" s="38"/>
      <c r="C63" s="39"/>
      <c r="D63" s="61" t="s">
        <v>184</v>
      </c>
      <c r="E63" s="57" t="str">
        <f>_xlfn.XLOOKUP(D63,Table13[Decription],Table13[Unit])</f>
        <v>piece</v>
      </c>
      <c r="F63" s="60">
        <v>3</v>
      </c>
      <c r="G63" s="57">
        <f>_xlfn.XLOOKUP(D63,Table13[Decription],Table13[Unit Cost])</f>
        <v>2.8250149200000001</v>
      </c>
      <c r="H63" s="59">
        <f t="shared" si="0"/>
        <v>8.4750447599999994</v>
      </c>
    </row>
    <row r="64" spans="1:10" s="43" customFormat="1" ht="9.65" customHeight="1">
      <c r="A64" s="56" t="s">
        <v>350</v>
      </c>
      <c r="B64" s="38"/>
      <c r="C64" s="39"/>
      <c r="D64" s="61" t="s">
        <v>184</v>
      </c>
      <c r="E64" s="57" t="str">
        <f>_xlfn.XLOOKUP(D64,Table13[Decription],Table13[Unit])</f>
        <v>piece</v>
      </c>
      <c r="F64" s="60">
        <v>1</v>
      </c>
      <c r="G64" s="57">
        <f>_xlfn.XLOOKUP(D64,Table13[Decription],Table13[Unit Cost])</f>
        <v>2.8250149200000001</v>
      </c>
      <c r="H64" s="59">
        <f t="shared" si="0"/>
        <v>2.8250149200000001</v>
      </c>
    </row>
    <row r="65" spans="1:13" s="43" customFormat="1" ht="9.65" customHeight="1">
      <c r="A65" s="417" t="s">
        <v>26</v>
      </c>
      <c r="B65" s="418"/>
      <c r="C65" s="418"/>
      <c r="D65" s="418"/>
      <c r="E65" s="418"/>
      <c r="F65" s="418"/>
      <c r="G65" s="418"/>
      <c r="H65" s="419"/>
    </row>
    <row r="66" spans="1:13" s="43" customFormat="1" ht="9.65" customHeight="1">
      <c r="A66" s="56"/>
      <c r="B66" s="38"/>
      <c r="C66" s="39"/>
      <c r="D66" s="61"/>
      <c r="E66" s="57"/>
      <c r="F66" s="60"/>
      <c r="G66" s="57"/>
      <c r="H66" s="59"/>
    </row>
    <row r="67" spans="1:13" s="43" customFormat="1" ht="9.65" customHeight="1">
      <c r="A67" s="56"/>
      <c r="B67" s="38"/>
      <c r="C67" s="39"/>
      <c r="D67" s="61"/>
      <c r="E67" s="57"/>
      <c r="F67" s="60"/>
      <c r="G67" s="57"/>
      <c r="H67" s="59"/>
    </row>
    <row r="68" spans="1:13" s="43" customFormat="1" ht="9.65" customHeight="1">
      <c r="A68" s="56"/>
      <c r="B68" s="38"/>
      <c r="C68" s="39"/>
      <c r="D68" s="61"/>
      <c r="E68" s="57"/>
      <c r="F68" s="60"/>
      <c r="G68" s="57"/>
      <c r="H68" s="59"/>
    </row>
    <row r="69" spans="1:13" s="43" customFormat="1" ht="9.65" customHeight="1">
      <c r="A69" s="56"/>
      <c r="B69" s="38"/>
      <c r="C69" s="39"/>
      <c r="D69" s="61"/>
      <c r="E69" s="57"/>
      <c r="F69" s="60"/>
      <c r="G69" s="57"/>
      <c r="H69" s="59"/>
    </row>
    <row r="70" spans="1:13" s="43" customFormat="1" ht="9.65" customHeight="1">
      <c r="A70" s="56"/>
      <c r="B70" s="38"/>
      <c r="C70" s="39"/>
      <c r="D70" s="70"/>
      <c r="E70" s="57"/>
      <c r="F70" s="60"/>
      <c r="G70" s="57"/>
      <c r="H70" s="59"/>
    </row>
    <row r="71" spans="1:13" s="43" customFormat="1" ht="9.65" customHeight="1">
      <c r="A71" s="56"/>
      <c r="B71" s="38"/>
      <c r="C71" s="39"/>
      <c r="D71" s="61"/>
      <c r="E71" s="57"/>
      <c r="F71" s="60"/>
      <c r="G71" s="57"/>
      <c r="H71" s="59"/>
    </row>
    <row r="72" spans="1:13" s="43" customFormat="1" ht="9.65" customHeight="1">
      <c r="A72" s="56"/>
      <c r="B72" s="38"/>
      <c r="C72" s="39"/>
      <c r="D72" s="61"/>
      <c r="E72" s="57"/>
      <c r="F72" s="60"/>
      <c r="G72" s="57"/>
      <c r="H72" s="59"/>
    </row>
    <row r="73" spans="1:13" s="43" customFormat="1" ht="9.65" customHeight="1">
      <c r="A73" s="56"/>
      <c r="B73" s="38"/>
      <c r="C73" s="39"/>
      <c r="D73" s="61"/>
      <c r="E73" s="57"/>
      <c r="F73" s="60"/>
      <c r="G73" s="57"/>
      <c r="H73" s="59"/>
    </row>
    <row r="74" spans="1:13" s="43" customFormat="1" ht="10.5">
      <c r="A74" s="37"/>
      <c r="B74" s="38"/>
      <c r="C74" s="41"/>
      <c r="D74" s="44"/>
      <c r="E74" s="48"/>
      <c r="F74" s="46"/>
      <c r="G74" s="47"/>
      <c r="H74" s="42"/>
    </row>
    <row r="75" spans="1:13" s="43" customFormat="1" ht="10.25" customHeight="1">
      <c r="A75" s="54"/>
      <c r="B75" s="49"/>
      <c r="C75" s="50"/>
      <c r="D75" s="45"/>
      <c r="E75" s="51"/>
      <c r="F75" s="52"/>
      <c r="G75" s="53"/>
      <c r="H75" s="55"/>
      <c r="J75" s="11"/>
    </row>
    <row r="76" spans="1:13" ht="7.25" customHeight="1" thickBot="1">
      <c r="A76" s="28"/>
      <c r="B76" s="29"/>
      <c r="C76" s="30"/>
      <c r="D76" s="31"/>
      <c r="E76" s="32"/>
      <c r="F76" s="33"/>
      <c r="G76" s="34"/>
      <c r="H76" s="35"/>
    </row>
    <row r="77" spans="1:13" ht="15" thickBot="1">
      <c r="A77" s="21"/>
      <c r="B77" s="22"/>
      <c r="C77" s="23"/>
      <c r="D77" s="24"/>
      <c r="E77" s="23"/>
      <c r="F77" s="25"/>
      <c r="G77" s="26" t="s">
        <v>19</v>
      </c>
      <c r="H77" s="27">
        <f>SUM(H11:H76)</f>
        <v>26499.290268560009</v>
      </c>
      <c r="J77" s="58"/>
      <c r="K77" s="58"/>
      <c r="L77" s="58"/>
      <c r="M77" s="58"/>
    </row>
    <row r="78" spans="1:13" ht="15.5" thickTop="1">
      <c r="A78" s="420" t="s">
        <v>25</v>
      </c>
      <c r="B78" s="421"/>
      <c r="C78" s="421"/>
      <c r="D78" s="421"/>
      <c r="E78" s="8" t="s">
        <v>20</v>
      </c>
      <c r="F78" s="9"/>
      <c r="G78" s="9"/>
      <c r="H78" s="10"/>
      <c r="J78" s="58"/>
      <c r="K78" s="58"/>
      <c r="L78" s="58"/>
      <c r="M78" s="58"/>
    </row>
    <row r="79" spans="1:13">
      <c r="A79" s="406"/>
      <c r="B79" s="408"/>
      <c r="C79" s="408"/>
      <c r="D79" s="408"/>
      <c r="E79" s="15"/>
      <c r="F79" s="15"/>
      <c r="G79" s="15"/>
      <c r="H79" s="16"/>
      <c r="J79" s="43"/>
      <c r="K79" s="58"/>
      <c r="L79" s="58"/>
      <c r="M79" s="58"/>
    </row>
    <row r="80" spans="1:13">
      <c r="A80" s="298"/>
      <c r="B80" s="299"/>
      <c r="C80" s="299"/>
      <c r="D80" s="299"/>
      <c r="E80" s="15"/>
      <c r="F80" s="15"/>
      <c r="G80" s="15"/>
      <c r="H80" s="16"/>
      <c r="J80" s="43"/>
      <c r="K80" s="43"/>
      <c r="L80" s="43"/>
      <c r="M80" s="43"/>
    </row>
    <row r="81" spans="1:13">
      <c r="A81" s="409" t="s">
        <v>21</v>
      </c>
      <c r="B81" s="410"/>
      <c r="C81" s="410"/>
      <c r="D81" s="410"/>
      <c r="E81" s="410" t="s">
        <v>22</v>
      </c>
      <c r="F81" s="410"/>
      <c r="G81" s="410"/>
      <c r="H81" s="412"/>
      <c r="J81" s="43"/>
      <c r="K81" s="43"/>
      <c r="L81" s="43"/>
      <c r="M81" s="43"/>
    </row>
    <row r="82" spans="1:13">
      <c r="A82" s="413" t="s">
        <v>23</v>
      </c>
      <c r="B82" s="414"/>
      <c r="C82" s="414"/>
      <c r="D82" s="414"/>
      <c r="E82" s="414" t="s">
        <v>24</v>
      </c>
      <c r="F82" s="414"/>
      <c r="G82" s="414"/>
      <c r="H82" s="416"/>
      <c r="J82" s="43"/>
      <c r="K82" s="43"/>
      <c r="L82" s="43"/>
      <c r="M82" s="43"/>
    </row>
    <row r="83" spans="1:13">
      <c r="A83" s="399" t="str">
        <f>_xlfn.CONCAT("DATE: ",TEXT(G6,"MMMM DD, YYYY"))</f>
        <v>DATE: March 31, 2025</v>
      </c>
      <c r="B83" s="400"/>
      <c r="C83" s="400"/>
      <c r="D83" s="400"/>
      <c r="E83" s="400" t="str">
        <f>_xlfn.CONCAT("DATE: ",TEXT(G6,"MMMM DD, YYYY"))</f>
        <v>DATE: March 31, 2025</v>
      </c>
      <c r="F83" s="400"/>
      <c r="G83" s="400"/>
      <c r="H83" s="402"/>
      <c r="J83" s="43"/>
      <c r="K83" s="43"/>
      <c r="L83" s="43"/>
      <c r="M83" s="43"/>
    </row>
    <row r="84" spans="1:13" ht="8" customHeight="1" thickBot="1">
      <c r="A84" s="403"/>
      <c r="B84" s="404"/>
      <c r="C84" s="404"/>
      <c r="D84" s="404"/>
      <c r="E84" s="404"/>
      <c r="F84" s="404"/>
      <c r="G84" s="404"/>
      <c r="H84" s="405"/>
      <c r="J84" s="43"/>
      <c r="K84" s="43"/>
      <c r="L84" s="43"/>
      <c r="M84" s="43"/>
    </row>
    <row r="85" spans="1:13">
      <c r="A85" s="297"/>
      <c r="B85" s="297"/>
      <c r="C85" s="297"/>
      <c r="D85" s="297"/>
      <c r="E85" s="297"/>
      <c r="F85" s="297"/>
      <c r="G85" s="297"/>
      <c r="H85" s="297"/>
      <c r="J85" s="43"/>
      <c r="K85" s="43"/>
      <c r="L85" s="43"/>
      <c r="M85" s="43"/>
    </row>
    <row r="86" spans="1:13">
      <c r="J86" s="43"/>
      <c r="K86" s="36"/>
      <c r="L86" s="36"/>
      <c r="M86" s="36"/>
    </row>
    <row r="87" spans="1:13">
      <c r="J87" s="43"/>
      <c r="K87" s="58"/>
      <c r="L87" s="58"/>
      <c r="M87" s="58"/>
    </row>
    <row r="88" spans="1:13">
      <c r="J88" s="43"/>
      <c r="K88" s="43"/>
      <c r="L88" s="43"/>
      <c r="M88" s="43"/>
    </row>
    <row r="89" spans="1:13">
      <c r="J89" s="43"/>
      <c r="K89" s="43"/>
      <c r="L89" s="43"/>
      <c r="M89" s="43"/>
    </row>
    <row r="90" spans="1:13">
      <c r="J90" s="43"/>
      <c r="K90" s="43"/>
      <c r="L90" s="43"/>
      <c r="M90" s="43"/>
    </row>
    <row r="91" spans="1:13">
      <c r="J91" s="36"/>
      <c r="K91" s="43"/>
      <c r="L91" s="43"/>
      <c r="M91" s="43"/>
    </row>
    <row r="92" spans="1:13">
      <c r="J92" s="43"/>
      <c r="K92" s="43"/>
      <c r="L92" s="43"/>
      <c r="M92" s="43"/>
    </row>
    <row r="93" spans="1:13">
      <c r="J93" s="43"/>
      <c r="K93" s="43"/>
      <c r="L93" s="43"/>
      <c r="M93" s="43"/>
    </row>
    <row r="94" spans="1:13">
      <c r="J94" s="43"/>
      <c r="K94" s="43"/>
      <c r="L94" s="43"/>
      <c r="M94" s="43"/>
    </row>
    <row r="95" spans="1:13">
      <c r="J95" s="43"/>
      <c r="K95" s="43"/>
      <c r="L95" s="43"/>
      <c r="M95" s="43"/>
    </row>
    <row r="96" spans="1:13">
      <c r="J96" s="43"/>
      <c r="K96" s="43"/>
      <c r="L96" s="43"/>
      <c r="M96" s="43"/>
    </row>
    <row r="97" spans="10:13">
      <c r="J97" s="43"/>
      <c r="K97" s="43"/>
      <c r="L97" s="43"/>
      <c r="M97" s="43"/>
    </row>
    <row r="98" spans="10:13">
      <c r="J98" s="43"/>
      <c r="K98" s="43"/>
      <c r="L98" s="43"/>
      <c r="M98" s="43"/>
    </row>
    <row r="99" spans="10:13">
      <c r="J99" s="43"/>
      <c r="K99" s="43"/>
      <c r="L99" s="43"/>
      <c r="M99" s="43"/>
    </row>
    <row r="100" spans="10:13">
      <c r="J100" s="43"/>
      <c r="K100" s="43"/>
      <c r="L100" s="43"/>
      <c r="M100" s="43"/>
    </row>
    <row r="101" spans="10:13">
      <c r="J101" s="43"/>
      <c r="K101" s="43"/>
      <c r="L101" s="43"/>
      <c r="M101" s="43"/>
    </row>
    <row r="102" spans="10:13">
      <c r="J102" s="43"/>
      <c r="K102" s="43"/>
      <c r="L102" s="43"/>
      <c r="M102" s="43"/>
    </row>
    <row r="103" spans="10:13">
      <c r="J103" s="43"/>
      <c r="K103" s="43"/>
      <c r="L103" s="43"/>
      <c r="M103" s="43"/>
    </row>
    <row r="104" spans="10:13">
      <c r="J104" s="43"/>
      <c r="K104" s="43"/>
      <c r="L104" s="43"/>
      <c r="M104" s="43"/>
    </row>
    <row r="105" spans="10:13">
      <c r="J105" s="43"/>
      <c r="K105" s="43"/>
      <c r="L105" s="43"/>
      <c r="M105" s="43"/>
    </row>
    <row r="106" spans="10:13">
      <c r="J106" s="43"/>
      <c r="K106" s="43"/>
      <c r="L106" s="43"/>
      <c r="M106" s="43"/>
    </row>
    <row r="107" spans="10:13">
      <c r="J107" s="43"/>
      <c r="K107" s="43"/>
      <c r="L107" s="43"/>
      <c r="M107" s="43"/>
    </row>
    <row r="108" spans="10:13">
      <c r="J108" s="43"/>
      <c r="K108" s="43"/>
      <c r="L108" s="43"/>
      <c r="M108" s="43"/>
    </row>
    <row r="109" spans="10:13">
      <c r="J109" s="43"/>
      <c r="K109" s="43"/>
      <c r="L109" s="43"/>
      <c r="M109" s="43"/>
    </row>
    <row r="110" spans="10:13">
      <c r="J110" s="43"/>
      <c r="K110" s="43"/>
      <c r="L110" s="43"/>
      <c r="M110" s="43"/>
    </row>
    <row r="111" spans="10:13">
      <c r="J111" s="43"/>
      <c r="K111" s="43"/>
      <c r="L111" s="43"/>
      <c r="M111" s="43"/>
    </row>
    <row r="112" spans="10:13">
      <c r="J112" s="43"/>
      <c r="K112" s="43"/>
      <c r="L112" s="43"/>
      <c r="M112" s="43"/>
    </row>
    <row r="113" spans="10:13">
      <c r="J113" s="43"/>
      <c r="K113" s="43"/>
      <c r="L113" s="43"/>
      <c r="M113" s="43"/>
    </row>
    <row r="114" spans="10:13">
      <c r="J114" s="43"/>
      <c r="K114" s="43"/>
      <c r="L114" s="43"/>
      <c r="M114" s="43"/>
    </row>
    <row r="115" spans="10:13">
      <c r="J115" s="43"/>
      <c r="K115" s="43"/>
      <c r="L115" s="43"/>
      <c r="M115" s="43"/>
    </row>
    <row r="116" spans="10:13">
      <c r="J116" s="43"/>
      <c r="K116" s="43"/>
      <c r="L116" s="43"/>
      <c r="M116" s="43"/>
    </row>
    <row r="117" spans="10:13">
      <c r="J117" s="43"/>
      <c r="K117" s="43"/>
      <c r="L117" s="43"/>
      <c r="M117" s="43"/>
    </row>
    <row r="118" spans="10:13">
      <c r="J118" s="43"/>
      <c r="K118" s="43"/>
      <c r="L118" s="43"/>
      <c r="M118" s="43"/>
    </row>
    <row r="119" spans="10:13">
      <c r="J119" s="43"/>
      <c r="K119" s="43"/>
      <c r="L119" s="43"/>
      <c r="M119" s="43"/>
    </row>
  </sheetData>
  <mergeCells count="16">
    <mergeCell ref="A1:H1"/>
    <mergeCell ref="A3:H3"/>
    <mergeCell ref="G5:H5"/>
    <mergeCell ref="G6:H6"/>
    <mergeCell ref="A8:F8"/>
    <mergeCell ref="G8:H8"/>
    <mergeCell ref="A83:D83"/>
    <mergeCell ref="E83:H83"/>
    <mergeCell ref="A84:D84"/>
    <mergeCell ref="E84:H84"/>
    <mergeCell ref="A65:H65"/>
    <mergeCell ref="A78:D79"/>
    <mergeCell ref="A81:D81"/>
    <mergeCell ref="E81:H81"/>
    <mergeCell ref="A82:D82"/>
    <mergeCell ref="E82:H82"/>
  </mergeCells>
  <pageMargins left="0.12" right="0.12" top="0.12" bottom="0.12" header="0.12" footer="0.12"/>
  <pageSetup paperSize="9" scale="87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8DF07-C246-4639-A585-C8D34F924337}">
  <sheetPr codeName="Sheet13"/>
  <dimension ref="A1:M123"/>
  <sheetViews>
    <sheetView view="pageBreakPreview" topLeftCell="A56" zoomScale="114" zoomScaleNormal="100" zoomScaleSheetLayoutView="100" workbookViewId="0">
      <selection activeCell="G11" sqref="G11"/>
    </sheetView>
  </sheetViews>
  <sheetFormatPr defaultColWidth="8.81640625" defaultRowHeight="14.5"/>
  <cols>
    <col min="1" max="1" width="16.1796875" style="11" customWidth="1"/>
    <col min="2" max="2" width="11" style="11" customWidth="1"/>
    <col min="3" max="3" width="8" style="11" customWidth="1"/>
    <col min="4" max="4" width="32.81640625" style="11" customWidth="1"/>
    <col min="5" max="5" width="8.6328125" style="11" customWidth="1"/>
    <col min="6" max="6" width="6.81640625" style="11" bestFit="1" customWidth="1"/>
    <col min="7" max="7" width="10.6328125" style="11" customWidth="1"/>
    <col min="8" max="8" width="22.54296875" style="11" customWidth="1"/>
    <col min="9" max="9" width="10.36328125" style="11" bestFit="1" customWidth="1"/>
    <col min="10" max="10" width="42.6328125" style="11" customWidth="1"/>
    <col min="11" max="11" width="44.1796875" style="11" bestFit="1" customWidth="1"/>
    <col min="12" max="12" width="3.08984375" style="11" bestFit="1" customWidth="1"/>
    <col min="13" max="13" width="3.90625" style="11" bestFit="1" customWidth="1"/>
    <col min="14" max="18" width="8.81640625" style="11"/>
    <col min="19" max="19" width="22.08984375" style="11" customWidth="1"/>
    <col min="20" max="20" width="8.81640625" style="11"/>
    <col min="21" max="21" width="21.6328125" style="11" customWidth="1"/>
    <col min="22" max="22" width="26.36328125" style="11" customWidth="1"/>
    <col min="23" max="23" width="23.90625" style="11" customWidth="1"/>
    <col min="24" max="24" width="28.1796875" style="11" customWidth="1"/>
    <col min="25" max="25" width="23.90625" style="11" customWidth="1"/>
    <col min="26" max="16384" width="8.81640625" style="11"/>
  </cols>
  <sheetData>
    <row r="1" spans="1:10">
      <c r="A1" s="386" t="s">
        <v>0</v>
      </c>
      <c r="B1" s="387"/>
      <c r="C1" s="387"/>
      <c r="D1" s="387"/>
      <c r="E1" s="387"/>
      <c r="F1" s="387"/>
      <c r="G1" s="387"/>
      <c r="H1" s="388"/>
    </row>
    <row r="2" spans="1:10">
      <c r="A2" s="12"/>
      <c r="B2" s="13"/>
      <c r="C2" s="13"/>
      <c r="D2" s="13"/>
      <c r="E2" s="13"/>
      <c r="F2" s="13"/>
      <c r="G2" s="13"/>
      <c r="H2" s="14"/>
    </row>
    <row r="3" spans="1:10" ht="24">
      <c r="A3" s="389" t="s">
        <v>1</v>
      </c>
      <c r="B3" s="390"/>
      <c r="C3" s="390"/>
      <c r="D3" s="390"/>
      <c r="E3" s="390"/>
      <c r="F3" s="390"/>
      <c r="G3" s="390"/>
      <c r="H3" s="391"/>
    </row>
    <row r="4" spans="1:10">
      <c r="A4" s="12" t="s">
        <v>2</v>
      </c>
      <c r="B4" s="13"/>
      <c r="C4" s="13"/>
      <c r="D4" s="13"/>
      <c r="E4" s="13"/>
      <c r="F4" s="13"/>
      <c r="G4" s="13"/>
      <c r="H4" s="14"/>
    </row>
    <row r="5" spans="1:10">
      <c r="A5" s="1" t="s">
        <v>3</v>
      </c>
      <c r="B5" s="2" t="s">
        <v>4</v>
      </c>
      <c r="C5" s="3"/>
      <c r="D5" s="3"/>
      <c r="E5" s="4"/>
      <c r="F5" s="5" t="s">
        <v>5</v>
      </c>
      <c r="G5" s="392" t="s">
        <v>354</v>
      </c>
      <c r="H5" s="393"/>
    </row>
    <row r="6" spans="1:10">
      <c r="A6" s="1" t="s">
        <v>6</v>
      </c>
      <c r="B6" s="6" t="s">
        <v>7</v>
      </c>
      <c r="C6" s="7"/>
      <c r="D6" s="7"/>
      <c r="E6" s="4"/>
      <c r="F6" s="5" t="s">
        <v>8</v>
      </c>
      <c r="G6" s="394" t="s">
        <v>353</v>
      </c>
      <c r="H6" s="395"/>
    </row>
    <row r="7" spans="1:10" ht="5" customHeight="1">
      <c r="A7" s="12"/>
      <c r="B7" s="13"/>
      <c r="C7" s="13"/>
      <c r="D7" s="13"/>
      <c r="E7" s="13"/>
      <c r="F7" s="13"/>
      <c r="G7" s="13"/>
      <c r="H7" s="14"/>
    </row>
    <row r="8" spans="1:10">
      <c r="A8" s="396" t="s">
        <v>9</v>
      </c>
      <c r="B8" s="397"/>
      <c r="C8" s="397"/>
      <c r="D8" s="397"/>
      <c r="E8" s="397"/>
      <c r="F8" s="397"/>
      <c r="G8" s="397" t="s">
        <v>10</v>
      </c>
      <c r="H8" s="398"/>
    </row>
    <row r="9" spans="1:10" ht="3" customHeight="1">
      <c r="A9" s="12"/>
      <c r="B9" s="13"/>
      <c r="C9" s="13"/>
      <c r="D9" s="13"/>
      <c r="E9" s="13"/>
      <c r="F9" s="13"/>
      <c r="G9" s="13"/>
      <c r="H9" s="14"/>
    </row>
    <row r="10" spans="1:10" s="20" customFormat="1" ht="17.5" thickBot="1">
      <c r="A10" s="17" t="s">
        <v>11</v>
      </c>
      <c r="B10" s="18" t="s">
        <v>12</v>
      </c>
      <c r="C10" s="18" t="s">
        <v>13</v>
      </c>
      <c r="D10" s="18" t="s">
        <v>14</v>
      </c>
      <c r="E10" s="18" t="s">
        <v>15</v>
      </c>
      <c r="F10" s="18" t="s">
        <v>16</v>
      </c>
      <c r="G10" s="18" t="s">
        <v>17</v>
      </c>
      <c r="H10" s="19" t="s">
        <v>18</v>
      </c>
    </row>
    <row r="11" spans="1:10" s="43" customFormat="1" ht="11" thickTop="1">
      <c r="A11" s="305" t="s">
        <v>359</v>
      </c>
      <c r="B11" s="38"/>
      <c r="C11" s="39"/>
      <c r="D11" s="61" t="s">
        <v>153</v>
      </c>
      <c r="E11" s="57" t="str">
        <f>_xlfn.XLOOKUP(D11,Table13[Decription],Table13[Unit])</f>
        <v>roll</v>
      </c>
      <c r="F11" s="222">
        <v>5</v>
      </c>
      <c r="G11" s="258">
        <f>_xlfn.XLOOKUP(D11,Table13[Decription],Table13[Unit Cost])</f>
        <v>63.56</v>
      </c>
      <c r="H11" s="259">
        <f>G11*F11</f>
        <v>317.8</v>
      </c>
      <c r="J11" s="346"/>
    </row>
    <row r="12" spans="1:10" s="43" customFormat="1" ht="10.5">
      <c r="A12" s="305" t="s">
        <v>360</v>
      </c>
      <c r="B12" s="38"/>
      <c r="C12" s="39"/>
      <c r="D12" s="61" t="s">
        <v>132</v>
      </c>
      <c r="E12" s="57" t="str">
        <f>_xlfn.XLOOKUP(D12,Table13[Decription],Table13[Unit])</f>
        <v>pack</v>
      </c>
      <c r="F12" s="222">
        <v>5</v>
      </c>
      <c r="G12" s="258">
        <f>_xlfn.XLOOKUP(D12,Table13[Decription],Table13[Unit Cost])</f>
        <v>53.7</v>
      </c>
      <c r="H12" s="259">
        <f t="shared" ref="H12:H79" si="0">G12*F12</f>
        <v>268.5</v>
      </c>
      <c r="J12" s="347"/>
    </row>
    <row r="13" spans="1:10" s="43" customFormat="1" ht="10.5">
      <c r="A13" s="305" t="s">
        <v>360</v>
      </c>
      <c r="B13" s="38"/>
      <c r="C13" s="39"/>
      <c r="D13" s="61" t="s">
        <v>103</v>
      </c>
      <c r="E13" s="57" t="str">
        <f>_xlfn.XLOOKUP(D13,Table13[Decription],Table13[Unit])</f>
        <v>piece</v>
      </c>
      <c r="F13" s="222">
        <v>5</v>
      </c>
      <c r="G13" s="258">
        <f>_xlfn.XLOOKUP(D13,Table13[Decription],Table13[Unit Cost])</f>
        <v>170</v>
      </c>
      <c r="H13" s="259">
        <f t="shared" si="0"/>
        <v>850</v>
      </c>
      <c r="J13" s="346"/>
    </row>
    <row r="14" spans="1:10" s="43" customFormat="1" ht="10.5">
      <c r="A14" s="305" t="s">
        <v>360</v>
      </c>
      <c r="B14" s="38"/>
      <c r="C14" s="39"/>
      <c r="D14" s="70" t="s">
        <v>47</v>
      </c>
      <c r="E14" s="57" t="str">
        <f>_xlfn.XLOOKUP(D14,Table13[Decription],Table13[Unit])</f>
        <v>box</v>
      </c>
      <c r="F14" s="222">
        <v>3</v>
      </c>
      <c r="G14" s="258">
        <f>_xlfn.XLOOKUP(D14,Table13[Decription],Table13[Unit Cost])</f>
        <v>34.33</v>
      </c>
      <c r="H14" s="259">
        <f t="shared" si="0"/>
        <v>102.99</v>
      </c>
      <c r="J14" s="347"/>
    </row>
    <row r="15" spans="1:10" s="43" customFormat="1" ht="10.5">
      <c r="A15" s="305" t="s">
        <v>361</v>
      </c>
      <c r="B15" s="38"/>
      <c r="C15" s="39"/>
      <c r="D15" s="70" t="s">
        <v>55</v>
      </c>
      <c r="E15" s="57" t="str">
        <f>_xlfn.XLOOKUP(D15,Table13[Decription],Table13[Unit])</f>
        <v>roll</v>
      </c>
      <c r="F15" s="222">
        <v>5</v>
      </c>
      <c r="G15" s="258">
        <f>_xlfn.XLOOKUP(D15,Table13[Decription],Table13[Unit Cost])</f>
        <v>42.15</v>
      </c>
      <c r="H15" s="259">
        <f t="shared" si="0"/>
        <v>210.75</v>
      </c>
      <c r="J15" s="346"/>
    </row>
    <row r="16" spans="1:10" s="43" customFormat="1" ht="10.5">
      <c r="A16" s="305" t="s">
        <v>361</v>
      </c>
      <c r="B16" s="38"/>
      <c r="C16" s="39"/>
      <c r="D16" s="70" t="s">
        <v>107</v>
      </c>
      <c r="E16" s="57" t="str">
        <f>_xlfn.XLOOKUP(D16,Table13[Decription],Table13[Unit])</f>
        <v>piece</v>
      </c>
      <c r="F16" s="222">
        <v>10</v>
      </c>
      <c r="G16" s="258">
        <f>_xlfn.XLOOKUP(D16,Table13[Decription],Table13[Unit Cost])</f>
        <v>22</v>
      </c>
      <c r="H16" s="259">
        <f t="shared" si="0"/>
        <v>220</v>
      </c>
      <c r="J16" s="347"/>
    </row>
    <row r="17" spans="1:10" s="43" customFormat="1" ht="10.5">
      <c r="A17" s="305" t="s">
        <v>362</v>
      </c>
      <c r="B17" s="38"/>
      <c r="C17" s="39"/>
      <c r="D17" s="70" t="s">
        <v>89</v>
      </c>
      <c r="E17" s="57" t="str">
        <f>_xlfn.XLOOKUP(D17,Table13[Decription],Table13[Unit])</f>
        <v>piece</v>
      </c>
      <c r="F17" s="222">
        <v>2</v>
      </c>
      <c r="G17" s="258">
        <f>_xlfn.XLOOKUP(D17,Table13[Decription],Table13[Unit Cost])</f>
        <v>38.89</v>
      </c>
      <c r="H17" s="259">
        <f t="shared" si="0"/>
        <v>77.78</v>
      </c>
      <c r="J17" s="346"/>
    </row>
    <row r="18" spans="1:10" s="43" customFormat="1" ht="9.65" customHeight="1">
      <c r="A18" s="305" t="s">
        <v>362</v>
      </c>
      <c r="B18" s="38"/>
      <c r="C18" s="39"/>
      <c r="D18" s="61" t="s">
        <v>94</v>
      </c>
      <c r="E18" s="57" t="str">
        <f>_xlfn.XLOOKUP(D18,Table13[Decription],Table13[Unit])</f>
        <v>piece</v>
      </c>
      <c r="F18" s="222">
        <v>3</v>
      </c>
      <c r="G18" s="258">
        <f>_xlfn.XLOOKUP(D18,Table13[Decription],Table13[Unit Cost])</f>
        <v>45</v>
      </c>
      <c r="H18" s="259">
        <f t="shared" si="0"/>
        <v>135</v>
      </c>
      <c r="J18" s="347"/>
    </row>
    <row r="19" spans="1:10" s="43" customFormat="1" ht="9.65" customHeight="1">
      <c r="A19" s="303" t="s">
        <v>363</v>
      </c>
      <c r="B19" s="38"/>
      <c r="C19" s="39"/>
      <c r="D19" s="61" t="s">
        <v>47</v>
      </c>
      <c r="E19" s="57" t="str">
        <f>_xlfn.XLOOKUP(D19,Table13[Decription],Table13[Unit])</f>
        <v>box</v>
      </c>
      <c r="F19" s="222">
        <v>2</v>
      </c>
      <c r="G19" s="258">
        <f>_xlfn.XLOOKUP(D19,Table13[Decription],Table13[Unit Cost])</f>
        <v>34.33</v>
      </c>
      <c r="H19" s="259">
        <f t="shared" si="0"/>
        <v>68.66</v>
      </c>
      <c r="J19" s="346"/>
    </row>
    <row r="20" spans="1:10" s="43" customFormat="1" ht="9.65" customHeight="1">
      <c r="A20" s="303" t="s">
        <v>363</v>
      </c>
      <c r="B20" s="38"/>
      <c r="C20" s="39"/>
      <c r="D20" s="70" t="s">
        <v>64</v>
      </c>
      <c r="E20" s="57" t="str">
        <f>_xlfn.XLOOKUP(D20,Table13[Decription],Table13[Unit])</f>
        <v>piece</v>
      </c>
      <c r="F20" s="222">
        <v>5</v>
      </c>
      <c r="G20" s="258">
        <f>_xlfn.XLOOKUP(D20,Table13[Decription],Table13[Unit Cost])</f>
        <v>8.5755407899999998</v>
      </c>
      <c r="H20" s="259">
        <f t="shared" si="0"/>
        <v>42.877703949999997</v>
      </c>
      <c r="J20" s="347"/>
    </row>
    <row r="21" spans="1:10" s="43" customFormat="1" ht="9.65" customHeight="1">
      <c r="A21" s="303" t="s">
        <v>363</v>
      </c>
      <c r="B21" s="38"/>
      <c r="C21" s="39"/>
      <c r="D21" s="70" t="s">
        <v>161</v>
      </c>
      <c r="E21" s="57" t="str">
        <f>_xlfn.XLOOKUP(D21,Table13[Decription],Table13[Unit])</f>
        <v>piece</v>
      </c>
      <c r="F21" s="222">
        <v>1</v>
      </c>
      <c r="G21" s="258">
        <f>_xlfn.XLOOKUP(D21,Table13[Decription],Table13[Unit Cost])</f>
        <v>80.540000000000006</v>
      </c>
      <c r="H21" s="259">
        <f t="shared" si="0"/>
        <v>80.540000000000006</v>
      </c>
      <c r="J21" s="346"/>
    </row>
    <row r="22" spans="1:10" s="43" customFormat="1" ht="9.65" customHeight="1">
      <c r="A22" s="303" t="s">
        <v>364</v>
      </c>
      <c r="B22" s="38"/>
      <c r="C22" s="39"/>
      <c r="D22" s="70" t="s">
        <v>64</v>
      </c>
      <c r="E22" s="57" t="str">
        <f>_xlfn.XLOOKUP(D22,Table13[Decription],Table13[Unit])</f>
        <v>piece</v>
      </c>
      <c r="F22" s="222">
        <v>4</v>
      </c>
      <c r="G22" s="258">
        <f>_xlfn.XLOOKUP(D22,Table13[Decription],Table13[Unit Cost])</f>
        <v>8.5755407899999998</v>
      </c>
      <c r="H22" s="259">
        <f t="shared" si="0"/>
        <v>34.302163159999999</v>
      </c>
      <c r="J22" s="347"/>
    </row>
    <row r="23" spans="1:10" s="43" customFormat="1" ht="9.65" customHeight="1">
      <c r="A23" s="303" t="s">
        <v>364</v>
      </c>
      <c r="B23" s="38"/>
      <c r="C23" s="39"/>
      <c r="D23" s="61" t="s">
        <v>55</v>
      </c>
      <c r="E23" s="57" t="str">
        <f>_xlfn.XLOOKUP(D23,Table13[Decription],Table13[Unit])</f>
        <v>roll</v>
      </c>
      <c r="F23" s="222">
        <v>4</v>
      </c>
      <c r="G23" s="258">
        <f>_xlfn.XLOOKUP(D23,Table13[Decription],Table13[Unit Cost])</f>
        <v>42.15</v>
      </c>
      <c r="H23" s="259">
        <f t="shared" si="0"/>
        <v>168.6</v>
      </c>
      <c r="J23" s="346"/>
    </row>
    <row r="24" spans="1:10" s="43" customFormat="1" ht="9.65" customHeight="1">
      <c r="A24" s="303" t="s">
        <v>366</v>
      </c>
      <c r="B24" s="38"/>
      <c r="C24" s="39"/>
      <c r="D24" s="70" t="s">
        <v>64</v>
      </c>
      <c r="E24" s="57" t="str">
        <f>_xlfn.XLOOKUP(D24,Table13[Decription],Table13[Unit])</f>
        <v>piece</v>
      </c>
      <c r="F24" s="222">
        <v>5</v>
      </c>
      <c r="G24" s="258">
        <f>_xlfn.XLOOKUP(D24,Table13[Decription],Table13[Unit Cost])</f>
        <v>8.5755407899999998</v>
      </c>
      <c r="H24" s="259">
        <f t="shared" si="0"/>
        <v>42.877703949999997</v>
      </c>
      <c r="J24" s="347"/>
    </row>
    <row r="25" spans="1:10" s="43" customFormat="1" ht="10.5">
      <c r="A25" s="303" t="s">
        <v>366</v>
      </c>
      <c r="B25" s="38"/>
      <c r="C25" s="39"/>
      <c r="D25" s="61" t="s">
        <v>153</v>
      </c>
      <c r="E25" s="57" t="str">
        <f>_xlfn.XLOOKUP(D25,Table13[Decription],Table13[Unit])</f>
        <v>roll</v>
      </c>
      <c r="F25" s="222">
        <v>5</v>
      </c>
      <c r="G25" s="258">
        <f>_xlfn.XLOOKUP(D25,Table13[Decription],Table13[Unit Cost])</f>
        <v>63.56</v>
      </c>
      <c r="H25" s="259">
        <f t="shared" si="0"/>
        <v>317.8</v>
      </c>
      <c r="J25" s="346"/>
    </row>
    <row r="26" spans="1:10" s="43" customFormat="1" ht="10.5">
      <c r="A26" s="303" t="s">
        <v>367</v>
      </c>
      <c r="B26" s="38"/>
      <c r="C26" s="39"/>
      <c r="D26" s="61" t="s">
        <v>152</v>
      </c>
      <c r="E26" s="57" t="str">
        <f>_xlfn.XLOOKUP(D26,Table13[Decription],Table13[Unit])</f>
        <v>roll</v>
      </c>
      <c r="F26" s="222">
        <v>5</v>
      </c>
      <c r="G26" s="258">
        <f>_xlfn.XLOOKUP(D26,Table13[Decription],Table13[Unit Cost])</f>
        <v>28.72</v>
      </c>
      <c r="H26" s="259">
        <f t="shared" si="0"/>
        <v>143.6</v>
      </c>
      <c r="J26" s="347"/>
    </row>
    <row r="27" spans="1:10" s="43" customFormat="1" ht="10.5">
      <c r="A27" s="303" t="s">
        <v>367</v>
      </c>
      <c r="B27" s="38"/>
      <c r="C27" s="39"/>
      <c r="D27" s="61" t="s">
        <v>64</v>
      </c>
      <c r="E27" s="57" t="str">
        <f>_xlfn.XLOOKUP(D27,Table13[Decription],Table13[Unit])</f>
        <v>piece</v>
      </c>
      <c r="F27" s="222">
        <v>2</v>
      </c>
      <c r="G27" s="258">
        <f>_xlfn.XLOOKUP(D27,Table13[Decription],Table13[Unit Cost])</f>
        <v>8.5755407899999998</v>
      </c>
      <c r="H27" s="259">
        <f t="shared" si="0"/>
        <v>17.15108158</v>
      </c>
      <c r="J27" s="347"/>
    </row>
    <row r="28" spans="1:10" s="43" customFormat="1" ht="10.5">
      <c r="A28" s="303" t="s">
        <v>367</v>
      </c>
      <c r="B28" s="38"/>
      <c r="C28" s="39"/>
      <c r="D28" s="61" t="s">
        <v>96</v>
      </c>
      <c r="E28" s="57" t="str">
        <f>_xlfn.XLOOKUP(D28,Table13[Decription],Table13[Unit])</f>
        <v>pad</v>
      </c>
      <c r="F28" s="222">
        <v>2</v>
      </c>
      <c r="G28" s="258">
        <f>_xlfn.XLOOKUP(D28,Table13[Decription],Table13[Unit Cost])</f>
        <v>27.22</v>
      </c>
      <c r="H28" s="259">
        <f t="shared" si="0"/>
        <v>54.44</v>
      </c>
      <c r="J28" s="347"/>
    </row>
    <row r="29" spans="1:10" s="43" customFormat="1" ht="10.5">
      <c r="A29" s="303" t="s">
        <v>368</v>
      </c>
      <c r="B29" s="38"/>
      <c r="C29" s="39"/>
      <c r="D29" s="70" t="s">
        <v>130</v>
      </c>
      <c r="E29" s="57" t="str">
        <f>_xlfn.XLOOKUP(D29,Table13[Decription],Table13[Unit])</f>
        <v>pack</v>
      </c>
      <c r="F29" s="222">
        <v>2</v>
      </c>
      <c r="G29" s="258">
        <f>_xlfn.XLOOKUP(D29,Table13[Decription],Table13[Unit Cost])</f>
        <v>96.84</v>
      </c>
      <c r="H29" s="259">
        <f t="shared" si="0"/>
        <v>193.68</v>
      </c>
      <c r="J29" s="346"/>
    </row>
    <row r="30" spans="1:10" s="43" customFormat="1" ht="10.5">
      <c r="A30" s="303" t="s">
        <v>368</v>
      </c>
      <c r="B30" s="38"/>
      <c r="C30" s="39"/>
      <c r="D30" s="61" t="s">
        <v>136</v>
      </c>
      <c r="E30" s="57" t="str">
        <f>_xlfn.XLOOKUP(D30,Table13[Decription],Table13[Unit])</f>
        <v>bottle</v>
      </c>
      <c r="F30" s="222">
        <v>1</v>
      </c>
      <c r="G30" s="258">
        <f>_xlfn.XLOOKUP(D30,Table13[Decription],Table13[Unit Cost])</f>
        <v>458.46</v>
      </c>
      <c r="H30" s="259">
        <f t="shared" si="0"/>
        <v>458.46</v>
      </c>
      <c r="J30" s="347"/>
    </row>
    <row r="31" spans="1:10" s="304" customFormat="1" ht="10.5">
      <c r="A31" s="303" t="s">
        <v>369</v>
      </c>
      <c r="B31" s="38"/>
      <c r="C31" s="39"/>
      <c r="D31" s="61" t="s">
        <v>152</v>
      </c>
      <c r="E31" s="57" t="str">
        <f>_xlfn.XLOOKUP(D31,Table13[Decription],Table13[Unit])</f>
        <v>roll</v>
      </c>
      <c r="F31" s="222">
        <v>1</v>
      </c>
      <c r="G31" s="258">
        <f>_xlfn.XLOOKUP(D31,Table13[Decription],Table13[Unit Cost])</f>
        <v>28.72</v>
      </c>
      <c r="H31" s="259">
        <f t="shared" si="0"/>
        <v>28.72</v>
      </c>
      <c r="J31" s="347"/>
    </row>
    <row r="32" spans="1:10" s="43" customFormat="1" ht="10.5">
      <c r="A32" s="303" t="s">
        <v>369</v>
      </c>
      <c r="B32" s="38"/>
      <c r="C32" s="39"/>
      <c r="D32" s="61" t="s">
        <v>64</v>
      </c>
      <c r="E32" s="57" t="str">
        <f>_xlfn.XLOOKUP(D32,Table13[Decription],Table13[Unit])</f>
        <v>piece</v>
      </c>
      <c r="F32" s="222">
        <v>10</v>
      </c>
      <c r="G32" s="258">
        <f>_xlfn.XLOOKUP(D32,Table13[Decription],Table13[Unit Cost])</f>
        <v>8.5755407899999998</v>
      </c>
      <c r="H32" s="259">
        <f t="shared" si="0"/>
        <v>85.755407899999994</v>
      </c>
      <c r="J32" s="346"/>
    </row>
    <row r="33" spans="1:13" s="43" customFormat="1" ht="10.5">
      <c r="A33" s="303" t="s">
        <v>385</v>
      </c>
      <c r="B33" s="38"/>
      <c r="C33" s="39"/>
      <c r="D33" s="61" t="s">
        <v>120</v>
      </c>
      <c r="E33" s="57" t="str">
        <f>_xlfn.XLOOKUP(D33,Table13[Decription],Table13[Unit])</f>
        <v>pack</v>
      </c>
      <c r="F33" s="222">
        <v>2</v>
      </c>
      <c r="G33" s="258">
        <f>_xlfn.XLOOKUP(D33,Table13[Decription],Table13[Unit Cost])</f>
        <v>80.558285699999999</v>
      </c>
      <c r="H33" s="259">
        <f t="shared" si="0"/>
        <v>161.1165714</v>
      </c>
      <c r="J33" s="347"/>
    </row>
    <row r="34" spans="1:13" s="43" customFormat="1" ht="10.5">
      <c r="A34" s="303" t="s">
        <v>370</v>
      </c>
      <c r="B34" s="38"/>
      <c r="C34" s="39"/>
      <c r="D34" s="61" t="s">
        <v>64</v>
      </c>
      <c r="E34" s="57" t="str">
        <f>_xlfn.XLOOKUP(D34,Table13[Decription],Table13[Unit])</f>
        <v>piece</v>
      </c>
      <c r="F34" s="222">
        <v>7</v>
      </c>
      <c r="G34" s="258">
        <f>_xlfn.XLOOKUP(D34,Table13[Decription],Table13[Unit Cost])</f>
        <v>8.5755407899999998</v>
      </c>
      <c r="H34" s="259">
        <f t="shared" si="0"/>
        <v>60.02878553</v>
      </c>
      <c r="J34" s="346"/>
    </row>
    <row r="35" spans="1:13" s="43" customFormat="1" ht="10.5">
      <c r="A35" s="303" t="s">
        <v>370</v>
      </c>
      <c r="B35" s="38"/>
      <c r="C35" s="39"/>
      <c r="D35" s="61" t="s">
        <v>89</v>
      </c>
      <c r="E35" s="57" t="str">
        <f>_xlfn.XLOOKUP(D35,Table13[Decription],Table13[Unit])</f>
        <v>piece</v>
      </c>
      <c r="F35" s="222">
        <v>1</v>
      </c>
      <c r="G35" s="258">
        <f>_xlfn.XLOOKUP(D35,Table13[Decription],Table13[Unit Cost])</f>
        <v>38.89</v>
      </c>
      <c r="H35" s="259">
        <f t="shared" si="0"/>
        <v>38.89</v>
      </c>
      <c r="J35" s="347"/>
    </row>
    <row r="36" spans="1:13" s="43" customFormat="1" ht="10.5">
      <c r="A36" s="303" t="s">
        <v>370</v>
      </c>
      <c r="B36" s="38"/>
      <c r="C36" s="39"/>
      <c r="D36" s="61" t="s">
        <v>96</v>
      </c>
      <c r="E36" s="57" t="str">
        <f>_xlfn.XLOOKUP(D36,Table13[Decription],Table13[Unit])</f>
        <v>pad</v>
      </c>
      <c r="F36" s="222">
        <v>3</v>
      </c>
      <c r="G36" s="258">
        <f>_xlfn.XLOOKUP(D36,Table13[Decription],Table13[Unit Cost])</f>
        <v>27.22</v>
      </c>
      <c r="H36" s="259">
        <f t="shared" si="0"/>
        <v>81.66</v>
      </c>
      <c r="J36" s="346"/>
    </row>
    <row r="37" spans="1:13" s="43" customFormat="1" ht="10.5">
      <c r="A37" s="303" t="s">
        <v>371</v>
      </c>
      <c r="B37" s="38"/>
      <c r="C37" s="39"/>
      <c r="D37" s="61" t="s">
        <v>64</v>
      </c>
      <c r="E37" s="57" t="str">
        <f>_xlfn.XLOOKUP(D37,Table13[Decription],Table13[Unit])</f>
        <v>piece</v>
      </c>
      <c r="F37" s="222">
        <v>10</v>
      </c>
      <c r="G37" s="258">
        <f>_xlfn.XLOOKUP(D37,Table13[Decription],Table13[Unit Cost])</f>
        <v>8.5755407899999998</v>
      </c>
      <c r="H37" s="259">
        <f t="shared" si="0"/>
        <v>85.755407899999994</v>
      </c>
      <c r="J37" s="347"/>
    </row>
    <row r="38" spans="1:13" s="43" customFormat="1" ht="9.65" customHeight="1">
      <c r="A38" s="303" t="s">
        <v>371</v>
      </c>
      <c r="B38" s="38"/>
      <c r="C38" s="39"/>
      <c r="D38" s="61" t="s">
        <v>152</v>
      </c>
      <c r="E38" s="57" t="str">
        <f>_xlfn.XLOOKUP(D38,Table13[Decription],Table13[Unit])</f>
        <v>roll</v>
      </c>
      <c r="F38" s="222">
        <v>1</v>
      </c>
      <c r="G38" s="258">
        <f>_xlfn.XLOOKUP(D38,Table13[Decription],Table13[Unit Cost])</f>
        <v>28.72</v>
      </c>
      <c r="H38" s="259">
        <f t="shared" si="0"/>
        <v>28.72</v>
      </c>
      <c r="J38" s="346"/>
      <c r="K38" s="58"/>
      <c r="L38" s="58"/>
      <c r="M38" s="58"/>
    </row>
    <row r="39" spans="1:13" s="304" customFormat="1" ht="9.65" customHeight="1">
      <c r="A39" s="303" t="s">
        <v>371</v>
      </c>
      <c r="B39" s="38"/>
      <c r="C39" s="39"/>
      <c r="D39" s="61" t="s">
        <v>49</v>
      </c>
      <c r="E39" s="57" t="str">
        <f>_xlfn.XLOOKUP(D39,Table13[Decription],Table13[Unit])</f>
        <v>box</v>
      </c>
      <c r="F39" s="222">
        <v>1</v>
      </c>
      <c r="G39" s="258">
        <f>_xlfn.XLOOKUP(D39,Table13[Decription],Table13[Unit Cost])</f>
        <v>47.93</v>
      </c>
      <c r="H39" s="259">
        <f t="shared" si="0"/>
        <v>47.93</v>
      </c>
      <c r="J39" s="346"/>
      <c r="K39" s="306"/>
      <c r="L39" s="306"/>
      <c r="M39" s="306"/>
    </row>
    <row r="40" spans="1:13" s="43" customFormat="1" ht="9.65" customHeight="1">
      <c r="A40" s="303" t="s">
        <v>372</v>
      </c>
      <c r="B40" s="38"/>
      <c r="C40" s="39"/>
      <c r="D40" s="70" t="s">
        <v>69</v>
      </c>
      <c r="E40" s="57" t="str">
        <f>_xlfn.XLOOKUP(D40,Table13[Decription],Table13[Unit])</f>
        <v>piece</v>
      </c>
      <c r="F40" s="222">
        <v>33</v>
      </c>
      <c r="G40" s="258">
        <f>_xlfn.XLOOKUP(D40,Table13[Decription],Table13[Unit Cost])</f>
        <v>25</v>
      </c>
      <c r="H40" s="259">
        <f t="shared" si="0"/>
        <v>825</v>
      </c>
      <c r="J40" s="346"/>
      <c r="K40" s="58"/>
      <c r="L40" s="58"/>
      <c r="M40" s="58"/>
    </row>
    <row r="41" spans="1:13" s="43" customFormat="1" ht="9.65" customHeight="1">
      <c r="A41" s="303" t="s">
        <v>372</v>
      </c>
      <c r="B41" s="38"/>
      <c r="C41" s="39"/>
      <c r="D41" s="61" t="s">
        <v>106</v>
      </c>
      <c r="E41" s="57" t="str">
        <f>_xlfn.XLOOKUP(D41,Table13[Decription],Table13[Unit])</f>
        <v>piece</v>
      </c>
      <c r="F41" s="222">
        <v>12</v>
      </c>
      <c r="G41" s="258">
        <f>_xlfn.XLOOKUP(D41,Table13[Decription],Table13[Unit Cost])</f>
        <v>110</v>
      </c>
      <c r="H41" s="259">
        <f t="shared" si="0"/>
        <v>1320</v>
      </c>
      <c r="J41" s="347"/>
      <c r="K41" s="58"/>
      <c r="L41" s="58"/>
      <c r="M41" s="58"/>
    </row>
    <row r="42" spans="1:13" s="43" customFormat="1" ht="9.65" customHeight="1">
      <c r="A42" s="303" t="s">
        <v>373</v>
      </c>
      <c r="B42" s="38"/>
      <c r="C42" s="39"/>
      <c r="D42" s="61" t="s">
        <v>106</v>
      </c>
      <c r="E42" s="57" t="str">
        <f>_xlfn.XLOOKUP(D42,Table13[Decription],Table13[Unit])</f>
        <v>piece</v>
      </c>
      <c r="F42" s="222">
        <v>1</v>
      </c>
      <c r="G42" s="258">
        <f>_xlfn.XLOOKUP(D42,Table13[Decription],Table13[Unit Cost])</f>
        <v>110</v>
      </c>
      <c r="H42" s="259">
        <f t="shared" si="0"/>
        <v>110</v>
      </c>
      <c r="J42" s="347"/>
      <c r="K42" s="58"/>
      <c r="L42" s="58"/>
      <c r="M42" s="58"/>
    </row>
    <row r="43" spans="1:13" s="43" customFormat="1" ht="10.5">
      <c r="A43" s="303" t="s">
        <v>374</v>
      </c>
      <c r="B43" s="38"/>
      <c r="C43" s="39"/>
      <c r="D43" s="61" t="s">
        <v>64</v>
      </c>
      <c r="E43" s="57" t="str">
        <f>_xlfn.XLOOKUP(D43,Table13[Decription],Table13[Unit])</f>
        <v>piece</v>
      </c>
      <c r="F43" s="222">
        <v>10</v>
      </c>
      <c r="G43" s="258">
        <f>_xlfn.XLOOKUP(D43,Table13[Decription],Table13[Unit Cost])</f>
        <v>8.5755407899999998</v>
      </c>
      <c r="H43" s="259">
        <f t="shared" si="0"/>
        <v>85.755407899999994</v>
      </c>
      <c r="J43" s="346"/>
    </row>
    <row r="44" spans="1:13" s="43" customFormat="1" ht="9.65" customHeight="1">
      <c r="A44" s="303" t="s">
        <v>374</v>
      </c>
      <c r="B44" s="38"/>
      <c r="C44" s="39"/>
      <c r="D44" s="61" t="s">
        <v>152</v>
      </c>
      <c r="E44" s="57" t="str">
        <f>_xlfn.XLOOKUP(D44,Table13[Decription],Table13[Unit])</f>
        <v>roll</v>
      </c>
      <c r="F44" s="222">
        <v>3</v>
      </c>
      <c r="G44" s="258">
        <f>_xlfn.XLOOKUP(D44,Table13[Decription],Table13[Unit Cost])</f>
        <v>28.72</v>
      </c>
      <c r="H44" s="259">
        <f t="shared" si="0"/>
        <v>86.16</v>
      </c>
      <c r="J44" s="347"/>
    </row>
    <row r="45" spans="1:13" s="43" customFormat="1" ht="9.65" customHeight="1">
      <c r="A45" s="303" t="s">
        <v>375</v>
      </c>
      <c r="B45" s="38"/>
      <c r="C45" s="39"/>
      <c r="D45" s="61" t="s">
        <v>64</v>
      </c>
      <c r="E45" s="57" t="str">
        <f>_xlfn.XLOOKUP(D45,Table13[Decription],Table13[Unit])</f>
        <v>piece</v>
      </c>
      <c r="F45" s="222">
        <v>5</v>
      </c>
      <c r="G45" s="258">
        <f>_xlfn.XLOOKUP(D45,Table13[Decription],Table13[Unit Cost])</f>
        <v>8.5755407899999998</v>
      </c>
      <c r="H45" s="259">
        <f t="shared" si="0"/>
        <v>42.877703949999997</v>
      </c>
      <c r="J45" s="346"/>
    </row>
    <row r="46" spans="1:13" s="43" customFormat="1" ht="9.65" customHeight="1">
      <c r="A46" s="303" t="s">
        <v>375</v>
      </c>
      <c r="B46" s="38"/>
      <c r="C46" s="39"/>
      <c r="D46" s="61" t="s">
        <v>107</v>
      </c>
      <c r="E46" s="57" t="str">
        <f>_xlfn.XLOOKUP(D46,Table13[Decription],Table13[Unit])</f>
        <v>piece</v>
      </c>
      <c r="F46" s="222">
        <v>10</v>
      </c>
      <c r="G46" s="258">
        <f>_xlfn.XLOOKUP(D46,Table13[Decription],Table13[Unit Cost])</f>
        <v>22</v>
      </c>
      <c r="H46" s="259">
        <f t="shared" si="0"/>
        <v>220</v>
      </c>
      <c r="J46" s="346"/>
    </row>
    <row r="47" spans="1:13" s="36" customFormat="1" ht="10.5">
      <c r="A47" s="303" t="s">
        <v>375</v>
      </c>
      <c r="B47" s="38"/>
      <c r="C47" s="39"/>
      <c r="D47" s="61" t="s">
        <v>111</v>
      </c>
      <c r="E47" s="57" t="str">
        <f>_xlfn.XLOOKUP(D47,Table13[Decription],Table13[Unit])</f>
        <v>piece</v>
      </c>
      <c r="F47" s="222">
        <v>10</v>
      </c>
      <c r="G47" s="258">
        <f>_xlfn.XLOOKUP(D47,Table13[Decription],Table13[Unit Cost])</f>
        <v>190</v>
      </c>
      <c r="H47" s="259">
        <f t="shared" si="0"/>
        <v>1900</v>
      </c>
      <c r="J47" s="347"/>
    </row>
    <row r="48" spans="1:13" s="43" customFormat="1" ht="9.65" customHeight="1">
      <c r="A48" s="303" t="s">
        <v>376</v>
      </c>
      <c r="B48" s="38"/>
      <c r="C48" s="39"/>
      <c r="D48" s="61" t="s">
        <v>104</v>
      </c>
      <c r="E48" s="57" t="str">
        <f>_xlfn.XLOOKUP(D48,Table13[Decription],Table13[Unit])</f>
        <v xml:space="preserve">piece </v>
      </c>
      <c r="F48" s="222">
        <v>16</v>
      </c>
      <c r="G48" s="258">
        <f>_xlfn.XLOOKUP(D48,Table13[Decription],Table13[Unit Cost])</f>
        <v>440</v>
      </c>
      <c r="H48" s="259">
        <f t="shared" si="0"/>
        <v>7040</v>
      </c>
      <c r="J48" s="346"/>
    </row>
    <row r="49" spans="1:10" s="43" customFormat="1" ht="9.65" customHeight="1">
      <c r="A49" s="303" t="s">
        <v>376</v>
      </c>
      <c r="B49" s="38"/>
      <c r="C49" s="39"/>
      <c r="D49" s="70" t="s">
        <v>92</v>
      </c>
      <c r="E49" s="57" t="str">
        <f>_xlfn.XLOOKUP(D49,Table13[Decription],Table13[Unit])</f>
        <v>piece</v>
      </c>
      <c r="F49" s="222">
        <v>2</v>
      </c>
      <c r="G49" s="258">
        <f>_xlfn.XLOOKUP(D49,Table13[Decription],Table13[Unit Cost])</f>
        <v>132</v>
      </c>
      <c r="H49" s="259">
        <f t="shared" si="0"/>
        <v>264</v>
      </c>
      <c r="J49" s="347"/>
    </row>
    <row r="50" spans="1:10" s="43" customFormat="1" ht="9.65" customHeight="1">
      <c r="A50" s="303" t="s">
        <v>376</v>
      </c>
      <c r="B50" s="38"/>
      <c r="C50" s="39"/>
      <c r="D50" s="70" t="s">
        <v>153</v>
      </c>
      <c r="E50" s="57" t="str">
        <f>_xlfn.XLOOKUP(D50,Table13[Decription],Table13[Unit])</f>
        <v>roll</v>
      </c>
      <c r="F50" s="222">
        <v>5</v>
      </c>
      <c r="G50" s="258">
        <f>_xlfn.XLOOKUP(D50,Table13[Decription],Table13[Unit Cost])</f>
        <v>63.56</v>
      </c>
      <c r="H50" s="259">
        <f t="shared" si="0"/>
        <v>317.8</v>
      </c>
      <c r="J50" s="348"/>
    </row>
    <row r="51" spans="1:10" s="43" customFormat="1" ht="9.65" customHeight="1">
      <c r="A51" s="303" t="s">
        <v>376</v>
      </c>
      <c r="B51" s="38"/>
      <c r="C51" s="39"/>
      <c r="D51" s="70" t="s">
        <v>149</v>
      </c>
      <c r="E51" s="57" t="str">
        <f>_xlfn.XLOOKUP(D51,Table13[Decription],Table13[Unit])</f>
        <v>roll</v>
      </c>
      <c r="F51" s="222">
        <v>7</v>
      </c>
      <c r="G51" s="258">
        <f>_xlfn.XLOOKUP(D51,Table13[Decription],Table13[Unit Cost])</f>
        <v>34.75</v>
      </c>
      <c r="H51" s="259">
        <f t="shared" si="0"/>
        <v>243.25</v>
      </c>
      <c r="J51" s="348"/>
    </row>
    <row r="52" spans="1:10" s="43" customFormat="1" ht="9.65" customHeight="1">
      <c r="A52" s="303" t="s">
        <v>377</v>
      </c>
      <c r="B52" s="38"/>
      <c r="C52" s="39"/>
      <c r="D52" s="61" t="s">
        <v>150</v>
      </c>
      <c r="E52" s="57" t="str">
        <f>_xlfn.XLOOKUP(D52,Table13[Decription],Table13[Unit])</f>
        <v>piece</v>
      </c>
      <c r="F52" s="222">
        <v>3</v>
      </c>
      <c r="G52" s="258">
        <f>_xlfn.XLOOKUP(D52,Table13[Decription],Table13[Unit Cost])</f>
        <v>30</v>
      </c>
      <c r="H52" s="259">
        <f t="shared" si="0"/>
        <v>90</v>
      </c>
      <c r="J52" s="347"/>
    </row>
    <row r="53" spans="1:10" s="43" customFormat="1" ht="9.65" customHeight="1">
      <c r="A53" s="303" t="s">
        <v>377</v>
      </c>
      <c r="B53" s="38"/>
      <c r="C53" s="39"/>
      <c r="D53" s="340" t="s">
        <v>123</v>
      </c>
      <c r="E53" s="57" t="str">
        <f>_xlfn.XLOOKUP(D53,Table13[Decription],Table13[Unit])</f>
        <v>piece</v>
      </c>
      <c r="F53" s="222">
        <v>10</v>
      </c>
      <c r="G53" s="258">
        <f>_xlfn.XLOOKUP(D53,Table13[Decription],Table13[Unit Cost])</f>
        <v>235</v>
      </c>
      <c r="H53" s="259">
        <f t="shared" si="0"/>
        <v>2350</v>
      </c>
      <c r="J53" s="346"/>
    </row>
    <row r="54" spans="1:10" s="43" customFormat="1" ht="9.65" customHeight="1">
      <c r="A54" s="303" t="s">
        <v>387</v>
      </c>
      <c r="B54" s="38"/>
      <c r="C54" s="39"/>
      <c r="D54" s="61" t="s">
        <v>120</v>
      </c>
      <c r="E54" s="57" t="str">
        <f>_xlfn.XLOOKUP(D54,Table13[Decription],Table13[Unit])</f>
        <v>pack</v>
      </c>
      <c r="F54" s="222">
        <v>2</v>
      </c>
      <c r="G54" s="258">
        <f>_xlfn.XLOOKUP(D54,Table13[Decription],Table13[Unit Cost])</f>
        <v>80.558285699999999</v>
      </c>
      <c r="H54" s="259">
        <f t="shared" si="0"/>
        <v>161.1165714</v>
      </c>
      <c r="J54" s="347"/>
    </row>
    <row r="55" spans="1:10" s="43" customFormat="1" ht="9.65" customHeight="1">
      <c r="A55" s="303" t="s">
        <v>388</v>
      </c>
      <c r="B55" s="38"/>
      <c r="C55" s="39"/>
      <c r="D55" s="70" t="s">
        <v>108</v>
      </c>
      <c r="E55" s="57" t="str">
        <f>_xlfn.XLOOKUP(D55,Table13[Decription],Table13[Unit])</f>
        <v>box</v>
      </c>
      <c r="F55" s="222">
        <v>1</v>
      </c>
      <c r="G55" s="258">
        <f>_xlfn.XLOOKUP(D55,Table13[Decription],Table13[Unit Cost])</f>
        <v>43.53</v>
      </c>
      <c r="H55" s="259">
        <f t="shared" si="0"/>
        <v>43.53</v>
      </c>
      <c r="J55" s="349"/>
    </row>
    <row r="56" spans="1:10" s="43" customFormat="1" ht="9.65" customHeight="1">
      <c r="A56" s="303" t="s">
        <v>389</v>
      </c>
      <c r="B56" s="38"/>
      <c r="C56" s="39"/>
      <c r="D56" s="61" t="s">
        <v>157</v>
      </c>
      <c r="E56" s="57" t="str">
        <f>_xlfn.XLOOKUP(D56,Table13[Decription],Table13[Unit])</f>
        <v>piece</v>
      </c>
      <c r="F56" s="222">
        <v>4</v>
      </c>
      <c r="G56" s="258">
        <f>_xlfn.XLOOKUP(D56,Table13[Decription],Table13[Unit Cost])</f>
        <v>8.4</v>
      </c>
      <c r="H56" s="259">
        <f t="shared" si="0"/>
        <v>33.6</v>
      </c>
    </row>
    <row r="57" spans="1:10" s="43" customFormat="1" ht="9.65" customHeight="1">
      <c r="A57" s="303" t="s">
        <v>391</v>
      </c>
      <c r="B57" s="38"/>
      <c r="C57" s="39"/>
      <c r="D57" s="340" t="s">
        <v>55</v>
      </c>
      <c r="E57" s="57" t="str">
        <f>_xlfn.XLOOKUP(D57,Table13[Decription],Table13[Unit])</f>
        <v>roll</v>
      </c>
      <c r="F57" s="222">
        <v>2</v>
      </c>
      <c r="G57" s="258">
        <f>_xlfn.XLOOKUP(D57,Table13[Decription],Table13[Unit Cost])</f>
        <v>42.15</v>
      </c>
      <c r="H57" s="259">
        <f t="shared" si="0"/>
        <v>84.3</v>
      </c>
    </row>
    <row r="58" spans="1:10" s="43" customFormat="1" ht="9.65" customHeight="1">
      <c r="A58" s="303" t="s">
        <v>392</v>
      </c>
      <c r="B58" s="38"/>
      <c r="C58" s="39"/>
      <c r="D58" s="61" t="s">
        <v>161</v>
      </c>
      <c r="E58" s="57" t="str">
        <f>_xlfn.XLOOKUP(D58,Table13[Decription],Table13[Unit])</f>
        <v>piece</v>
      </c>
      <c r="F58" s="222">
        <v>2</v>
      </c>
      <c r="G58" s="258">
        <f>_xlfn.XLOOKUP(D58,Table13[Decription],Table13[Unit Cost])</f>
        <v>80.540000000000006</v>
      </c>
      <c r="H58" s="259">
        <f t="shared" si="0"/>
        <v>161.08000000000001</v>
      </c>
    </row>
    <row r="59" spans="1:10" s="43" customFormat="1" ht="9.65" customHeight="1">
      <c r="A59" s="303" t="s">
        <v>395</v>
      </c>
      <c r="B59" s="38"/>
      <c r="C59" s="39"/>
      <c r="D59" s="61" t="s">
        <v>161</v>
      </c>
      <c r="E59" s="57" t="str">
        <f>_xlfn.XLOOKUP(D59,Table13[Decription],Table13[Unit])</f>
        <v>piece</v>
      </c>
      <c r="F59" s="222">
        <v>2</v>
      </c>
      <c r="G59" s="258">
        <f>_xlfn.XLOOKUP(D59,Table13[Decription],Table13[Unit Cost])</f>
        <v>80.540000000000006</v>
      </c>
      <c r="H59" s="259">
        <f t="shared" si="0"/>
        <v>161.08000000000001</v>
      </c>
    </row>
    <row r="60" spans="1:10" s="43" customFormat="1" ht="9.65" customHeight="1">
      <c r="A60" s="303" t="s">
        <v>397</v>
      </c>
      <c r="B60" s="38"/>
      <c r="C60" s="39"/>
      <c r="D60" s="61" t="s">
        <v>64</v>
      </c>
      <c r="E60" s="57" t="str">
        <f>_xlfn.XLOOKUP(D60,Table13[Decription],Table13[Unit])</f>
        <v>piece</v>
      </c>
      <c r="F60" s="338">
        <v>2</v>
      </c>
      <c r="G60" s="258">
        <f>_xlfn.XLOOKUP(D60,Table13[Decription],Table13[Unit Cost])</f>
        <v>8.5755407899999998</v>
      </c>
      <c r="H60" s="259">
        <f t="shared" si="0"/>
        <v>17.15108158</v>
      </c>
    </row>
    <row r="61" spans="1:10" s="43" customFormat="1" ht="9.65" customHeight="1">
      <c r="A61" s="417" t="s">
        <v>26</v>
      </c>
      <c r="B61" s="418"/>
      <c r="C61" s="418"/>
      <c r="D61" s="418"/>
      <c r="E61" s="418"/>
      <c r="F61" s="418"/>
      <c r="G61" s="418"/>
      <c r="H61" s="419"/>
      <c r="J61" s="374"/>
    </row>
    <row r="62" spans="1:10" s="304" customFormat="1" ht="9.65" customHeight="1">
      <c r="A62" s="305"/>
      <c r="B62" s="38"/>
      <c r="C62" s="39"/>
      <c r="D62" s="61"/>
      <c r="E62" s="57">
        <f>_xlfn.XLOOKUP(D62,Table13[Decription],Table13[Unit])</f>
        <v>0</v>
      </c>
      <c r="F62" s="350"/>
      <c r="G62" s="258">
        <f>_xlfn.XLOOKUP(D62,Table13[Decription],Table13[Unit Cost])</f>
        <v>0</v>
      </c>
      <c r="H62" s="259">
        <f t="shared" si="0"/>
        <v>0</v>
      </c>
    </row>
    <row r="63" spans="1:10" s="43" customFormat="1" ht="9.65" customHeight="1">
      <c r="A63" s="56"/>
      <c r="B63" s="38"/>
      <c r="C63" s="39"/>
      <c r="D63" s="70"/>
      <c r="E63" s="57">
        <f>_xlfn.XLOOKUP(D63,Table13[Decription],Table13[Unit])</f>
        <v>0</v>
      </c>
      <c r="F63" s="222"/>
      <c r="G63" s="258">
        <f>_xlfn.XLOOKUP(D63,Table13[Decription],Table13[Unit Cost])</f>
        <v>0</v>
      </c>
      <c r="H63" s="259">
        <f t="shared" si="0"/>
        <v>0</v>
      </c>
    </row>
    <row r="64" spans="1:10" s="43" customFormat="1" ht="9.65" customHeight="1">
      <c r="A64" s="56"/>
      <c r="B64" s="38"/>
      <c r="C64" s="39"/>
      <c r="D64" s="70"/>
      <c r="E64" s="57">
        <f>_xlfn.XLOOKUP(D64,Table13[Decription],Table13[Unit])</f>
        <v>0</v>
      </c>
      <c r="F64" s="222"/>
      <c r="G64" s="258">
        <f>_xlfn.XLOOKUP(D64,Table13[Decription],Table13[Unit Cost])</f>
        <v>0</v>
      </c>
      <c r="H64" s="259">
        <f t="shared" si="0"/>
        <v>0</v>
      </c>
    </row>
    <row r="65" spans="1:10" s="43" customFormat="1" ht="9.65" customHeight="1">
      <c r="A65" s="56"/>
      <c r="B65" s="38"/>
      <c r="C65" s="39"/>
      <c r="D65" s="61"/>
      <c r="E65" s="57">
        <f>_xlfn.XLOOKUP(D65,Table13[Decription],Table13[Unit])</f>
        <v>0</v>
      </c>
      <c r="F65" s="222"/>
      <c r="G65" s="258">
        <f>_xlfn.XLOOKUP(D65,Table13[Decription],Table13[Unit Cost])</f>
        <v>0</v>
      </c>
      <c r="H65" s="259">
        <f t="shared" si="0"/>
        <v>0</v>
      </c>
    </row>
    <row r="66" spans="1:10" s="43" customFormat="1" ht="9.65" customHeight="1">
      <c r="A66" s="56"/>
      <c r="B66" s="38"/>
      <c r="C66" s="39"/>
      <c r="D66" s="61"/>
      <c r="E66" s="57">
        <f>_xlfn.XLOOKUP(D66,Table13[Decription],Table13[Unit])</f>
        <v>0</v>
      </c>
      <c r="F66" s="222"/>
      <c r="G66" s="258">
        <f>_xlfn.XLOOKUP(D66,Table13[Decription],Table13[Unit Cost])</f>
        <v>0</v>
      </c>
      <c r="H66" s="259">
        <f t="shared" si="0"/>
        <v>0</v>
      </c>
    </row>
    <row r="67" spans="1:10" s="304" customFormat="1" ht="9.65" customHeight="1">
      <c r="A67" s="305"/>
      <c r="B67" s="38"/>
      <c r="C67" s="39"/>
      <c r="D67" s="61"/>
      <c r="E67" s="57">
        <f>_xlfn.XLOOKUP(D67,Table13[Decription],Table13[Unit])</f>
        <v>0</v>
      </c>
      <c r="F67" s="222"/>
      <c r="G67" s="258">
        <f>_xlfn.XLOOKUP(D67,Table13[Decription],Table13[Unit Cost])</f>
        <v>0</v>
      </c>
      <c r="H67" s="259">
        <f t="shared" si="0"/>
        <v>0</v>
      </c>
    </row>
    <row r="68" spans="1:10" s="43" customFormat="1" ht="9.65" customHeight="1">
      <c r="A68" s="56"/>
      <c r="B68" s="38"/>
      <c r="C68" s="39"/>
      <c r="D68" s="61"/>
      <c r="E68" s="57">
        <f>_xlfn.XLOOKUP(D68,Table13[Decription],Table13[Unit])</f>
        <v>0</v>
      </c>
      <c r="F68" s="341"/>
      <c r="G68" s="258">
        <f>_xlfn.XLOOKUP(D68,Table13[Decription],Table13[Unit Cost])</f>
        <v>0</v>
      </c>
      <c r="H68" s="259">
        <f t="shared" si="0"/>
        <v>0</v>
      </c>
    </row>
    <row r="69" spans="1:10" s="43" customFormat="1" ht="9.65" customHeight="1">
      <c r="A69" s="56"/>
      <c r="B69" s="38"/>
      <c r="C69" s="39"/>
      <c r="D69" s="61"/>
      <c r="E69" s="57">
        <f>_xlfn.XLOOKUP(D69,Table13[Decription],Table13[Unit])</f>
        <v>0</v>
      </c>
      <c r="F69" s="341"/>
      <c r="G69" s="258">
        <f>_xlfn.XLOOKUP(D69,Table13[Decription],Table13[Unit Cost])</f>
        <v>0</v>
      </c>
      <c r="H69" s="259">
        <f t="shared" si="0"/>
        <v>0</v>
      </c>
    </row>
    <row r="70" spans="1:10" s="43" customFormat="1" ht="9.65" customHeight="1">
      <c r="A70" s="56"/>
      <c r="B70" s="38"/>
      <c r="C70" s="39"/>
      <c r="D70" s="61"/>
      <c r="E70" s="57">
        <f>_xlfn.XLOOKUP(D70,Table13[Decription],Table13[Unit])</f>
        <v>0</v>
      </c>
      <c r="F70" s="341"/>
      <c r="G70" s="258">
        <f>_xlfn.XLOOKUP(D70,Table13[Decription],Table13[Unit Cost])</f>
        <v>0</v>
      </c>
      <c r="H70" s="259">
        <f t="shared" si="0"/>
        <v>0</v>
      </c>
    </row>
    <row r="71" spans="1:10" s="43" customFormat="1" ht="9.65" customHeight="1">
      <c r="A71" s="56"/>
      <c r="B71" s="38"/>
      <c r="C71" s="39"/>
      <c r="D71" s="61"/>
      <c r="E71" s="57">
        <f>_xlfn.XLOOKUP(D71,Table13[Decription],Table13[Unit])</f>
        <v>0</v>
      </c>
      <c r="F71" s="341"/>
      <c r="G71" s="258">
        <f>_xlfn.XLOOKUP(D71,Table13[Decription],Table13[Unit Cost])</f>
        <v>0</v>
      </c>
      <c r="H71" s="259">
        <f t="shared" si="0"/>
        <v>0</v>
      </c>
    </row>
    <row r="72" spans="1:10" s="43" customFormat="1" ht="9.65" customHeight="1">
      <c r="A72" s="56"/>
      <c r="B72" s="38"/>
      <c r="C72" s="39"/>
      <c r="D72" s="70"/>
      <c r="E72" s="57">
        <f>_xlfn.XLOOKUP(D72,Table13[Decription],Table13[Unit])</f>
        <v>0</v>
      </c>
      <c r="F72" s="341"/>
      <c r="G72" s="258">
        <f>_xlfn.XLOOKUP(D72,Table13[Decription],Table13[Unit Cost])</f>
        <v>0</v>
      </c>
      <c r="H72" s="259">
        <f t="shared" si="0"/>
        <v>0</v>
      </c>
    </row>
    <row r="73" spans="1:10" s="43" customFormat="1" ht="9.65" customHeight="1">
      <c r="A73" s="56"/>
      <c r="B73" s="38"/>
      <c r="C73" s="39"/>
      <c r="D73" s="61"/>
      <c r="E73" s="57">
        <f>_xlfn.XLOOKUP(D73,Table13[Decription],Table13[Unit])</f>
        <v>0</v>
      </c>
      <c r="F73" s="341"/>
      <c r="G73" s="258">
        <f>_xlfn.XLOOKUP(D73,Table13[Decription],Table13[Unit Cost])</f>
        <v>0</v>
      </c>
      <c r="H73" s="259">
        <f t="shared" si="0"/>
        <v>0</v>
      </c>
    </row>
    <row r="74" spans="1:10" s="304" customFormat="1" ht="9.65" customHeight="1">
      <c r="A74" s="305"/>
      <c r="B74" s="38"/>
      <c r="C74" s="39"/>
      <c r="D74" s="61"/>
      <c r="E74" s="57">
        <f>_xlfn.XLOOKUP(D74,Table13[Decription],Table13[Unit])</f>
        <v>0</v>
      </c>
      <c r="F74" s="341"/>
      <c r="G74" s="258">
        <f>_xlfn.XLOOKUP(D74,Table13[Decription],Table13[Unit Cost])</f>
        <v>0</v>
      </c>
      <c r="H74" s="259">
        <f t="shared" si="0"/>
        <v>0</v>
      </c>
    </row>
    <row r="75" spans="1:10" s="43" customFormat="1" ht="9.65" customHeight="1">
      <c r="A75" s="56"/>
      <c r="B75" s="38"/>
      <c r="C75" s="39"/>
      <c r="D75" s="61"/>
      <c r="E75" s="57">
        <f>_xlfn.XLOOKUP(D75,Table13[Decription],Table13[Unit])</f>
        <v>0</v>
      </c>
      <c r="F75" s="341"/>
      <c r="G75" s="258">
        <f>_xlfn.XLOOKUP(D75,Table13[Decription],Table13[Unit Cost])</f>
        <v>0</v>
      </c>
      <c r="H75" s="259">
        <f t="shared" si="0"/>
        <v>0</v>
      </c>
    </row>
    <row r="76" spans="1:10" s="304" customFormat="1" ht="9.65" customHeight="1">
      <c r="A76" s="305"/>
      <c r="B76" s="38"/>
      <c r="C76" s="39"/>
      <c r="D76" s="61"/>
      <c r="E76" s="57">
        <f>_xlfn.XLOOKUP(D76,Table13[Decription],Table13[Unit])</f>
        <v>0</v>
      </c>
      <c r="F76" s="341"/>
      <c r="G76" s="258">
        <f>_xlfn.XLOOKUP(D76,Table13[Decription],Table13[Unit Cost])</f>
        <v>0</v>
      </c>
      <c r="H76" s="259">
        <f t="shared" si="0"/>
        <v>0</v>
      </c>
    </row>
    <row r="77" spans="1:10" s="43" customFormat="1" ht="9.65" customHeight="1">
      <c r="A77" s="56"/>
      <c r="B77" s="38"/>
      <c r="C77" s="39"/>
      <c r="D77" s="61"/>
      <c r="E77" s="57">
        <f>_xlfn.XLOOKUP(D77,Table13[Decription],Table13[Unit])</f>
        <v>0</v>
      </c>
      <c r="F77" s="341"/>
      <c r="G77" s="258">
        <f>_xlfn.XLOOKUP(D77,Table13[Decription],Table13[Unit Cost])</f>
        <v>0</v>
      </c>
      <c r="H77" s="259">
        <f t="shared" si="0"/>
        <v>0</v>
      </c>
    </row>
    <row r="78" spans="1:10" s="43" customFormat="1" ht="10.5">
      <c r="A78" s="37"/>
      <c r="B78" s="38"/>
      <c r="C78" s="41"/>
      <c r="D78" s="44"/>
      <c r="E78" s="57">
        <f>_xlfn.XLOOKUP(D78,Table13[Decription],Table13[Unit])</f>
        <v>0</v>
      </c>
      <c r="F78" s="342"/>
      <c r="G78" s="258">
        <f>_xlfn.XLOOKUP(D78,Table13[Decription],Table13[Unit Cost])</f>
        <v>0</v>
      </c>
      <c r="H78" s="259">
        <f t="shared" si="0"/>
        <v>0</v>
      </c>
    </row>
    <row r="79" spans="1:10" s="43" customFormat="1" ht="10.25" customHeight="1">
      <c r="A79" s="54"/>
      <c r="B79" s="49"/>
      <c r="C79" s="50"/>
      <c r="D79" s="45"/>
      <c r="E79" s="57">
        <f>_xlfn.XLOOKUP(D79,Table13[Decription],Table13[Unit])</f>
        <v>0</v>
      </c>
      <c r="F79" s="343"/>
      <c r="G79" s="258">
        <f>_xlfn.XLOOKUP(D79,Table13[Decription],Table13[Unit Cost])</f>
        <v>0</v>
      </c>
      <c r="H79" s="259">
        <f t="shared" si="0"/>
        <v>0</v>
      </c>
      <c r="J79" s="345"/>
    </row>
    <row r="80" spans="1:10" ht="7.25" customHeight="1" thickBot="1">
      <c r="A80" s="422"/>
      <c r="B80" s="423"/>
      <c r="C80" s="423"/>
      <c r="D80" s="423"/>
      <c r="E80" s="423"/>
      <c r="F80" s="423"/>
      <c r="G80" s="423"/>
      <c r="H80" s="424"/>
    </row>
    <row r="81" spans="1:13" ht="15" thickBot="1">
      <c r="A81" s="21"/>
      <c r="B81" s="22"/>
      <c r="C81" s="23"/>
      <c r="D81" s="24"/>
      <c r="E81" s="23"/>
      <c r="F81" s="25"/>
      <c r="G81" s="26" t="s">
        <v>19</v>
      </c>
      <c r="H81" s="27">
        <f>SUM(H11:H80)</f>
        <v>19981.0855902</v>
      </c>
      <c r="I81" s="345"/>
      <c r="J81" s="364"/>
      <c r="K81" s="58"/>
      <c r="L81" s="58"/>
      <c r="M81" s="58"/>
    </row>
    <row r="82" spans="1:13" ht="15.5" thickTop="1">
      <c r="A82" s="420" t="s">
        <v>25</v>
      </c>
      <c r="B82" s="421"/>
      <c r="C82" s="421"/>
      <c r="D82" s="421"/>
      <c r="E82" s="8" t="s">
        <v>20</v>
      </c>
      <c r="F82" s="9"/>
      <c r="G82" s="9"/>
      <c r="H82" s="10"/>
      <c r="J82" s="344"/>
      <c r="K82" s="58"/>
      <c r="L82" s="58"/>
      <c r="M82" s="58"/>
    </row>
    <row r="83" spans="1:13">
      <c r="A83" s="406"/>
      <c r="B83" s="408"/>
      <c r="C83" s="408"/>
      <c r="D83" s="408"/>
      <c r="E83" s="15"/>
      <c r="F83" s="15"/>
      <c r="G83" s="15"/>
      <c r="H83" s="16"/>
      <c r="J83" s="43"/>
      <c r="K83" s="58"/>
      <c r="L83" s="58"/>
      <c r="M83" s="58"/>
    </row>
    <row r="84" spans="1:13">
      <c r="A84" s="298"/>
      <c r="B84" s="299"/>
      <c r="C84" s="299"/>
      <c r="D84" s="299"/>
      <c r="E84" s="15"/>
      <c r="F84" s="15"/>
      <c r="G84" s="15"/>
      <c r="H84" s="16"/>
      <c r="J84" s="43"/>
      <c r="K84" s="43"/>
      <c r="L84" s="43"/>
      <c r="M84" s="43"/>
    </row>
    <row r="85" spans="1:13">
      <c r="A85" s="409" t="s">
        <v>21</v>
      </c>
      <c r="B85" s="410"/>
      <c r="C85" s="410"/>
      <c r="D85" s="410"/>
      <c r="E85" s="410" t="s">
        <v>22</v>
      </c>
      <c r="F85" s="410"/>
      <c r="G85" s="410"/>
      <c r="H85" s="412"/>
      <c r="J85" s="43"/>
      <c r="K85" s="43"/>
      <c r="L85" s="43"/>
      <c r="M85" s="43"/>
    </row>
    <row r="86" spans="1:13">
      <c r="A86" s="413" t="s">
        <v>23</v>
      </c>
      <c r="B86" s="414"/>
      <c r="C86" s="414"/>
      <c r="D86" s="414"/>
      <c r="E86" s="414" t="s">
        <v>24</v>
      </c>
      <c r="F86" s="414"/>
      <c r="G86" s="414"/>
      <c r="H86" s="416"/>
      <c r="J86" s="43"/>
      <c r="K86" s="43"/>
      <c r="L86" s="43"/>
      <c r="M86" s="43"/>
    </row>
    <row r="87" spans="1:13">
      <c r="A87" s="399" t="str">
        <f>_xlfn.CONCAT("DATE: ",TEXT(G6,"MMMM DD, YYYY"))</f>
        <v>DATE: 04/30/2025</v>
      </c>
      <c r="B87" s="400"/>
      <c r="C87" s="400"/>
      <c r="D87" s="400"/>
      <c r="E87" s="400" t="str">
        <f>_xlfn.CONCAT("DATE: ",TEXT(G6,"MMMM DD, YYYY"))</f>
        <v>DATE: 04/30/2025</v>
      </c>
      <c r="F87" s="400"/>
      <c r="G87" s="400"/>
      <c r="H87" s="402"/>
      <c r="J87" s="43"/>
      <c r="K87" s="43"/>
      <c r="L87" s="43"/>
      <c r="M87" s="43"/>
    </row>
    <row r="88" spans="1:13" ht="8" customHeight="1" thickBot="1">
      <c r="A88" s="403"/>
      <c r="B88" s="404"/>
      <c r="C88" s="404"/>
      <c r="D88" s="404"/>
      <c r="E88" s="404"/>
      <c r="F88" s="404"/>
      <c r="G88" s="404"/>
      <c r="H88" s="405"/>
      <c r="J88" s="43"/>
      <c r="K88" s="43"/>
      <c r="L88" s="43"/>
      <c r="M88" s="43"/>
    </row>
    <row r="89" spans="1:13">
      <c r="A89" s="297"/>
      <c r="B89" s="297"/>
      <c r="C89" s="297"/>
      <c r="D89" s="297"/>
      <c r="E89" s="297"/>
      <c r="F89" s="297"/>
      <c r="G89" s="297"/>
      <c r="H89" s="297"/>
      <c r="J89" s="43"/>
      <c r="K89" s="43"/>
      <c r="L89" s="43"/>
      <c r="M89" s="43"/>
    </row>
    <row r="90" spans="1:13">
      <c r="J90" s="43"/>
      <c r="K90" s="36"/>
      <c r="L90" s="36"/>
      <c r="M90" s="36"/>
    </row>
    <row r="91" spans="1:13">
      <c r="J91" s="43"/>
      <c r="K91" s="58"/>
      <c r="L91" s="58"/>
      <c r="M91" s="58"/>
    </row>
    <row r="92" spans="1:13">
      <c r="J92" s="43"/>
      <c r="K92" s="43"/>
      <c r="L92" s="43"/>
      <c r="M92" s="43"/>
    </row>
    <row r="93" spans="1:13">
      <c r="J93" s="43"/>
      <c r="K93" s="43"/>
      <c r="L93" s="43"/>
      <c r="M93" s="43"/>
    </row>
    <row r="94" spans="1:13">
      <c r="J94" s="43"/>
      <c r="K94" s="43"/>
      <c r="L94" s="43"/>
      <c r="M94" s="43"/>
    </row>
    <row r="95" spans="1:13">
      <c r="J95" s="36"/>
      <c r="K95" s="43"/>
      <c r="L95" s="43"/>
      <c r="M95" s="43"/>
    </row>
    <row r="96" spans="1:13">
      <c r="J96" s="43"/>
      <c r="K96" s="43"/>
      <c r="L96" s="43"/>
      <c r="M96" s="43"/>
    </row>
    <row r="97" spans="10:13">
      <c r="J97" s="43"/>
      <c r="K97" s="43"/>
      <c r="L97" s="43"/>
      <c r="M97" s="43"/>
    </row>
    <row r="98" spans="10:13">
      <c r="J98" s="43"/>
      <c r="K98" s="43"/>
      <c r="L98" s="43"/>
      <c r="M98" s="43"/>
    </row>
    <row r="99" spans="10:13">
      <c r="J99" s="43"/>
      <c r="K99" s="43"/>
      <c r="L99" s="43"/>
      <c r="M99" s="43"/>
    </row>
    <row r="100" spans="10:13">
      <c r="J100" s="43"/>
      <c r="K100" s="43"/>
      <c r="L100" s="43"/>
      <c r="M100" s="43"/>
    </row>
    <row r="101" spans="10:13">
      <c r="J101" s="43"/>
      <c r="K101" s="43"/>
      <c r="L101" s="43"/>
      <c r="M101" s="43"/>
    </row>
    <row r="102" spans="10:13">
      <c r="J102" s="43"/>
      <c r="K102" s="43"/>
      <c r="L102" s="43"/>
      <c r="M102" s="43"/>
    </row>
    <row r="103" spans="10:13">
      <c r="J103" s="43"/>
      <c r="K103" s="43"/>
      <c r="L103" s="43"/>
      <c r="M103" s="43"/>
    </row>
    <row r="104" spans="10:13">
      <c r="J104" s="43"/>
      <c r="K104" s="43"/>
      <c r="L104" s="43"/>
      <c r="M104" s="43"/>
    </row>
    <row r="105" spans="10:13">
      <c r="J105" s="43"/>
      <c r="K105" s="43"/>
      <c r="L105" s="43"/>
      <c r="M105" s="43"/>
    </row>
    <row r="106" spans="10:13">
      <c r="J106" s="43"/>
      <c r="K106" s="43"/>
      <c r="L106" s="43"/>
      <c r="M106" s="43"/>
    </row>
    <row r="107" spans="10:13">
      <c r="J107" s="43"/>
      <c r="K107" s="43"/>
      <c r="L107" s="43"/>
      <c r="M107" s="43"/>
    </row>
    <row r="108" spans="10:13">
      <c r="J108" s="43"/>
      <c r="K108" s="43"/>
      <c r="L108" s="43"/>
      <c r="M108" s="43"/>
    </row>
    <row r="109" spans="10:13">
      <c r="J109" s="43"/>
      <c r="K109" s="43"/>
      <c r="L109" s="43"/>
      <c r="M109" s="43"/>
    </row>
    <row r="110" spans="10:13">
      <c r="J110" s="43"/>
      <c r="K110" s="43"/>
      <c r="L110" s="43"/>
      <c r="M110" s="43"/>
    </row>
    <row r="111" spans="10:13">
      <c r="J111" s="43"/>
      <c r="K111" s="43"/>
      <c r="L111" s="43"/>
      <c r="M111" s="43"/>
    </row>
    <row r="112" spans="10:13">
      <c r="J112" s="43"/>
      <c r="K112" s="43"/>
      <c r="L112" s="43"/>
      <c r="M112" s="43"/>
    </row>
    <row r="113" spans="10:13">
      <c r="J113" s="43"/>
      <c r="K113" s="43"/>
      <c r="L113" s="43"/>
      <c r="M113" s="43"/>
    </row>
    <row r="114" spans="10:13">
      <c r="J114" s="43"/>
      <c r="K114" s="43"/>
      <c r="L114" s="43"/>
      <c r="M114" s="43"/>
    </row>
    <row r="115" spans="10:13">
      <c r="J115" s="43"/>
      <c r="K115" s="43"/>
      <c r="L115" s="43"/>
      <c r="M115" s="43"/>
    </row>
    <row r="116" spans="10:13">
      <c r="J116" s="43"/>
      <c r="K116" s="43"/>
      <c r="L116" s="43"/>
      <c r="M116" s="43"/>
    </row>
    <row r="117" spans="10:13">
      <c r="J117" s="43"/>
      <c r="K117" s="43"/>
      <c r="L117" s="43"/>
      <c r="M117" s="43"/>
    </row>
    <row r="118" spans="10:13">
      <c r="J118" s="43"/>
      <c r="K118" s="43"/>
      <c r="L118" s="43"/>
      <c r="M118" s="43"/>
    </row>
    <row r="119" spans="10:13">
      <c r="J119" s="43"/>
      <c r="K119" s="43"/>
      <c r="L119" s="43"/>
      <c r="M119" s="43"/>
    </row>
    <row r="120" spans="10:13">
      <c r="J120" s="43"/>
      <c r="K120" s="43"/>
      <c r="L120" s="43"/>
      <c r="M120" s="43"/>
    </row>
    <row r="121" spans="10:13">
      <c r="J121" s="43"/>
      <c r="K121" s="43"/>
      <c r="L121" s="43"/>
      <c r="M121" s="43"/>
    </row>
    <row r="122" spans="10:13">
      <c r="J122" s="43"/>
      <c r="K122" s="43"/>
      <c r="L122" s="43"/>
      <c r="M122" s="43"/>
    </row>
    <row r="123" spans="10:13">
      <c r="J123" s="43"/>
      <c r="K123" s="43"/>
      <c r="L123" s="43"/>
      <c r="M123" s="43"/>
    </row>
  </sheetData>
  <mergeCells count="17">
    <mergeCell ref="A1:H1"/>
    <mergeCell ref="A3:H3"/>
    <mergeCell ref="G5:H5"/>
    <mergeCell ref="G6:H6"/>
    <mergeCell ref="A8:F8"/>
    <mergeCell ref="G8:H8"/>
    <mergeCell ref="A87:D87"/>
    <mergeCell ref="E87:H87"/>
    <mergeCell ref="A88:D88"/>
    <mergeCell ref="E88:H88"/>
    <mergeCell ref="A61:H61"/>
    <mergeCell ref="A82:D83"/>
    <mergeCell ref="A85:D85"/>
    <mergeCell ref="E85:H85"/>
    <mergeCell ref="A86:D86"/>
    <mergeCell ref="E86:H86"/>
    <mergeCell ref="A80:H80"/>
  </mergeCells>
  <phoneticPr fontId="17" type="noConversion"/>
  <pageMargins left="0.11811023622047245" right="0.11811023622047245" top="0.11811023622047245" bottom="0.11811023622047245" header="0.11811023622047245" footer="0.11811023622047245"/>
  <pageSetup paperSize="9" scale="87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87DFA0-9350-45F0-AF8B-4DF8FFE261E4}">
          <x14:formula1>
            <xm:f>'Inventory 2025 - Summary'!$C$6:$C$162</xm:f>
          </x14:formula1>
          <xm:sqref>D57 D53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A1D0-25CE-4F07-A3BF-65AA4BA412E9}">
  <sheetPr codeName="Sheet6"/>
  <dimension ref="A1:M121"/>
  <sheetViews>
    <sheetView tabSelected="1" view="pageBreakPreview" topLeftCell="A52" zoomScale="111" zoomScaleNormal="100" zoomScaleSheetLayoutView="67" workbookViewId="0">
      <selection activeCell="H79" sqref="H79"/>
    </sheetView>
  </sheetViews>
  <sheetFormatPr defaultColWidth="8.81640625" defaultRowHeight="14.5"/>
  <cols>
    <col min="1" max="1" width="16.1796875" style="11" customWidth="1"/>
    <col min="2" max="2" width="11" style="11" customWidth="1"/>
    <col min="3" max="3" width="8" style="11" customWidth="1"/>
    <col min="4" max="4" width="32.81640625" style="11" customWidth="1"/>
    <col min="5" max="5" width="8.6328125" style="11" customWidth="1"/>
    <col min="6" max="6" width="7.08984375" style="11" bestFit="1" customWidth="1"/>
    <col min="7" max="7" width="10.6328125" style="11" customWidth="1"/>
    <col min="8" max="8" width="22.54296875" style="11" customWidth="1"/>
    <col min="9" max="9" width="8.81640625" style="11"/>
    <col min="10" max="10" width="42.6328125" style="11" customWidth="1"/>
    <col min="11" max="11" width="44.1796875" style="11" bestFit="1" customWidth="1"/>
    <col min="12" max="12" width="3.08984375" style="11" bestFit="1" customWidth="1"/>
    <col min="13" max="13" width="3.90625" style="11" bestFit="1" customWidth="1"/>
    <col min="14" max="18" width="8.81640625" style="11"/>
    <col min="19" max="19" width="22.08984375" style="11" customWidth="1"/>
    <col min="20" max="20" width="8.81640625" style="11"/>
    <col min="21" max="21" width="21.6328125" style="11" customWidth="1"/>
    <col min="22" max="22" width="26.36328125" style="11" customWidth="1"/>
    <col min="23" max="23" width="23.90625" style="11" customWidth="1"/>
    <col min="24" max="24" width="28.1796875" style="11" customWidth="1"/>
    <col min="25" max="25" width="23.90625" style="11" customWidth="1"/>
    <col min="26" max="16384" width="8.81640625" style="11"/>
  </cols>
  <sheetData>
    <row r="1" spans="1:10">
      <c r="A1" s="386" t="s">
        <v>0</v>
      </c>
      <c r="B1" s="387"/>
      <c r="C1" s="387"/>
      <c r="D1" s="387"/>
      <c r="E1" s="387"/>
      <c r="F1" s="387"/>
      <c r="G1" s="387"/>
      <c r="H1" s="388"/>
    </row>
    <row r="2" spans="1:10">
      <c r="A2" s="12"/>
      <c r="B2" s="13"/>
      <c r="C2" s="13"/>
      <c r="D2" s="13"/>
      <c r="E2" s="13"/>
      <c r="F2" s="13"/>
      <c r="G2" s="13"/>
      <c r="H2" s="14"/>
    </row>
    <row r="3" spans="1:10" ht="24">
      <c r="A3" s="389" t="s">
        <v>1</v>
      </c>
      <c r="B3" s="390"/>
      <c r="C3" s="390"/>
      <c r="D3" s="390"/>
      <c r="E3" s="390"/>
      <c r="F3" s="390"/>
      <c r="G3" s="390"/>
      <c r="H3" s="391"/>
    </row>
    <row r="4" spans="1:10">
      <c r="A4" s="12" t="s">
        <v>2</v>
      </c>
      <c r="B4" s="13"/>
      <c r="C4" s="13"/>
      <c r="D4" s="13"/>
      <c r="E4" s="13"/>
      <c r="F4" s="13"/>
      <c r="G4" s="13"/>
      <c r="H4" s="14"/>
    </row>
    <row r="5" spans="1:10">
      <c r="A5" s="1" t="s">
        <v>3</v>
      </c>
      <c r="B5" s="2" t="s">
        <v>4</v>
      </c>
      <c r="C5" s="3"/>
      <c r="D5" s="3"/>
      <c r="E5" s="4"/>
      <c r="F5" s="5" t="s">
        <v>5</v>
      </c>
      <c r="G5" s="392" t="s">
        <v>354</v>
      </c>
      <c r="H5" s="393"/>
    </row>
    <row r="6" spans="1:10">
      <c r="A6" s="1" t="s">
        <v>6</v>
      </c>
      <c r="B6" s="6" t="s">
        <v>7</v>
      </c>
      <c r="C6" s="7"/>
      <c r="D6" s="7"/>
      <c r="E6" s="4"/>
      <c r="F6" s="5" t="s">
        <v>8</v>
      </c>
      <c r="G6" s="394" t="s">
        <v>353</v>
      </c>
      <c r="H6" s="395"/>
    </row>
    <row r="7" spans="1:10" ht="5" customHeight="1">
      <c r="A7" s="12"/>
      <c r="B7" s="13"/>
      <c r="C7" s="13"/>
      <c r="D7" s="13"/>
      <c r="E7" s="13"/>
      <c r="F7" s="13"/>
      <c r="G7" s="13"/>
      <c r="H7" s="14"/>
    </row>
    <row r="8" spans="1:10">
      <c r="A8" s="396" t="s">
        <v>9</v>
      </c>
      <c r="B8" s="397"/>
      <c r="C8" s="397"/>
      <c r="D8" s="397"/>
      <c r="E8" s="397"/>
      <c r="F8" s="397"/>
      <c r="G8" s="397" t="s">
        <v>10</v>
      </c>
      <c r="H8" s="398"/>
    </row>
    <row r="9" spans="1:10" ht="3" customHeight="1">
      <c r="A9" s="12"/>
      <c r="B9" s="13"/>
      <c r="C9" s="13"/>
      <c r="D9" s="13"/>
      <c r="E9" s="13"/>
      <c r="F9" s="13"/>
      <c r="G9" s="13"/>
      <c r="H9" s="14"/>
    </row>
    <row r="10" spans="1:10" s="20" customFormat="1" ht="17.5" thickBot="1">
      <c r="A10" s="17" t="s">
        <v>11</v>
      </c>
      <c r="B10" s="18" t="s">
        <v>12</v>
      </c>
      <c r="C10" s="18" t="s">
        <v>13</v>
      </c>
      <c r="D10" s="18" t="s">
        <v>14</v>
      </c>
      <c r="E10" s="18" t="s">
        <v>15</v>
      </c>
      <c r="F10" s="18" t="s">
        <v>16</v>
      </c>
      <c r="G10" s="18" t="s">
        <v>17</v>
      </c>
      <c r="H10" s="19" t="s">
        <v>18</v>
      </c>
    </row>
    <row r="11" spans="1:10" s="43" customFormat="1" ht="11" thickTop="1">
      <c r="A11" s="303" t="s">
        <v>359</v>
      </c>
      <c r="B11" s="38"/>
      <c r="C11" s="39"/>
      <c r="D11" s="257" t="s">
        <v>188</v>
      </c>
      <c r="E11" s="57" t="str">
        <f>_xlfn.XLOOKUP(D11,Table13[Decription],Table13[Unit])</f>
        <v>roll</v>
      </c>
      <c r="F11" s="336">
        <v>10</v>
      </c>
      <c r="G11" s="57">
        <f>_xlfn.XLOOKUP(D11,Table13[Decription],Table13[Unit Cost])</f>
        <v>22.27</v>
      </c>
      <c r="H11" s="59">
        <f>G11*F11</f>
        <v>222.7</v>
      </c>
      <c r="J11" s="346"/>
    </row>
    <row r="12" spans="1:10" s="43" customFormat="1" ht="10.5">
      <c r="A12" s="303" t="s">
        <v>359</v>
      </c>
      <c r="B12" s="38"/>
      <c r="C12" s="39"/>
      <c r="D12" s="70" t="s">
        <v>190</v>
      </c>
      <c r="E12" s="57" t="str">
        <f>_xlfn.XLOOKUP(D12,Table13[Decription],Table13[Unit])</f>
        <v>roll</v>
      </c>
      <c r="F12" s="336">
        <v>10</v>
      </c>
      <c r="G12" s="57">
        <f>_xlfn.XLOOKUP(D12,Table13[Decription],Table13[Unit Cost])</f>
        <v>23.84</v>
      </c>
      <c r="H12" s="59">
        <f t="shared" ref="H12:H65" si="0">G12*F12</f>
        <v>238.4</v>
      </c>
      <c r="J12" s="347"/>
    </row>
    <row r="13" spans="1:10" s="43" customFormat="1" ht="10.5">
      <c r="A13" s="303" t="s">
        <v>359</v>
      </c>
      <c r="B13" s="38"/>
      <c r="C13" s="39"/>
      <c r="D13" s="257" t="s">
        <v>183</v>
      </c>
      <c r="E13" s="57" t="str">
        <f>_xlfn.XLOOKUP(D13,Table13[Decription],Table13[Unit])</f>
        <v>pack</v>
      </c>
      <c r="F13" s="336">
        <v>4</v>
      </c>
      <c r="G13" s="57">
        <f>_xlfn.XLOOKUP(D13,Table13[Decription],Table13[Unit Cost])</f>
        <v>24.93</v>
      </c>
      <c r="H13" s="59">
        <f t="shared" si="0"/>
        <v>99.72</v>
      </c>
      <c r="J13" s="346"/>
    </row>
    <row r="14" spans="1:10" s="43" customFormat="1" ht="10.5">
      <c r="A14" s="303" t="s">
        <v>359</v>
      </c>
      <c r="B14" s="38"/>
      <c r="C14" s="39"/>
      <c r="D14" s="257" t="s">
        <v>180</v>
      </c>
      <c r="E14" s="57" t="str">
        <f>_xlfn.XLOOKUP(D14,Table13[Decription],Table13[Unit])</f>
        <v>piece</v>
      </c>
      <c r="F14" s="336">
        <v>5</v>
      </c>
      <c r="G14" s="57">
        <f>_xlfn.XLOOKUP(D14,Table13[Decription],Table13[Unit Cost])</f>
        <v>18.53</v>
      </c>
      <c r="H14" s="59">
        <f t="shared" si="0"/>
        <v>92.65</v>
      </c>
      <c r="J14" s="347"/>
    </row>
    <row r="15" spans="1:10" s="43" customFormat="1" ht="21">
      <c r="A15" s="303" t="s">
        <v>359</v>
      </c>
      <c r="B15" s="38"/>
      <c r="C15" s="39"/>
      <c r="D15" s="257" t="s">
        <v>73</v>
      </c>
      <c r="E15" s="258" t="str">
        <f>_xlfn.XLOOKUP(D15,Table13[Decription],Table13[Unit])</f>
        <v>pack</v>
      </c>
      <c r="F15" s="337">
        <v>5</v>
      </c>
      <c r="G15" s="258">
        <f>_xlfn.XLOOKUP(D15,Table13[Decription],Table13[Unit Cost])</f>
        <v>25</v>
      </c>
      <c r="H15" s="385">
        <f t="shared" si="0"/>
        <v>125</v>
      </c>
      <c r="J15" s="346"/>
    </row>
    <row r="16" spans="1:10" s="43" customFormat="1" ht="10.5">
      <c r="A16" s="303" t="s">
        <v>363</v>
      </c>
      <c r="B16" s="38"/>
      <c r="C16" s="39"/>
      <c r="D16" s="70" t="s">
        <v>71</v>
      </c>
      <c r="E16" s="57" t="str">
        <f>_xlfn.XLOOKUP(D16,Table13[Decription],Table13[Unit])</f>
        <v>roll</v>
      </c>
      <c r="F16" s="337">
        <v>1</v>
      </c>
      <c r="G16" s="57">
        <f>_xlfn.XLOOKUP(D16,Table13[Decription],Table13[Unit Cost])</f>
        <v>28.75</v>
      </c>
      <c r="H16" s="59">
        <f t="shared" si="0"/>
        <v>28.75</v>
      </c>
      <c r="J16" s="347"/>
    </row>
    <row r="17" spans="1:10" s="43" customFormat="1" ht="10.5">
      <c r="A17" s="303" t="s">
        <v>363</v>
      </c>
      <c r="B17" s="38"/>
      <c r="C17" s="39"/>
      <c r="D17" s="339" t="s">
        <v>180</v>
      </c>
      <c r="E17" s="57" t="str">
        <f>_xlfn.XLOOKUP(D17,Table13[Decription],Table13[Unit])</f>
        <v>piece</v>
      </c>
      <c r="F17" s="337">
        <v>5</v>
      </c>
      <c r="G17" s="57">
        <f>_xlfn.XLOOKUP(D17,Table13[Decription],Table13[Unit Cost])</f>
        <v>18.53</v>
      </c>
      <c r="H17" s="59">
        <f t="shared" si="0"/>
        <v>92.65</v>
      </c>
      <c r="J17" s="346"/>
    </row>
    <row r="18" spans="1:10" s="43" customFormat="1" ht="9.65" customHeight="1">
      <c r="A18" s="303" t="s">
        <v>365</v>
      </c>
      <c r="B18" s="38"/>
      <c r="C18" s="39"/>
      <c r="D18" s="70" t="s">
        <v>190</v>
      </c>
      <c r="E18" s="57" t="str">
        <f>_xlfn.XLOOKUP(D18,Table13[Decription],Table13[Unit])</f>
        <v>roll</v>
      </c>
      <c r="F18" s="337">
        <v>14</v>
      </c>
      <c r="G18" s="57">
        <f>_xlfn.XLOOKUP(D18,Table13[Decription],Table13[Unit Cost])</f>
        <v>23.84</v>
      </c>
      <c r="H18" s="59">
        <f t="shared" si="0"/>
        <v>333.76</v>
      </c>
      <c r="J18" s="347"/>
    </row>
    <row r="19" spans="1:10" s="43" customFormat="1" ht="9.65" customHeight="1">
      <c r="A19" s="303" t="s">
        <v>365</v>
      </c>
      <c r="B19" s="38"/>
      <c r="C19" s="39"/>
      <c r="D19" s="70" t="s">
        <v>166</v>
      </c>
      <c r="E19" s="57" t="str">
        <f>_xlfn.XLOOKUP(D19,Table13[Decription],Table13[Unit])</f>
        <v>can</v>
      </c>
      <c r="F19" s="337">
        <v>1</v>
      </c>
      <c r="G19" s="57">
        <f>_xlfn.XLOOKUP(D19,Table13[Decription],Table13[Unit Cost])</f>
        <v>572.76</v>
      </c>
      <c r="H19" s="59">
        <f t="shared" si="0"/>
        <v>572.76</v>
      </c>
      <c r="J19" s="346"/>
    </row>
    <row r="20" spans="1:10" s="43" customFormat="1" ht="9.65" customHeight="1">
      <c r="A20" s="303" t="s">
        <v>365</v>
      </c>
      <c r="B20" s="38"/>
      <c r="C20" s="39"/>
      <c r="D20" s="257" t="s">
        <v>71</v>
      </c>
      <c r="E20" s="57" t="str">
        <f>_xlfn.XLOOKUP(D20,Table13[Decription],Table13[Unit])</f>
        <v>roll</v>
      </c>
      <c r="F20" s="336">
        <v>2</v>
      </c>
      <c r="G20" s="57">
        <f>_xlfn.XLOOKUP(D20,Table13[Decription],Table13[Unit Cost])</f>
        <v>28.75</v>
      </c>
      <c r="H20" s="59">
        <f t="shared" si="0"/>
        <v>57.5</v>
      </c>
      <c r="J20" s="347"/>
    </row>
    <row r="21" spans="1:10" s="43" customFormat="1" ht="9.65" customHeight="1">
      <c r="A21" s="303" t="s">
        <v>365</v>
      </c>
      <c r="B21" s="38"/>
      <c r="C21" s="39"/>
      <c r="D21" s="257" t="s">
        <v>175</v>
      </c>
      <c r="E21" s="57" t="str">
        <f>_xlfn.XLOOKUP(D21,Table13[Decription],Table13[Unit])</f>
        <v>can</v>
      </c>
      <c r="F21" s="336">
        <v>1</v>
      </c>
      <c r="G21" s="57">
        <f>_xlfn.XLOOKUP(D21,Table13[Decription],Table13[Unit Cost])</f>
        <v>165</v>
      </c>
      <c r="H21" s="59">
        <f t="shared" si="0"/>
        <v>165</v>
      </c>
      <c r="J21" s="346"/>
    </row>
    <row r="22" spans="1:10" s="43" customFormat="1" ht="9.65" customHeight="1">
      <c r="A22" s="303" t="s">
        <v>365</v>
      </c>
      <c r="B22" s="38"/>
      <c r="C22" s="39"/>
      <c r="D22" s="70" t="s">
        <v>168</v>
      </c>
      <c r="E22" s="57" t="str">
        <f>_xlfn.XLOOKUP(D22,Table13[Decription],Table13[Unit])</f>
        <v>piece</v>
      </c>
      <c r="F22" s="336">
        <v>1</v>
      </c>
      <c r="G22" s="57">
        <f>_xlfn.XLOOKUP(D22,Table13[Decription],Table13[Unit Cost])</f>
        <v>32</v>
      </c>
      <c r="H22" s="59">
        <f t="shared" si="0"/>
        <v>32</v>
      </c>
      <c r="J22" s="347"/>
    </row>
    <row r="23" spans="1:10" s="43" customFormat="1" ht="9.65" customHeight="1">
      <c r="A23" s="303" t="s">
        <v>365</v>
      </c>
      <c r="B23" s="38" t="s">
        <v>2</v>
      </c>
      <c r="C23" s="39"/>
      <c r="D23" s="70" t="s">
        <v>180</v>
      </c>
      <c r="E23" s="57" t="str">
        <f>_xlfn.XLOOKUP(D23,Table13[Decription],Table13[Unit])</f>
        <v>piece</v>
      </c>
      <c r="F23" s="336">
        <v>3</v>
      </c>
      <c r="G23" s="57">
        <f>_xlfn.XLOOKUP(D23,Table13[Decription],Table13[Unit Cost])</f>
        <v>18.53</v>
      </c>
      <c r="H23" s="59">
        <f t="shared" si="0"/>
        <v>55.59</v>
      </c>
      <c r="J23" s="346"/>
    </row>
    <row r="24" spans="1:10" s="43" customFormat="1" ht="10" customHeight="1">
      <c r="A24" s="303" t="s">
        <v>365</v>
      </c>
      <c r="B24" s="38"/>
      <c r="C24" s="39"/>
      <c r="D24" s="257" t="s">
        <v>188</v>
      </c>
      <c r="E24" s="57" t="str">
        <f>_xlfn.XLOOKUP(D24,Table13[Decription],Table13[Unit])</f>
        <v>roll</v>
      </c>
      <c r="F24" s="336">
        <v>15</v>
      </c>
      <c r="G24" s="57">
        <f>_xlfn.XLOOKUP(D24,Table13[Decription],Table13[Unit Cost])</f>
        <v>22.27</v>
      </c>
      <c r="H24" s="59">
        <f t="shared" si="0"/>
        <v>334.05</v>
      </c>
      <c r="J24" s="347"/>
    </row>
    <row r="25" spans="1:10" s="43" customFormat="1" ht="10.5">
      <c r="A25" s="303" t="s">
        <v>365</v>
      </c>
      <c r="B25" s="38"/>
      <c r="C25" s="39"/>
      <c r="D25" s="257" t="s">
        <v>183</v>
      </c>
      <c r="E25" s="57" t="str">
        <f>_xlfn.XLOOKUP(D25,Table13[Decription],Table13[Unit])</f>
        <v>pack</v>
      </c>
      <c r="F25" s="336">
        <v>4</v>
      </c>
      <c r="G25" s="57">
        <f>_xlfn.XLOOKUP(D25,Table13[Decription],Table13[Unit Cost])</f>
        <v>24.93</v>
      </c>
      <c r="H25" s="59">
        <f t="shared" si="0"/>
        <v>99.72</v>
      </c>
      <c r="J25" s="346"/>
    </row>
    <row r="26" spans="1:10" s="43" customFormat="1" ht="10.5">
      <c r="A26" s="303" t="s">
        <v>365</v>
      </c>
      <c r="B26" s="38"/>
      <c r="C26" s="39"/>
      <c r="D26" s="70" t="s">
        <v>168</v>
      </c>
      <c r="E26" s="57" t="str">
        <f>_xlfn.XLOOKUP(D26,Table13[Decription],Table13[Unit])</f>
        <v>piece</v>
      </c>
      <c r="F26" s="337">
        <v>2</v>
      </c>
      <c r="G26" s="57">
        <f>_xlfn.XLOOKUP(D26,Table13[Decription],Table13[Unit Cost])</f>
        <v>32</v>
      </c>
      <c r="H26" s="59">
        <f t="shared" ref="H26:H27" si="1">G26*F26</f>
        <v>64</v>
      </c>
      <c r="J26" s="347"/>
    </row>
    <row r="27" spans="1:10" s="43" customFormat="1" ht="10.5">
      <c r="A27" s="303" t="s">
        <v>367</v>
      </c>
      <c r="B27" s="38"/>
      <c r="C27" s="39"/>
      <c r="D27" s="257" t="s">
        <v>71</v>
      </c>
      <c r="E27" s="57" t="str">
        <f>_xlfn.XLOOKUP(D27,Table13[Decription],Table13[Unit])</f>
        <v>roll</v>
      </c>
      <c r="F27" s="336">
        <v>1</v>
      </c>
      <c r="G27" s="57">
        <f>_xlfn.XLOOKUP(D27,Table13[Decription],Table13[Unit Cost])</f>
        <v>28.75</v>
      </c>
      <c r="H27" s="59">
        <f t="shared" si="1"/>
        <v>28.75</v>
      </c>
      <c r="J27" s="347"/>
    </row>
    <row r="28" spans="1:10" s="43" customFormat="1" ht="10.5">
      <c r="A28" s="303" t="s">
        <v>369</v>
      </c>
      <c r="B28" s="38"/>
      <c r="C28" s="39"/>
      <c r="D28" s="70" t="s">
        <v>74</v>
      </c>
      <c r="E28" s="57" t="str">
        <f>_xlfn.XLOOKUP(D28,Table13[Decription],Table13[Unit])</f>
        <v>pack</v>
      </c>
      <c r="F28" s="336">
        <v>2</v>
      </c>
      <c r="G28" s="57">
        <f>_xlfn.XLOOKUP(D28,Table13[Decription],Table13[Unit Cost])</f>
        <v>30</v>
      </c>
      <c r="H28" s="59">
        <f t="shared" si="0"/>
        <v>60</v>
      </c>
      <c r="J28" s="346"/>
    </row>
    <row r="29" spans="1:10" s="43" customFormat="1" ht="21">
      <c r="A29" s="303" t="s">
        <v>373</v>
      </c>
      <c r="B29" s="38"/>
      <c r="C29" s="39"/>
      <c r="D29" s="70" t="s">
        <v>73</v>
      </c>
      <c r="E29" s="258" t="str">
        <f>_xlfn.XLOOKUP(D29,Table13[Decription],Table13[Unit])</f>
        <v>pack</v>
      </c>
      <c r="F29" s="222">
        <v>7</v>
      </c>
      <c r="G29" s="258">
        <f>_xlfn.XLOOKUP(D29,Table13[Decription],Table13[Unit Cost])</f>
        <v>25</v>
      </c>
      <c r="H29" s="385">
        <f t="shared" si="0"/>
        <v>175</v>
      </c>
      <c r="J29" s="347"/>
    </row>
    <row r="30" spans="1:10" s="43" customFormat="1" ht="10.5">
      <c r="A30" s="303" t="s">
        <v>379</v>
      </c>
      <c r="B30" s="38"/>
      <c r="C30" s="39"/>
      <c r="D30" s="257" t="s">
        <v>188</v>
      </c>
      <c r="E30" s="57" t="str">
        <f>_xlfn.XLOOKUP(D30,Table13[Decription],Table13[Unit])</f>
        <v>roll</v>
      </c>
      <c r="F30" s="337">
        <v>10</v>
      </c>
      <c r="G30" s="57">
        <f>_xlfn.XLOOKUP(D30,Table13[Decription],Table13[Unit Cost])</f>
        <v>22.27</v>
      </c>
      <c r="H30" s="59">
        <f t="shared" si="0"/>
        <v>222.7</v>
      </c>
      <c r="J30" s="346"/>
    </row>
    <row r="31" spans="1:10" s="43" customFormat="1" ht="10.5">
      <c r="A31" s="303" t="s">
        <v>379</v>
      </c>
      <c r="B31" s="38"/>
      <c r="C31" s="39"/>
      <c r="D31" s="70" t="s">
        <v>190</v>
      </c>
      <c r="E31" s="57" t="str">
        <f>_xlfn.XLOOKUP(D31,Table13[Decription],Table13[Unit])</f>
        <v>roll</v>
      </c>
      <c r="F31" s="337">
        <v>10</v>
      </c>
      <c r="G31" s="57">
        <f>_xlfn.XLOOKUP(D31,Table13[Decription],Table13[Unit Cost])</f>
        <v>23.84</v>
      </c>
      <c r="H31" s="59">
        <f t="shared" si="0"/>
        <v>238.4</v>
      </c>
      <c r="J31" s="347"/>
    </row>
    <row r="32" spans="1:10" s="43" customFormat="1" ht="21">
      <c r="A32" s="303" t="s">
        <v>376</v>
      </c>
      <c r="B32" s="38"/>
      <c r="C32" s="39"/>
      <c r="D32" s="61" t="s">
        <v>73</v>
      </c>
      <c r="E32" s="258" t="str">
        <f>_xlfn.XLOOKUP(D32,Table13[Decription],Table13[Unit])</f>
        <v>pack</v>
      </c>
      <c r="F32" s="222">
        <v>5</v>
      </c>
      <c r="G32" s="258">
        <f>_xlfn.XLOOKUP(D32,Table13[Decription],Table13[Unit Cost])</f>
        <v>25</v>
      </c>
      <c r="H32" s="259">
        <f t="shared" si="0"/>
        <v>125</v>
      </c>
      <c r="J32" s="346"/>
    </row>
    <row r="33" spans="1:13" s="304" customFormat="1" ht="10.5">
      <c r="A33" s="303" t="s">
        <v>377</v>
      </c>
      <c r="B33" s="38"/>
      <c r="C33" s="39"/>
      <c r="D33" s="61" t="s">
        <v>74</v>
      </c>
      <c r="E33" s="57" t="str">
        <f>_xlfn.XLOOKUP(D33,Table13[Decription],Table13[Unit])</f>
        <v>pack</v>
      </c>
      <c r="F33" s="337">
        <v>18</v>
      </c>
      <c r="G33" s="258">
        <f>_xlfn.XLOOKUP(D33,Table13[Decription],Table13[Unit Cost])</f>
        <v>30</v>
      </c>
      <c r="H33" s="59">
        <f t="shared" si="0"/>
        <v>540</v>
      </c>
      <c r="J33" s="346"/>
    </row>
    <row r="34" spans="1:13" s="43" customFormat="1" ht="10.5">
      <c r="A34" s="303" t="s">
        <v>380</v>
      </c>
      <c r="B34" s="38"/>
      <c r="C34" s="39"/>
      <c r="D34" s="257" t="s">
        <v>188</v>
      </c>
      <c r="E34" s="57" t="str">
        <f>_xlfn.XLOOKUP(D34,Table13[Decription],Table13[Unit])</f>
        <v>roll</v>
      </c>
      <c r="F34" s="337">
        <v>10</v>
      </c>
      <c r="G34" s="57">
        <f>_xlfn.XLOOKUP(D34,Table13[Decription],Table13[Unit Cost])</f>
        <v>22.27</v>
      </c>
      <c r="H34" s="59">
        <f t="shared" si="0"/>
        <v>222.7</v>
      </c>
      <c r="J34" s="347"/>
    </row>
    <row r="35" spans="1:13" s="43" customFormat="1" ht="10.5">
      <c r="A35" s="303" t="s">
        <v>380</v>
      </c>
      <c r="B35" s="38"/>
      <c r="C35" s="39"/>
      <c r="D35" s="70" t="s">
        <v>190</v>
      </c>
      <c r="E35" s="57" t="str">
        <f>_xlfn.XLOOKUP(D35,Table13[Decription],Table13[Unit])</f>
        <v>roll</v>
      </c>
      <c r="F35" s="337">
        <v>10</v>
      </c>
      <c r="G35" s="57">
        <f>_xlfn.XLOOKUP(D35,Table13[Decription],Table13[Unit Cost])</f>
        <v>23.84</v>
      </c>
      <c r="H35" s="59">
        <f t="shared" si="0"/>
        <v>238.4</v>
      </c>
      <c r="J35" s="346"/>
    </row>
    <row r="36" spans="1:13" s="43" customFormat="1" ht="10.5">
      <c r="A36" s="303" t="s">
        <v>378</v>
      </c>
      <c r="B36" s="38"/>
      <c r="C36" s="39"/>
      <c r="D36" s="257" t="s">
        <v>71</v>
      </c>
      <c r="E36" s="57" t="str">
        <f>_xlfn.XLOOKUP(D36,Table13[Decription],Table13[Unit])</f>
        <v>roll</v>
      </c>
      <c r="F36" s="337">
        <v>6</v>
      </c>
      <c r="G36" s="57">
        <f>_xlfn.XLOOKUP(D36,Table13[Decription],Table13[Unit Cost])</f>
        <v>28.75</v>
      </c>
      <c r="H36" s="59">
        <f t="shared" si="0"/>
        <v>172.5</v>
      </c>
      <c r="J36" s="347"/>
    </row>
    <row r="37" spans="1:13" s="43" customFormat="1" ht="9.65" customHeight="1">
      <c r="A37" s="303" t="s">
        <v>378</v>
      </c>
      <c r="B37" s="38"/>
      <c r="C37" s="39"/>
      <c r="D37" s="257" t="s">
        <v>72</v>
      </c>
      <c r="E37" s="57" t="str">
        <f>_xlfn.XLOOKUP(D37,Table13[Decription],Table13[Unit])</f>
        <v>pack</v>
      </c>
      <c r="F37" s="337">
        <v>3</v>
      </c>
      <c r="G37" s="57">
        <f>_xlfn.XLOOKUP(D37,Table13[Decription],Table13[Unit Cost])</f>
        <v>383.93</v>
      </c>
      <c r="H37" s="59">
        <f t="shared" si="0"/>
        <v>1151.79</v>
      </c>
      <c r="J37" s="346"/>
      <c r="K37" s="58"/>
      <c r="L37" s="58"/>
      <c r="M37" s="58"/>
    </row>
    <row r="38" spans="1:13" s="43" customFormat="1" ht="9.65" customHeight="1">
      <c r="A38" s="303" t="s">
        <v>378</v>
      </c>
      <c r="B38" s="38"/>
      <c r="C38" s="39"/>
      <c r="D38" s="257" t="s">
        <v>184</v>
      </c>
      <c r="E38" s="57" t="str">
        <f>_xlfn.XLOOKUP(D38,Table13[Decription],Table13[Unit])</f>
        <v>piece</v>
      </c>
      <c r="F38" s="337">
        <v>2</v>
      </c>
      <c r="G38" s="57">
        <f>_xlfn.XLOOKUP(D38,Table13[Decription],Table13[Unit Cost])</f>
        <v>2.8250149200000001</v>
      </c>
      <c r="H38" s="59">
        <f t="shared" ref="H38" si="2">G38*F38</f>
        <v>5.6500298400000002</v>
      </c>
      <c r="J38" s="346"/>
      <c r="K38" s="58"/>
      <c r="L38" s="58"/>
      <c r="M38" s="58"/>
    </row>
    <row r="39" spans="1:13" s="43" customFormat="1" ht="9.65" customHeight="1">
      <c r="A39" s="303" t="s">
        <v>386</v>
      </c>
      <c r="B39" s="38"/>
      <c r="C39" s="39"/>
      <c r="D39" s="70" t="s">
        <v>190</v>
      </c>
      <c r="E39" s="57" t="str">
        <f>_xlfn.XLOOKUP(D39,Table13[Decription],Table13[Unit])</f>
        <v>roll</v>
      </c>
      <c r="F39" s="336">
        <v>10</v>
      </c>
      <c r="G39" s="57">
        <f>_xlfn.XLOOKUP(D39,Table13[Decription],Table13[Unit Cost])</f>
        <v>23.84</v>
      </c>
      <c r="H39" s="59">
        <f t="shared" si="0"/>
        <v>238.4</v>
      </c>
      <c r="J39" s="347"/>
      <c r="K39" s="58"/>
      <c r="L39" s="58"/>
      <c r="M39" s="58"/>
    </row>
    <row r="40" spans="1:13" s="43" customFormat="1" ht="9.65" customHeight="1">
      <c r="A40" s="303" t="s">
        <v>381</v>
      </c>
      <c r="B40" s="38"/>
      <c r="C40" s="39"/>
      <c r="D40" s="257" t="s">
        <v>188</v>
      </c>
      <c r="E40" s="57" t="str">
        <f>_xlfn.XLOOKUP(D40,Table13[Decription],Table13[Unit])</f>
        <v>roll</v>
      </c>
      <c r="F40" s="336">
        <v>20</v>
      </c>
      <c r="G40" s="57">
        <f>_xlfn.XLOOKUP(D40,Table13[Decription],Table13[Unit Cost])</f>
        <v>22.27</v>
      </c>
      <c r="H40" s="59">
        <f t="shared" ref="H40" si="3">G40*F40</f>
        <v>445.4</v>
      </c>
      <c r="J40" s="347"/>
      <c r="K40" s="58"/>
      <c r="L40" s="58"/>
      <c r="M40" s="58"/>
    </row>
    <row r="41" spans="1:13" s="43" customFormat="1" ht="10.5">
      <c r="A41" s="303" t="s">
        <v>381</v>
      </c>
      <c r="B41" s="38"/>
      <c r="C41" s="39"/>
      <c r="D41" s="70" t="s">
        <v>190</v>
      </c>
      <c r="E41" s="57" t="str">
        <f>_xlfn.XLOOKUP(D41,Table13[Decription],Table13[Unit])</f>
        <v>roll</v>
      </c>
      <c r="F41" s="336">
        <v>20</v>
      </c>
      <c r="G41" s="57">
        <f>_xlfn.XLOOKUP(D41,Table13[Decription],Table13[Unit Cost])</f>
        <v>23.84</v>
      </c>
      <c r="H41" s="59">
        <f t="shared" si="0"/>
        <v>476.8</v>
      </c>
      <c r="J41" s="346"/>
    </row>
    <row r="42" spans="1:13" s="43" customFormat="1" ht="9.65" customHeight="1">
      <c r="A42" s="303" t="s">
        <v>389</v>
      </c>
      <c r="B42" s="38"/>
      <c r="C42" s="39"/>
      <c r="D42" s="257" t="s">
        <v>184</v>
      </c>
      <c r="E42" s="57" t="str">
        <f>_xlfn.XLOOKUP(D42,Table13[Decription],Table13[Unit])</f>
        <v>piece</v>
      </c>
      <c r="F42" s="336">
        <v>4</v>
      </c>
      <c r="G42" s="57">
        <f>_xlfn.XLOOKUP(D42,Table13[Decription],Table13[Unit Cost])</f>
        <v>2.8250149200000001</v>
      </c>
      <c r="H42" s="59">
        <f t="shared" si="0"/>
        <v>11.30005968</v>
      </c>
      <c r="J42" s="347"/>
    </row>
    <row r="43" spans="1:13" s="43" customFormat="1" ht="9.65" customHeight="1">
      <c r="A43" s="303" t="s">
        <v>390</v>
      </c>
      <c r="B43" s="38"/>
      <c r="C43" s="39"/>
      <c r="D43" s="257" t="s">
        <v>188</v>
      </c>
      <c r="E43" s="57" t="str">
        <f>_xlfn.XLOOKUP(D43,Table13[Decription],Table13[Unit])</f>
        <v>roll</v>
      </c>
      <c r="F43" s="336">
        <v>10</v>
      </c>
      <c r="G43" s="57">
        <f>_xlfn.XLOOKUP(D43,Table13[Decription],Table13[Unit Cost])</f>
        <v>22.27</v>
      </c>
      <c r="H43" s="59">
        <f t="shared" si="0"/>
        <v>222.7</v>
      </c>
      <c r="J43" s="346"/>
    </row>
    <row r="44" spans="1:13" s="43" customFormat="1" ht="9.65" customHeight="1">
      <c r="A44" s="303" t="s">
        <v>390</v>
      </c>
      <c r="B44" s="38"/>
      <c r="C44" s="39"/>
      <c r="D44" s="70" t="s">
        <v>190</v>
      </c>
      <c r="E44" s="57" t="str">
        <f>_xlfn.XLOOKUP(D44,Table13[Decription],Table13[Unit])</f>
        <v>roll</v>
      </c>
      <c r="F44" s="336">
        <v>10</v>
      </c>
      <c r="G44" s="57">
        <f>_xlfn.XLOOKUP(D44,Table13[Decription],Table13[Unit Cost])</f>
        <v>23.84</v>
      </c>
      <c r="H44" s="59">
        <f t="shared" ref="H44" si="4">G44*F44</f>
        <v>238.4</v>
      </c>
      <c r="J44" s="346"/>
    </row>
    <row r="45" spans="1:13" s="36" customFormat="1" ht="10.5">
      <c r="A45" s="303" t="s">
        <v>390</v>
      </c>
      <c r="B45" s="38"/>
      <c r="C45" s="39"/>
      <c r="D45" s="70" t="s">
        <v>187</v>
      </c>
      <c r="E45" s="57" t="str">
        <f>_xlfn.XLOOKUP(D45,Table13[Decription],Table13[Unit])</f>
        <v>piece</v>
      </c>
      <c r="F45" s="336">
        <v>1</v>
      </c>
      <c r="G45" s="57">
        <f>_xlfn.XLOOKUP(D45,Table13[Decription],Table13[Unit Cost])</f>
        <v>32</v>
      </c>
      <c r="H45" s="59">
        <f t="shared" si="0"/>
        <v>32</v>
      </c>
      <c r="J45" s="347"/>
    </row>
    <row r="46" spans="1:13" s="36" customFormat="1" ht="10.5">
      <c r="A46" s="303" t="s">
        <v>393</v>
      </c>
      <c r="B46" s="38"/>
      <c r="C46" s="39"/>
      <c r="D46" s="70" t="s">
        <v>173</v>
      </c>
      <c r="E46" s="57" t="str">
        <f>_xlfn.XLOOKUP(D46,Table13[Decription],Table13[Unit])</f>
        <v>box</v>
      </c>
      <c r="F46" s="336">
        <v>2</v>
      </c>
      <c r="G46" s="57">
        <f>_xlfn.XLOOKUP(D46,Table13[Decription],Table13[Unit Cost])</f>
        <v>238</v>
      </c>
      <c r="H46" s="59">
        <f t="shared" si="0"/>
        <v>476</v>
      </c>
      <c r="J46" s="347"/>
    </row>
    <row r="47" spans="1:13" s="36" customFormat="1" ht="10.5">
      <c r="A47" s="303" t="s">
        <v>393</v>
      </c>
      <c r="B47" s="38"/>
      <c r="C47" s="39"/>
      <c r="D47" s="70" t="s">
        <v>75</v>
      </c>
      <c r="E47" s="57" t="str">
        <f>_xlfn.XLOOKUP(D47,Table13[Decription],Table13[Unit])</f>
        <v>piece</v>
      </c>
      <c r="F47" s="336">
        <v>2</v>
      </c>
      <c r="G47" s="57">
        <f>_xlfn.XLOOKUP(D47,Table13[Decription],Table13[Unit Cost])</f>
        <v>90.07</v>
      </c>
      <c r="H47" s="59">
        <f t="shared" si="0"/>
        <v>180.14</v>
      </c>
      <c r="J47" s="347"/>
    </row>
    <row r="48" spans="1:13" s="43" customFormat="1" ht="10.5">
      <c r="A48" s="303" t="s">
        <v>394</v>
      </c>
      <c r="B48" s="38"/>
      <c r="C48" s="39"/>
      <c r="D48" s="257" t="s">
        <v>71</v>
      </c>
      <c r="E48" s="57" t="str">
        <f>_xlfn.XLOOKUP(D48,Table13[Decription],Table13[Unit])</f>
        <v>roll</v>
      </c>
      <c r="F48" s="336">
        <v>2</v>
      </c>
      <c r="G48" s="57">
        <f>_xlfn.XLOOKUP(D48,Table13[Decription],Table13[Unit Cost])</f>
        <v>28.75</v>
      </c>
      <c r="H48" s="59">
        <f t="shared" si="0"/>
        <v>57.5</v>
      </c>
      <c r="J48" s="346"/>
    </row>
    <row r="49" spans="1:10" s="43" customFormat="1" ht="9.65" customHeight="1">
      <c r="A49" s="303" t="s">
        <v>396</v>
      </c>
      <c r="B49" s="38"/>
      <c r="C49" s="39"/>
      <c r="D49" s="257" t="s">
        <v>188</v>
      </c>
      <c r="E49" s="57" t="str">
        <f>_xlfn.XLOOKUP(D49,Table13[Decription],Table13[Unit])</f>
        <v>roll</v>
      </c>
      <c r="F49" s="336">
        <v>3</v>
      </c>
      <c r="G49" s="57">
        <f>_xlfn.XLOOKUP(D49,Table13[Decription],Table13[Unit Cost])</f>
        <v>22.27</v>
      </c>
      <c r="H49" s="59">
        <f t="shared" si="0"/>
        <v>66.81</v>
      </c>
      <c r="J49" s="347"/>
    </row>
    <row r="50" spans="1:10" s="43" customFormat="1" ht="9.65" customHeight="1">
      <c r="A50" s="303" t="s">
        <v>396</v>
      </c>
      <c r="B50" s="38"/>
      <c r="C50" s="39"/>
      <c r="D50" s="70" t="s">
        <v>190</v>
      </c>
      <c r="E50" s="57" t="str">
        <f>_xlfn.XLOOKUP(D50,Table13[Decription],Table13[Unit])</f>
        <v>roll</v>
      </c>
      <c r="F50" s="336">
        <v>1</v>
      </c>
      <c r="G50" s="57">
        <f>_xlfn.XLOOKUP(D50,Table13[Decription],Table13[Unit Cost])</f>
        <v>23.84</v>
      </c>
      <c r="H50" s="59">
        <f t="shared" si="0"/>
        <v>23.84</v>
      </c>
      <c r="J50" s="348"/>
    </row>
    <row r="51" spans="1:10" s="43" customFormat="1" ht="9.65" customHeight="1">
      <c r="A51" s="303" t="s">
        <v>396</v>
      </c>
      <c r="B51" s="38"/>
      <c r="C51" s="39"/>
      <c r="D51" s="257" t="s">
        <v>184</v>
      </c>
      <c r="E51" s="57" t="str">
        <f>_xlfn.XLOOKUP(D51,Table13[Decription],Table13[Unit])</f>
        <v>piece</v>
      </c>
      <c r="F51" s="336">
        <v>3</v>
      </c>
      <c r="G51" s="57">
        <f>_xlfn.XLOOKUP(D51,Table13[Decription],Table13[Unit Cost])</f>
        <v>2.8250149200000001</v>
      </c>
      <c r="H51" s="59">
        <f t="shared" ref="H51" si="5">G51*F51</f>
        <v>8.4750447599999994</v>
      </c>
      <c r="J51" s="348"/>
    </row>
    <row r="52" spans="1:10" s="43" customFormat="1" ht="9.5" customHeight="1">
      <c r="A52" s="417" t="s">
        <v>26</v>
      </c>
      <c r="B52" s="418"/>
      <c r="C52" s="418"/>
      <c r="D52" s="418"/>
      <c r="E52" s="418"/>
      <c r="F52" s="418"/>
      <c r="G52" s="418"/>
      <c r="H52" s="419"/>
    </row>
    <row r="53" spans="1:10" s="43" customFormat="1" ht="9.65" customHeight="1">
      <c r="A53" s="303"/>
      <c r="B53" s="38"/>
      <c r="C53" s="39"/>
      <c r="D53" s="257"/>
      <c r="E53" s="57">
        <f>_xlfn.XLOOKUP(D53,Table13[Decription],Table13[Unit])</f>
        <v>0</v>
      </c>
      <c r="F53" s="336"/>
      <c r="G53" s="57">
        <f>_xlfn.XLOOKUP(D53,Table13[Decription],Table13[Unit Cost])</f>
        <v>0</v>
      </c>
      <c r="H53" s="59">
        <f t="shared" si="0"/>
        <v>0</v>
      </c>
      <c r="J53" s="347"/>
    </row>
    <row r="54" spans="1:10" s="43" customFormat="1" ht="9.65" customHeight="1">
      <c r="A54" s="303"/>
      <c r="B54" s="38"/>
      <c r="C54" s="39"/>
      <c r="D54" s="257"/>
      <c r="E54" s="57">
        <f>_xlfn.XLOOKUP(D54,Table13[Decription],Table13[Unit])</f>
        <v>0</v>
      </c>
      <c r="F54" s="336"/>
      <c r="G54" s="57">
        <f>_xlfn.XLOOKUP(D54,Table13[Decription],Table13[Unit Cost])</f>
        <v>0</v>
      </c>
      <c r="H54" s="59">
        <f t="shared" si="0"/>
        <v>0</v>
      </c>
      <c r="J54" s="346"/>
    </row>
    <row r="55" spans="1:10" s="43" customFormat="1" ht="9.65" customHeight="1">
      <c r="A55" s="303"/>
      <c r="B55" s="38"/>
      <c r="C55" s="39"/>
      <c r="D55" s="70"/>
      <c r="E55" s="57">
        <f>_xlfn.XLOOKUP(D55,Table13[Decription],Table13[Unit])</f>
        <v>0</v>
      </c>
      <c r="F55" s="336"/>
      <c r="G55" s="57">
        <f>_xlfn.XLOOKUP(D55,Table13[Decription],Table13[Unit Cost])</f>
        <v>0</v>
      </c>
      <c r="H55" s="59">
        <f t="shared" si="0"/>
        <v>0</v>
      </c>
      <c r="J55" s="347"/>
    </row>
    <row r="56" spans="1:10" s="43" customFormat="1" ht="9.65" customHeight="1">
      <c r="A56" s="303"/>
      <c r="B56" s="38"/>
      <c r="C56" s="39"/>
      <c r="D56" s="257"/>
      <c r="E56" s="57">
        <f>_xlfn.XLOOKUP(D56,Table13[Decription],Table13[Unit])</f>
        <v>0</v>
      </c>
      <c r="F56" s="336"/>
      <c r="G56" s="57">
        <f>_xlfn.XLOOKUP(D56,Table13[Decription],Table13[Unit Cost])</f>
        <v>0</v>
      </c>
      <c r="H56" s="59">
        <f t="shared" si="0"/>
        <v>0</v>
      </c>
      <c r="J56" s="349"/>
    </row>
    <row r="57" spans="1:10" s="43" customFormat="1" ht="9.65" customHeight="1">
      <c r="A57" s="303"/>
      <c r="B57" s="38"/>
      <c r="C57" s="39"/>
      <c r="D57" s="70"/>
      <c r="E57" s="57">
        <f>_xlfn.XLOOKUP(D57,Table13[Decription],Table13[Unit])</f>
        <v>0</v>
      </c>
      <c r="F57" s="336"/>
      <c r="G57" s="57">
        <f>_xlfn.XLOOKUP(D57,Table13[Decription],Table13[Unit Cost])</f>
        <v>0</v>
      </c>
      <c r="H57" s="59">
        <f t="shared" si="0"/>
        <v>0</v>
      </c>
    </row>
    <row r="58" spans="1:10" s="43" customFormat="1" ht="9.65" customHeight="1">
      <c r="A58" s="303"/>
      <c r="B58" s="38"/>
      <c r="C58" s="39"/>
      <c r="D58" s="257"/>
      <c r="E58" s="57">
        <f>_xlfn.XLOOKUP(D58,Table13[Decription],Table13[Unit])</f>
        <v>0</v>
      </c>
      <c r="F58" s="336"/>
      <c r="G58" s="57">
        <f>_xlfn.XLOOKUP(D58,Table13[Decription],Table13[Unit Cost])</f>
        <v>0</v>
      </c>
      <c r="H58" s="59">
        <f t="shared" si="0"/>
        <v>0</v>
      </c>
    </row>
    <row r="59" spans="1:10" s="43" customFormat="1" ht="9.65" customHeight="1">
      <c r="A59" s="303"/>
      <c r="B59" s="38"/>
      <c r="C59" s="39"/>
      <c r="D59" s="257"/>
      <c r="E59" s="57">
        <f>_xlfn.XLOOKUP(D59,Table13[Decription],Table13[Unit])</f>
        <v>0</v>
      </c>
      <c r="F59" s="336"/>
      <c r="G59" s="57">
        <f>_xlfn.XLOOKUP(D59,Table13[Decription],Table13[Unit Cost])</f>
        <v>0</v>
      </c>
      <c r="H59" s="59">
        <f t="shared" si="0"/>
        <v>0</v>
      </c>
    </row>
    <row r="60" spans="1:10" s="43" customFormat="1" ht="9.65" customHeight="1">
      <c r="A60" s="303"/>
      <c r="B60" s="38"/>
      <c r="C60" s="39"/>
      <c r="D60" s="257"/>
      <c r="E60" s="57">
        <f>_xlfn.XLOOKUP(D60,Table13[Decription],Table13[Unit])</f>
        <v>0</v>
      </c>
      <c r="F60" s="336"/>
      <c r="G60" s="57">
        <f>_xlfn.XLOOKUP(D60,Table13[Decription],Table13[Unit Cost])</f>
        <v>0</v>
      </c>
      <c r="H60" s="59">
        <f t="shared" si="0"/>
        <v>0</v>
      </c>
    </row>
    <row r="61" spans="1:10" s="43" customFormat="1" ht="9.65" customHeight="1">
      <c r="A61" s="303"/>
      <c r="B61" s="38"/>
      <c r="C61" s="39"/>
      <c r="D61" s="70"/>
      <c r="E61" s="57">
        <f>_xlfn.XLOOKUP(D61,Table13[Decription],Table13[Unit])</f>
        <v>0</v>
      </c>
      <c r="F61" s="336"/>
      <c r="G61" s="57">
        <f>_xlfn.XLOOKUP(D61,Table13[Decription],Table13[Unit Cost])</f>
        <v>0</v>
      </c>
      <c r="H61" s="59">
        <f t="shared" si="0"/>
        <v>0</v>
      </c>
    </row>
    <row r="62" spans="1:10" s="43" customFormat="1" ht="9.65" customHeight="1">
      <c r="A62" s="303"/>
      <c r="B62" s="38"/>
      <c r="C62" s="39"/>
      <c r="D62" s="257"/>
      <c r="E62" s="57">
        <f>_xlfn.XLOOKUP(D62,Table13[Decription],Table13[Unit])</f>
        <v>0</v>
      </c>
      <c r="F62" s="338"/>
      <c r="G62" s="57">
        <f>_xlfn.XLOOKUP(D62,Table13[Decription],Table13[Unit Cost])</f>
        <v>0</v>
      </c>
      <c r="H62" s="59">
        <f t="shared" si="0"/>
        <v>0</v>
      </c>
    </row>
    <row r="63" spans="1:10" s="43" customFormat="1" ht="9.65" customHeight="1">
      <c r="A63" s="303"/>
      <c r="B63" s="38"/>
      <c r="C63" s="39"/>
      <c r="D63" s="257"/>
      <c r="E63" s="57">
        <f>_xlfn.XLOOKUP(D63,Table13[Decription],Table13[Unit])</f>
        <v>0</v>
      </c>
      <c r="F63" s="336"/>
      <c r="G63" s="57">
        <f>_xlfn.XLOOKUP(D63,Table13[Decription],Table13[Unit Cost])</f>
        <v>0</v>
      </c>
      <c r="H63" s="59">
        <f t="shared" si="0"/>
        <v>0</v>
      </c>
    </row>
    <row r="64" spans="1:10" s="43" customFormat="1" ht="9.65" customHeight="1">
      <c r="A64" s="303"/>
      <c r="B64" s="38"/>
      <c r="C64" s="39"/>
      <c r="D64" s="257"/>
      <c r="E64" s="57">
        <f>_xlfn.XLOOKUP(D64,Table13[Decription],Table13[Unit])</f>
        <v>0</v>
      </c>
      <c r="F64" s="336"/>
      <c r="G64" s="57">
        <f>_xlfn.XLOOKUP(D64,Table13[Decription],Table13[Unit Cost])</f>
        <v>0</v>
      </c>
      <c r="H64" s="59">
        <f t="shared" si="0"/>
        <v>0</v>
      </c>
    </row>
    <row r="65" spans="1:13" s="43" customFormat="1" ht="9.65" customHeight="1">
      <c r="A65" s="303"/>
      <c r="B65" s="38"/>
      <c r="C65" s="39"/>
      <c r="D65" s="257"/>
      <c r="E65" s="57">
        <f>_xlfn.XLOOKUP(D65,Table13[Decription],Table13[Unit])</f>
        <v>0</v>
      </c>
      <c r="F65" s="336"/>
      <c r="G65" s="57">
        <f>_xlfn.XLOOKUP(D65,Table13[Decription],Table13[Unit Cost])</f>
        <v>0</v>
      </c>
      <c r="H65" s="59">
        <f t="shared" si="0"/>
        <v>0</v>
      </c>
    </row>
    <row r="66" spans="1:13" s="43" customFormat="1" ht="9.65" customHeight="1">
      <c r="A66" s="303"/>
      <c r="B66" s="38"/>
      <c r="C66" s="39"/>
      <c r="D66" s="257"/>
      <c r="E66" s="57">
        <f>_xlfn.XLOOKUP(D66,Table13[Decription],Table13[Unit])</f>
        <v>0</v>
      </c>
      <c r="F66" s="336"/>
      <c r="G66" s="57">
        <f>_xlfn.XLOOKUP(D66,Table13[Decription],Table13[Unit Cost])</f>
        <v>0</v>
      </c>
      <c r="H66" s="59">
        <f t="shared" ref="H66:H77" si="6">G66*F66</f>
        <v>0</v>
      </c>
    </row>
    <row r="67" spans="1:13" s="43" customFormat="1" ht="9.65" customHeight="1">
      <c r="A67" s="303"/>
      <c r="B67" s="38"/>
      <c r="C67" s="39"/>
      <c r="D67" s="61"/>
      <c r="E67" s="57">
        <f>_xlfn.XLOOKUP(D67,Table13[Decription],Table13[Unit])</f>
        <v>0</v>
      </c>
      <c r="F67" s="336"/>
      <c r="G67" s="57">
        <f>_xlfn.XLOOKUP(D67,Table13[Decription],Table13[Unit Cost])</f>
        <v>0</v>
      </c>
      <c r="H67" s="59">
        <f t="shared" si="6"/>
        <v>0</v>
      </c>
    </row>
    <row r="68" spans="1:13" s="43" customFormat="1" ht="9.65" customHeight="1">
      <c r="A68" s="303"/>
      <c r="B68" s="39"/>
      <c r="C68" s="39"/>
      <c r="D68" s="257"/>
      <c r="E68" s="57">
        <f>_xlfn.XLOOKUP(D68,Table13[Decription],Table13[Unit])</f>
        <v>0</v>
      </c>
      <c r="F68" s="336"/>
      <c r="G68" s="57">
        <f>_xlfn.XLOOKUP(D68,Table13[Decription],Table13[Unit Cost])</f>
        <v>0</v>
      </c>
      <c r="H68" s="59">
        <f t="shared" si="6"/>
        <v>0</v>
      </c>
    </row>
    <row r="69" spans="1:13" s="43" customFormat="1" ht="9.65" customHeight="1">
      <c r="A69" s="56"/>
      <c r="B69" s="38"/>
      <c r="C69" s="39"/>
      <c r="D69" s="61"/>
      <c r="E69" s="57">
        <f>_xlfn.XLOOKUP(D69,Table13[Decription],Table13[Unit])</f>
        <v>0</v>
      </c>
      <c r="F69" s="336"/>
      <c r="G69" s="57">
        <f>_xlfn.XLOOKUP(D69,Table13[Decription],Table13[Unit Cost])</f>
        <v>0</v>
      </c>
      <c r="H69" s="59">
        <f t="shared" si="6"/>
        <v>0</v>
      </c>
    </row>
    <row r="70" spans="1:13" s="43" customFormat="1" ht="9.65" customHeight="1">
      <c r="A70" s="56"/>
      <c r="B70" s="38"/>
      <c r="C70" s="39"/>
      <c r="D70" s="61"/>
      <c r="E70" s="57">
        <f>_xlfn.XLOOKUP(D70,Table13[Decription],Table13[Unit])</f>
        <v>0</v>
      </c>
      <c r="F70" s="336"/>
      <c r="G70" s="57">
        <f>_xlfn.XLOOKUP(D70,Table13[Decription],Table13[Unit Cost])</f>
        <v>0</v>
      </c>
      <c r="H70" s="59">
        <f t="shared" si="6"/>
        <v>0</v>
      </c>
    </row>
    <row r="71" spans="1:13" s="43" customFormat="1" ht="9.65" customHeight="1">
      <c r="A71" s="56"/>
      <c r="B71" s="38"/>
      <c r="C71" s="39"/>
      <c r="D71" s="70"/>
      <c r="E71" s="57">
        <f>_xlfn.XLOOKUP(D71,Table13[Decription],Table13[Unit])</f>
        <v>0</v>
      </c>
      <c r="F71" s="336"/>
      <c r="G71" s="57">
        <f>_xlfn.XLOOKUP(D71,Table13[Decription],Table13[Unit Cost])</f>
        <v>0</v>
      </c>
      <c r="H71" s="59">
        <f t="shared" si="6"/>
        <v>0</v>
      </c>
    </row>
    <row r="72" spans="1:13" s="304" customFormat="1" ht="9.65" customHeight="1">
      <c r="A72" s="305"/>
      <c r="B72" s="38"/>
      <c r="C72" s="39"/>
      <c r="D72" s="61"/>
      <c r="E72" s="57">
        <f>_xlfn.XLOOKUP(D72,Table13[Decription],Table13[Unit])</f>
        <v>0</v>
      </c>
      <c r="F72" s="336"/>
      <c r="G72" s="57">
        <f>_xlfn.XLOOKUP(D72,Table13[Decription],Table13[Unit Cost])</f>
        <v>0</v>
      </c>
      <c r="H72" s="59">
        <f t="shared" si="6"/>
        <v>0</v>
      </c>
    </row>
    <row r="73" spans="1:13" s="304" customFormat="1" ht="9.65" customHeight="1">
      <c r="A73" s="305"/>
      <c r="B73" s="38"/>
      <c r="C73" s="39"/>
      <c r="D73" s="61"/>
      <c r="E73" s="57">
        <f>_xlfn.XLOOKUP(D73,Table13[Decription],Table13[Unit])</f>
        <v>0</v>
      </c>
      <c r="F73" s="336"/>
      <c r="G73" s="57">
        <f>_xlfn.XLOOKUP(D73,Table13[Decription],Table13[Unit Cost])</f>
        <v>0</v>
      </c>
      <c r="H73" s="59">
        <f t="shared" si="6"/>
        <v>0</v>
      </c>
    </row>
    <row r="74" spans="1:13" s="43" customFormat="1" ht="9.65" customHeight="1">
      <c r="A74" s="56"/>
      <c r="B74" s="38"/>
      <c r="C74" s="39"/>
      <c r="D74" s="61"/>
      <c r="E74" s="57">
        <f>_xlfn.XLOOKUP(D74,Table13[Decription],Table13[Unit])</f>
        <v>0</v>
      </c>
      <c r="F74" s="336"/>
      <c r="G74" s="57">
        <f>_xlfn.XLOOKUP(D74,Table13[Decription],Table13[Unit Cost])</f>
        <v>0</v>
      </c>
      <c r="H74" s="59">
        <f t="shared" si="6"/>
        <v>0</v>
      </c>
    </row>
    <row r="75" spans="1:13" s="43" customFormat="1" ht="9.65" customHeight="1">
      <c r="A75" s="56"/>
      <c r="B75" s="38"/>
      <c r="C75" s="39"/>
      <c r="D75" s="61"/>
      <c r="E75" s="57">
        <f>_xlfn.XLOOKUP(D75,Table13[Decription],Table13[Unit])</f>
        <v>0</v>
      </c>
      <c r="F75" s="336"/>
      <c r="G75" s="57">
        <f>_xlfn.XLOOKUP(D75,Table13[Decription],Table13[Unit Cost])</f>
        <v>0</v>
      </c>
      <c r="H75" s="59">
        <f t="shared" si="6"/>
        <v>0</v>
      </c>
    </row>
    <row r="76" spans="1:13" s="43" customFormat="1" ht="10.5">
      <c r="A76" s="37"/>
      <c r="B76" s="38"/>
      <c r="C76" s="41"/>
      <c r="D76" s="44"/>
      <c r="E76" s="57">
        <f>_xlfn.XLOOKUP(D76,Table13[Decription],Table13[Unit])</f>
        <v>0</v>
      </c>
      <c r="F76" s="383"/>
      <c r="G76" s="57">
        <f>_xlfn.XLOOKUP(D76,Table13[Decription],Table13[Unit Cost])</f>
        <v>0</v>
      </c>
      <c r="H76" s="59">
        <f t="shared" si="6"/>
        <v>0</v>
      </c>
    </row>
    <row r="77" spans="1:13" s="43" customFormat="1" ht="10.25" customHeight="1">
      <c r="A77" s="54"/>
      <c r="B77" s="49"/>
      <c r="C77" s="50"/>
      <c r="D77" s="45"/>
      <c r="E77" s="57">
        <f>_xlfn.XLOOKUP(D77,Table13[Decription],Table13[Unit])</f>
        <v>0</v>
      </c>
      <c r="F77" s="384"/>
      <c r="G77" s="57">
        <f>_xlfn.XLOOKUP(D77,Table13[Decription],Table13[Unit Cost])</f>
        <v>0</v>
      </c>
      <c r="H77" s="59">
        <f t="shared" si="6"/>
        <v>0</v>
      </c>
      <c r="J77" s="345"/>
    </row>
    <row r="78" spans="1:13" ht="7.25" customHeight="1" thickBot="1">
      <c r="A78" s="28"/>
      <c r="B78" s="29"/>
      <c r="C78" s="30"/>
      <c r="D78" s="31"/>
      <c r="E78" s="32"/>
      <c r="F78" s="33"/>
      <c r="G78" s="34"/>
      <c r="H78" s="35"/>
    </row>
    <row r="79" spans="1:13" ht="15" thickBot="1">
      <c r="A79" s="21"/>
      <c r="B79" s="22"/>
      <c r="C79" s="23"/>
      <c r="D79" s="24"/>
      <c r="E79" s="23"/>
      <c r="F79" s="25"/>
      <c r="G79" s="26" t="s">
        <v>19</v>
      </c>
      <c r="H79" s="27">
        <f>SUM(H11:H78)</f>
        <v>8272.9051342799994</v>
      </c>
      <c r="J79" s="58"/>
      <c r="K79" s="58"/>
      <c r="L79" s="58"/>
      <c r="M79" s="58"/>
    </row>
    <row r="80" spans="1:13" ht="15.5" thickTop="1">
      <c r="A80" s="420" t="s">
        <v>25</v>
      </c>
      <c r="B80" s="421"/>
      <c r="C80" s="421"/>
      <c r="D80" s="421"/>
      <c r="E80" s="8" t="s">
        <v>20</v>
      </c>
      <c r="F80" s="9"/>
      <c r="G80" s="9"/>
      <c r="H80" s="10"/>
      <c r="J80" s="58"/>
      <c r="K80" s="58"/>
      <c r="L80" s="58"/>
      <c r="M80" s="58"/>
    </row>
    <row r="81" spans="1:13">
      <c r="A81" s="406"/>
      <c r="B81" s="408"/>
      <c r="C81" s="408"/>
      <c r="D81" s="408"/>
      <c r="E81" s="15"/>
      <c r="F81" s="15"/>
      <c r="G81" s="15"/>
      <c r="H81" s="16"/>
      <c r="J81" s="43"/>
      <c r="K81" s="58"/>
      <c r="L81" s="58"/>
      <c r="M81" s="58"/>
    </row>
    <row r="82" spans="1:13">
      <c r="A82" s="210"/>
      <c r="B82" s="211"/>
      <c r="C82" s="211"/>
      <c r="D82" s="211"/>
      <c r="E82" s="15"/>
      <c r="F82" s="15"/>
      <c r="G82" s="15"/>
      <c r="H82" s="16"/>
      <c r="J82" s="43"/>
      <c r="K82" s="43"/>
      <c r="L82" s="43"/>
      <c r="M82" s="43"/>
    </row>
    <row r="83" spans="1:13">
      <c r="A83" s="409" t="s">
        <v>21</v>
      </c>
      <c r="B83" s="410"/>
      <c r="C83" s="410"/>
      <c r="D83" s="410"/>
      <c r="E83" s="410" t="s">
        <v>22</v>
      </c>
      <c r="F83" s="410"/>
      <c r="G83" s="410"/>
      <c r="H83" s="412"/>
      <c r="J83" s="43"/>
      <c r="K83" s="43"/>
      <c r="L83" s="43"/>
      <c r="M83" s="43"/>
    </row>
    <row r="84" spans="1:13">
      <c r="A84" s="413" t="s">
        <v>23</v>
      </c>
      <c r="B84" s="414"/>
      <c r="C84" s="414"/>
      <c r="D84" s="414"/>
      <c r="E84" s="414" t="s">
        <v>24</v>
      </c>
      <c r="F84" s="414"/>
      <c r="G84" s="414"/>
      <c r="H84" s="416"/>
      <c r="J84" s="43"/>
      <c r="K84" s="43"/>
      <c r="L84" s="43"/>
      <c r="M84" s="43"/>
    </row>
    <row r="85" spans="1:13">
      <c r="A85" s="399" t="str">
        <f>_xlfn.CONCAT("DATE: ",TEXT(G6,"MMMM DD, YYYY"))</f>
        <v>DATE: 04/30/2025</v>
      </c>
      <c r="B85" s="400"/>
      <c r="C85" s="400"/>
      <c r="D85" s="400"/>
      <c r="E85" s="400" t="str">
        <f>_xlfn.CONCAT("DATE: ",TEXT(G6,"MMMM DD, YYYY"))</f>
        <v>DATE: 04/30/2025</v>
      </c>
      <c r="F85" s="400"/>
      <c r="G85" s="400"/>
      <c r="H85" s="402"/>
      <c r="J85" s="43"/>
      <c r="K85" s="43"/>
      <c r="L85" s="43"/>
      <c r="M85" s="43"/>
    </row>
    <row r="86" spans="1:13" ht="8" customHeight="1" thickBot="1">
      <c r="A86" s="403"/>
      <c r="B86" s="404"/>
      <c r="C86" s="404"/>
      <c r="D86" s="404"/>
      <c r="E86" s="404"/>
      <c r="F86" s="404"/>
      <c r="G86" s="404"/>
      <c r="H86" s="405"/>
      <c r="J86" s="43"/>
      <c r="K86" s="43"/>
      <c r="L86" s="43"/>
      <c r="M86" s="43"/>
    </row>
    <row r="87" spans="1:13">
      <c r="A87" s="212"/>
      <c r="B87" s="212"/>
      <c r="C87" s="212"/>
      <c r="D87" s="212"/>
      <c r="E87" s="212"/>
      <c r="F87" s="212"/>
      <c r="G87" s="212"/>
      <c r="H87" s="212"/>
      <c r="J87" s="43"/>
      <c r="K87" s="43"/>
      <c r="L87" s="43"/>
      <c r="M87" s="43"/>
    </row>
    <row r="88" spans="1:13">
      <c r="J88" s="43"/>
      <c r="K88" s="36"/>
      <c r="L88" s="36"/>
      <c r="M88" s="36"/>
    </row>
    <row r="89" spans="1:13">
      <c r="J89" s="43"/>
      <c r="K89" s="58"/>
      <c r="L89" s="58"/>
      <c r="M89" s="58"/>
    </row>
    <row r="90" spans="1:13">
      <c r="J90" s="43"/>
      <c r="K90" s="43"/>
      <c r="L90" s="43"/>
      <c r="M90" s="43"/>
    </row>
    <row r="91" spans="1:13">
      <c r="J91" s="43"/>
      <c r="K91" s="43"/>
      <c r="L91" s="43"/>
      <c r="M91" s="43"/>
    </row>
    <row r="92" spans="1:13">
      <c r="J92" s="43"/>
      <c r="K92" s="43"/>
      <c r="L92" s="43"/>
      <c r="M92" s="43"/>
    </row>
    <row r="93" spans="1:13">
      <c r="J93" s="36"/>
      <c r="K93" s="43"/>
      <c r="L93" s="43"/>
      <c r="M93" s="43"/>
    </row>
    <row r="94" spans="1:13">
      <c r="J94" s="43"/>
      <c r="K94" s="43"/>
      <c r="L94" s="43"/>
      <c r="M94" s="43"/>
    </row>
    <row r="95" spans="1:13">
      <c r="J95" s="43"/>
      <c r="K95" s="43"/>
      <c r="L95" s="43"/>
      <c r="M95" s="43"/>
    </row>
    <row r="96" spans="1:13">
      <c r="J96" s="43"/>
      <c r="K96" s="43"/>
      <c r="L96" s="43"/>
      <c r="M96" s="43"/>
    </row>
    <row r="97" spans="10:13">
      <c r="J97" s="43"/>
      <c r="K97" s="43"/>
      <c r="L97" s="43"/>
      <c r="M97" s="43"/>
    </row>
    <row r="98" spans="10:13">
      <c r="J98" s="43"/>
      <c r="K98" s="43"/>
      <c r="L98" s="43"/>
      <c r="M98" s="43"/>
    </row>
    <row r="99" spans="10:13">
      <c r="J99" s="43"/>
      <c r="K99" s="43"/>
      <c r="L99" s="43"/>
      <c r="M99" s="43"/>
    </row>
    <row r="100" spans="10:13">
      <c r="J100" s="43"/>
      <c r="K100" s="43"/>
      <c r="L100" s="43"/>
      <c r="M100" s="43"/>
    </row>
    <row r="101" spans="10:13">
      <c r="J101" s="43"/>
      <c r="K101" s="43"/>
      <c r="L101" s="43"/>
      <c r="M101" s="43"/>
    </row>
    <row r="102" spans="10:13">
      <c r="J102" s="43"/>
      <c r="K102" s="43"/>
      <c r="L102" s="43"/>
      <c r="M102" s="43"/>
    </row>
    <row r="103" spans="10:13">
      <c r="J103" s="43"/>
      <c r="K103" s="43"/>
      <c r="L103" s="43"/>
      <c r="M103" s="43"/>
    </row>
    <row r="104" spans="10:13">
      <c r="J104" s="43"/>
      <c r="K104" s="43"/>
      <c r="L104" s="43"/>
      <c r="M104" s="43"/>
    </row>
    <row r="105" spans="10:13">
      <c r="J105" s="43"/>
      <c r="K105" s="43"/>
      <c r="L105" s="43"/>
      <c r="M105" s="43"/>
    </row>
    <row r="106" spans="10:13">
      <c r="J106" s="43"/>
      <c r="K106" s="43"/>
      <c r="L106" s="43"/>
      <c r="M106" s="43"/>
    </row>
    <row r="107" spans="10:13">
      <c r="J107" s="43"/>
      <c r="K107" s="43"/>
      <c r="L107" s="43"/>
      <c r="M107" s="43"/>
    </row>
    <row r="108" spans="10:13">
      <c r="J108" s="43"/>
      <c r="K108" s="43"/>
      <c r="L108" s="43"/>
      <c r="M108" s="43"/>
    </row>
    <row r="109" spans="10:13">
      <c r="J109" s="43"/>
      <c r="K109" s="43"/>
      <c r="L109" s="43"/>
      <c r="M109" s="43"/>
    </row>
    <row r="110" spans="10:13">
      <c r="J110" s="43"/>
      <c r="K110" s="43"/>
      <c r="L110" s="43"/>
      <c r="M110" s="43"/>
    </row>
    <row r="111" spans="10:13">
      <c r="J111" s="43"/>
      <c r="K111" s="43"/>
      <c r="L111" s="43"/>
      <c r="M111" s="43"/>
    </row>
    <row r="112" spans="10:13">
      <c r="J112" s="43"/>
      <c r="K112" s="43"/>
      <c r="L112" s="43"/>
      <c r="M112" s="43"/>
    </row>
    <row r="113" spans="10:13">
      <c r="J113" s="43"/>
      <c r="K113" s="43"/>
      <c r="L113" s="43"/>
      <c r="M113" s="43"/>
    </row>
    <row r="114" spans="10:13">
      <c r="J114" s="43"/>
      <c r="K114" s="43"/>
      <c r="L114" s="43"/>
      <c r="M114" s="43"/>
    </row>
    <row r="115" spans="10:13">
      <c r="J115" s="43"/>
      <c r="K115" s="43"/>
      <c r="L115" s="43"/>
      <c r="M115" s="43"/>
    </row>
    <row r="116" spans="10:13">
      <c r="J116" s="43"/>
      <c r="K116" s="43"/>
      <c r="L116" s="43"/>
      <c r="M116" s="43"/>
    </row>
    <row r="117" spans="10:13">
      <c r="J117" s="43"/>
      <c r="K117" s="43"/>
      <c r="L117" s="43"/>
      <c r="M117" s="43"/>
    </row>
    <row r="118" spans="10:13">
      <c r="J118" s="43"/>
      <c r="K118" s="43"/>
      <c r="L118" s="43"/>
      <c r="M118" s="43"/>
    </row>
    <row r="119" spans="10:13">
      <c r="J119" s="43"/>
      <c r="K119" s="43"/>
      <c r="L119" s="43"/>
      <c r="M119" s="43"/>
    </row>
    <row r="120" spans="10:13">
      <c r="J120" s="43"/>
      <c r="K120" s="43"/>
      <c r="L120" s="43"/>
      <c r="M120" s="43"/>
    </row>
    <row r="121" spans="10:13">
      <c r="J121" s="43"/>
      <c r="K121" s="43"/>
      <c r="L121" s="43"/>
      <c r="M121" s="43"/>
    </row>
  </sheetData>
  <mergeCells count="16">
    <mergeCell ref="A52:H52"/>
    <mergeCell ref="A85:D85"/>
    <mergeCell ref="E85:H85"/>
    <mergeCell ref="A86:D86"/>
    <mergeCell ref="E86:H86"/>
    <mergeCell ref="A80:D81"/>
    <mergeCell ref="A83:D83"/>
    <mergeCell ref="E83:H83"/>
    <mergeCell ref="A84:D84"/>
    <mergeCell ref="E84:H84"/>
    <mergeCell ref="A1:H1"/>
    <mergeCell ref="A3:H3"/>
    <mergeCell ref="G5:H5"/>
    <mergeCell ref="G6:H6"/>
    <mergeCell ref="A8:F8"/>
    <mergeCell ref="G8:H8"/>
  </mergeCells>
  <phoneticPr fontId="17" type="noConversion"/>
  <pageMargins left="0.11811023622047245" right="0.11811023622047245" top="0.11811023622047245" bottom="0.11811023622047245" header="0.11811023622047245" footer="0.11811023622047245"/>
  <pageSetup paperSize="9" scale="86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A000-2B4F-45B3-9D1F-8A80625F7516}">
  <sheetPr codeName="Sheet9"/>
  <dimension ref="A1:V169"/>
  <sheetViews>
    <sheetView view="pageBreakPreview" zoomScale="70" zoomScaleNormal="85" zoomScaleSheetLayoutView="70" workbookViewId="0">
      <selection activeCell="F20" sqref="F20"/>
    </sheetView>
  </sheetViews>
  <sheetFormatPr defaultColWidth="9.1796875" defaultRowHeight="13"/>
  <cols>
    <col min="1" max="1" width="20.81640625" style="100" customWidth="1"/>
    <col min="2" max="2" width="40.81640625" style="100" customWidth="1"/>
    <col min="3" max="3" width="12.81640625" style="100" customWidth="1"/>
    <col min="4" max="4" width="10.1796875" style="100" customWidth="1"/>
    <col min="5" max="5" width="12.81640625" style="101" customWidth="1"/>
    <col min="6" max="7" width="12.81640625" style="100" customWidth="1"/>
    <col min="8" max="8" width="9.81640625" style="100" customWidth="1"/>
    <col min="9" max="9" width="12.81640625" style="100" customWidth="1"/>
    <col min="10" max="10" width="10.36328125" style="100" customWidth="1"/>
    <col min="11" max="11" width="9.1796875" style="100"/>
    <col min="12" max="12" width="23.6328125" style="140" customWidth="1"/>
    <col min="13" max="13" width="18" style="136" bestFit="1" customWidth="1"/>
    <col min="14" max="14" width="47.1796875" style="144" bestFit="1" customWidth="1"/>
    <col min="15" max="18" width="9.1796875" style="136"/>
    <col min="19" max="19" width="22.08984375" style="136" customWidth="1"/>
    <col min="20" max="20" width="9.1796875" style="136"/>
    <col min="21" max="21" width="21.6328125" style="136" customWidth="1"/>
    <col min="22" max="22" width="26.36328125" style="136" customWidth="1"/>
    <col min="23" max="23" width="23.90625" style="100" customWidth="1"/>
    <col min="24" max="24" width="28.1796875" style="100" customWidth="1"/>
    <col min="25" max="25" width="23.90625" style="100" customWidth="1"/>
    <col min="26" max="16384" width="9.1796875" style="100"/>
  </cols>
  <sheetData>
    <row r="1" spans="1:22">
      <c r="A1" s="96"/>
      <c r="B1" s="97"/>
      <c r="C1" s="97"/>
      <c r="D1" s="97"/>
      <c r="E1" s="98"/>
      <c r="F1" s="97"/>
      <c r="G1" s="97"/>
      <c r="H1" s="97"/>
      <c r="I1" s="97"/>
      <c r="J1" s="99"/>
    </row>
    <row r="2" spans="1:22">
      <c r="A2" s="102"/>
      <c r="B2" s="161"/>
      <c r="C2" s="161"/>
      <c r="D2" s="161"/>
      <c r="E2" s="103"/>
      <c r="F2" s="161"/>
      <c r="G2" s="161"/>
      <c r="H2" s="161"/>
      <c r="I2" s="161"/>
      <c r="J2" s="104"/>
    </row>
    <row r="3" spans="1:22" s="105" customFormat="1" ht="30.5">
      <c r="A3" s="433" t="s">
        <v>199</v>
      </c>
      <c r="B3" s="434"/>
      <c r="C3" s="434"/>
      <c r="D3" s="434"/>
      <c r="E3" s="434"/>
      <c r="F3" s="434"/>
      <c r="G3" s="434"/>
      <c r="H3" s="434"/>
      <c r="I3" s="434"/>
      <c r="J3" s="435"/>
      <c r="L3" s="141"/>
      <c r="M3" s="137"/>
      <c r="N3" s="145"/>
      <c r="O3" s="137"/>
      <c r="P3" s="137"/>
      <c r="Q3" s="137"/>
      <c r="R3" s="137"/>
      <c r="S3" s="137"/>
      <c r="T3" s="137"/>
      <c r="U3" s="137"/>
      <c r="V3" s="137"/>
    </row>
    <row r="4" spans="1:22" s="105" customFormat="1" ht="16">
      <c r="A4" s="436" t="s">
        <v>228</v>
      </c>
      <c r="B4" s="437"/>
      <c r="C4" s="437"/>
      <c r="D4" s="437"/>
      <c r="E4" s="437"/>
      <c r="F4" s="437"/>
      <c r="G4" s="437"/>
      <c r="H4" s="437"/>
      <c r="I4" s="437"/>
      <c r="J4" s="438"/>
      <c r="L4" s="141"/>
      <c r="M4" s="137"/>
      <c r="N4" s="145"/>
      <c r="O4" s="137"/>
      <c r="P4" s="137"/>
      <c r="Q4" s="137"/>
      <c r="R4" s="137"/>
      <c r="S4" s="137"/>
      <c r="T4" s="137"/>
      <c r="U4" s="137"/>
      <c r="V4" s="137"/>
    </row>
    <row r="5" spans="1:22" s="105" customFormat="1" ht="14.5">
      <c r="A5" s="439" t="s">
        <v>200</v>
      </c>
      <c r="B5" s="440"/>
      <c r="C5" s="440"/>
      <c r="D5" s="440"/>
      <c r="E5" s="440"/>
      <c r="F5" s="440"/>
      <c r="G5" s="440"/>
      <c r="H5" s="440"/>
      <c r="I5" s="440"/>
      <c r="J5" s="441"/>
      <c r="L5" s="141"/>
      <c r="M5" s="137"/>
      <c r="N5" s="145"/>
      <c r="O5" s="137"/>
      <c r="P5" s="137"/>
      <c r="Q5" s="137"/>
      <c r="R5" s="137"/>
      <c r="S5" s="137"/>
      <c r="T5" s="137"/>
      <c r="U5" s="137"/>
      <c r="V5" s="137"/>
    </row>
    <row r="6" spans="1:22" s="105" customFormat="1" ht="14.5">
      <c r="A6" s="442" t="s">
        <v>269</v>
      </c>
      <c r="B6" s="443"/>
      <c r="C6" s="443"/>
      <c r="D6" s="443"/>
      <c r="E6" s="443"/>
      <c r="F6" s="443"/>
      <c r="G6" s="443"/>
      <c r="H6" s="443"/>
      <c r="I6" s="443"/>
      <c r="J6" s="444"/>
      <c r="L6" s="141"/>
      <c r="M6" s="137"/>
      <c r="N6" s="145"/>
      <c r="O6" s="137"/>
      <c r="P6" s="137"/>
      <c r="Q6" s="137"/>
      <c r="R6" s="137"/>
      <c r="S6" s="137"/>
      <c r="T6" s="137"/>
      <c r="U6" s="137"/>
      <c r="V6" s="137"/>
    </row>
    <row r="7" spans="1:22" s="105" customFormat="1" ht="14.5">
      <c r="A7" s="106" t="s">
        <v>6</v>
      </c>
      <c r="B7" s="162"/>
      <c r="C7" s="162"/>
      <c r="D7" s="162"/>
      <c r="E7" s="107"/>
      <c r="F7" s="162"/>
      <c r="G7" s="162"/>
      <c r="H7" s="162"/>
      <c r="I7" s="162"/>
      <c r="J7" s="108"/>
      <c r="L7" s="141"/>
      <c r="M7" s="137"/>
      <c r="N7" s="145"/>
      <c r="O7" s="137"/>
      <c r="P7" s="137"/>
      <c r="Q7" s="137"/>
      <c r="R7" s="137"/>
      <c r="S7" s="137"/>
      <c r="T7" s="137"/>
      <c r="U7" s="137"/>
      <c r="V7" s="137"/>
    </row>
    <row r="8" spans="1:22" s="105" customFormat="1" ht="15" thickBot="1">
      <c r="A8" s="109" t="s">
        <v>229</v>
      </c>
      <c r="B8" s="162"/>
      <c r="C8" s="162"/>
      <c r="D8" s="162"/>
      <c r="E8" s="107"/>
      <c r="F8" s="162"/>
      <c r="G8" s="162"/>
      <c r="H8" s="162"/>
      <c r="I8" s="162"/>
      <c r="J8" s="108"/>
      <c r="L8" s="141"/>
      <c r="M8" s="137"/>
      <c r="N8" s="145"/>
      <c r="O8" s="137"/>
      <c r="P8" s="137"/>
      <c r="Q8" s="137"/>
      <c r="R8" s="137"/>
      <c r="S8" s="137"/>
      <c r="T8" s="137"/>
      <c r="U8" s="137"/>
      <c r="V8" s="137"/>
    </row>
    <row r="9" spans="1:22" s="110" customFormat="1">
      <c r="A9" s="445" t="s">
        <v>201</v>
      </c>
      <c r="B9" s="447" t="s">
        <v>202</v>
      </c>
      <c r="C9" s="447" t="s">
        <v>203</v>
      </c>
      <c r="D9" s="447" t="s">
        <v>204</v>
      </c>
      <c r="E9" s="449" t="s">
        <v>205</v>
      </c>
      <c r="F9" s="451" t="s">
        <v>206</v>
      </c>
      <c r="G9" s="451"/>
      <c r="H9" s="451" t="s">
        <v>207</v>
      </c>
      <c r="I9" s="451"/>
      <c r="J9" s="452" t="s">
        <v>208</v>
      </c>
      <c r="L9" s="142"/>
      <c r="M9" s="138"/>
      <c r="N9" s="146"/>
      <c r="O9" s="138"/>
      <c r="P9" s="138"/>
      <c r="Q9" s="138"/>
      <c r="R9" s="138"/>
      <c r="S9" s="138"/>
      <c r="T9" s="138"/>
      <c r="U9" s="138"/>
      <c r="V9" s="138"/>
    </row>
    <row r="10" spans="1:22" s="110" customFormat="1" ht="21.65" customHeight="1" thickBot="1">
      <c r="A10" s="446"/>
      <c r="B10" s="448"/>
      <c r="C10" s="448"/>
      <c r="D10" s="448"/>
      <c r="E10" s="450"/>
      <c r="F10" s="111" t="s">
        <v>209</v>
      </c>
      <c r="G10" s="111" t="s">
        <v>210</v>
      </c>
      <c r="H10" s="111" t="s">
        <v>211</v>
      </c>
      <c r="I10" s="111" t="s">
        <v>212</v>
      </c>
      <c r="J10" s="453"/>
      <c r="L10" s="142" t="s">
        <v>77</v>
      </c>
      <c r="M10" s="138"/>
      <c r="N10" s="146"/>
      <c r="O10" s="138"/>
      <c r="P10" s="138"/>
      <c r="Q10" s="138"/>
      <c r="R10" s="138"/>
      <c r="S10" s="138"/>
      <c r="T10" s="138"/>
      <c r="U10" s="138"/>
      <c r="V10" s="138"/>
    </row>
    <row r="11" spans="1:22" ht="13.5" thickTop="1">
      <c r="A11" s="160" t="e" vm="1">
        <f ca="1">L11</f>
        <v>#NAME?</v>
      </c>
      <c r="B11" s="149">
        <f>M11</f>
        <v>0</v>
      </c>
      <c r="C11" s="150"/>
      <c r="D11" s="151" t="e">
        <f>_xlfn.XLOOKUP(B11,Table13[Decription],Table13[Unit])</f>
        <v>#N/A</v>
      </c>
      <c r="E11" s="158" t="e">
        <f>_xlfn.XLOOKUP(B11,Table13[Decription],Table13[Unit Cost])</f>
        <v>#N/A</v>
      </c>
      <c r="F11" s="152" t="e">
        <f>_xlfn.XLOOKUP(B11,Table13[Decription],Table13[February 2025 - Balance Qty])</f>
        <v>#N/A</v>
      </c>
      <c r="G11" s="152" t="e">
        <f>_xlfn.XLOOKUP(B11,Table13[Decription],Table13[February 2025 - Balance Qty])</f>
        <v>#N/A</v>
      </c>
      <c r="H11" s="153">
        <v>0</v>
      </c>
      <c r="I11" s="153">
        <v>0</v>
      </c>
      <c r="J11" s="154"/>
      <c r="L11" s="143" t="e" cm="1" vm="2">
        <f t="array" aca="1" ref="L11" ca="1">_xlfn.CHOOSECOLS(_xlfn._xlws.FILTER(Table13[[Article]:[Total Value]],Table13[Article]=L10),1,3)</f>
        <v>#NAME?</v>
      </c>
      <c r="N11" s="147"/>
    </row>
    <row r="12" spans="1:22" s="118" customFormat="1">
      <c r="A12" s="160">
        <f t="shared" ref="A12:A75" si="0">L12</f>
        <v>0</v>
      </c>
      <c r="B12" s="149">
        <f t="shared" ref="B12:B75" si="1">M12</f>
        <v>0</v>
      </c>
      <c r="C12" s="155"/>
      <c r="D12" s="151" t="e">
        <f>_xlfn.XLOOKUP(B12,Table13[Decription],Table13[Unit])</f>
        <v>#N/A</v>
      </c>
      <c r="E12" s="158" t="e">
        <f>_xlfn.XLOOKUP(B12,Table13[Decription],Table13[Unit Cost])</f>
        <v>#N/A</v>
      </c>
      <c r="F12" s="152" t="e">
        <f>_xlfn.XLOOKUP(B12,Table13[Decription],Table13[February 2025 - Balance Qty])</f>
        <v>#N/A</v>
      </c>
      <c r="G12" s="152" t="e">
        <f>_xlfn.XLOOKUP(B12,Table13[Decription],Table13[February 2025 - Balance Qty])</f>
        <v>#N/A</v>
      </c>
      <c r="H12" s="153">
        <v>0</v>
      </c>
      <c r="I12" s="153">
        <v>0</v>
      </c>
      <c r="J12" s="156"/>
      <c r="L12" s="143"/>
      <c r="M12" s="139"/>
      <c r="N12" s="148"/>
      <c r="O12" s="139"/>
      <c r="P12" s="139"/>
      <c r="Q12" s="139"/>
      <c r="R12" s="139"/>
      <c r="S12" s="139"/>
      <c r="T12" s="139"/>
      <c r="U12" s="139"/>
      <c r="V12" s="139"/>
    </row>
    <row r="13" spans="1:22" s="118" customFormat="1">
      <c r="A13" s="160">
        <f t="shared" si="0"/>
        <v>0</v>
      </c>
      <c r="B13" s="149">
        <f t="shared" si="1"/>
        <v>0</v>
      </c>
      <c r="C13" s="155"/>
      <c r="D13" s="151" t="e">
        <f>_xlfn.XLOOKUP(B13,Table13[Decription],Table13[Unit])</f>
        <v>#N/A</v>
      </c>
      <c r="E13" s="158" t="e">
        <f>_xlfn.XLOOKUP(B13,Table13[Decription],Table13[Unit Cost])</f>
        <v>#N/A</v>
      </c>
      <c r="F13" s="152" t="e">
        <f>_xlfn.XLOOKUP(B13,Table13[Decription],Table13[February 2025 - Balance Qty])</f>
        <v>#N/A</v>
      </c>
      <c r="G13" s="152" t="e">
        <f>_xlfn.XLOOKUP(B13,Table13[Decription],Table13[February 2025 - Balance Qty])</f>
        <v>#N/A</v>
      </c>
      <c r="H13" s="153">
        <v>0</v>
      </c>
      <c r="I13" s="153">
        <v>0</v>
      </c>
      <c r="J13" s="156"/>
      <c r="L13" s="143"/>
      <c r="M13" s="139"/>
      <c r="N13" s="148"/>
      <c r="O13" s="139"/>
      <c r="P13" s="139"/>
      <c r="Q13" s="139"/>
      <c r="R13" s="139"/>
      <c r="S13" s="139"/>
      <c r="T13" s="139"/>
      <c r="U13" s="139"/>
      <c r="V13" s="139"/>
    </row>
    <row r="14" spans="1:22" s="118" customFormat="1">
      <c r="A14" s="160">
        <f t="shared" si="0"/>
        <v>0</v>
      </c>
      <c r="B14" s="149">
        <f t="shared" si="1"/>
        <v>0</v>
      </c>
      <c r="C14" s="155"/>
      <c r="D14" s="151" t="e">
        <f>_xlfn.XLOOKUP(B14,Table13[Decription],Table13[Unit])</f>
        <v>#N/A</v>
      </c>
      <c r="E14" s="158" t="e">
        <f>_xlfn.XLOOKUP(B14,Table13[Decription],Table13[Unit Cost])</f>
        <v>#N/A</v>
      </c>
      <c r="F14" s="152" t="e">
        <f>_xlfn.XLOOKUP(B14,Table13[Decription],Table13[February 2025 - Balance Qty])</f>
        <v>#N/A</v>
      </c>
      <c r="G14" s="152" t="e">
        <f>_xlfn.XLOOKUP(B14,Table13[Decription],Table13[February 2025 - Balance Qty])</f>
        <v>#N/A</v>
      </c>
      <c r="H14" s="153">
        <v>0</v>
      </c>
      <c r="I14" s="153">
        <v>0</v>
      </c>
      <c r="J14" s="156"/>
      <c r="L14" s="143"/>
      <c r="M14" s="139"/>
      <c r="N14" s="148"/>
      <c r="O14" s="139"/>
      <c r="P14" s="139"/>
      <c r="Q14" s="139"/>
      <c r="R14" s="139"/>
      <c r="S14" s="139"/>
      <c r="T14" s="139"/>
      <c r="U14" s="139"/>
      <c r="V14" s="139"/>
    </row>
    <row r="15" spans="1:22" s="118" customFormat="1">
      <c r="A15" s="160">
        <f t="shared" si="0"/>
        <v>0</v>
      </c>
      <c r="B15" s="149">
        <f t="shared" si="1"/>
        <v>0</v>
      </c>
      <c r="C15" s="155"/>
      <c r="D15" s="151" t="e">
        <f>_xlfn.XLOOKUP(B15,Table13[Decription],Table13[Unit])</f>
        <v>#N/A</v>
      </c>
      <c r="E15" s="158" t="e">
        <f>_xlfn.XLOOKUP(B15,Table13[Decription],Table13[Unit Cost])</f>
        <v>#N/A</v>
      </c>
      <c r="F15" s="152" t="e">
        <f>_xlfn.XLOOKUP(B15,Table13[Decription],Table13[February 2025 - Balance Qty])</f>
        <v>#N/A</v>
      </c>
      <c r="G15" s="152" t="e">
        <f>_xlfn.XLOOKUP(B15,Table13[Decription],Table13[February 2025 - Balance Qty])</f>
        <v>#N/A</v>
      </c>
      <c r="H15" s="153">
        <v>0</v>
      </c>
      <c r="I15" s="153">
        <v>0</v>
      </c>
      <c r="J15" s="156"/>
      <c r="L15" s="143"/>
      <c r="M15" s="139"/>
      <c r="N15" s="148"/>
      <c r="O15" s="139"/>
      <c r="P15" s="139"/>
      <c r="Q15" s="139"/>
      <c r="R15" s="139"/>
      <c r="S15" s="139"/>
      <c r="T15" s="139"/>
      <c r="U15" s="139"/>
      <c r="V15" s="139"/>
    </row>
    <row r="16" spans="1:22" s="118" customFormat="1">
      <c r="A16" s="160">
        <f t="shared" si="0"/>
        <v>0</v>
      </c>
      <c r="B16" s="149">
        <f t="shared" si="1"/>
        <v>0</v>
      </c>
      <c r="C16" s="155"/>
      <c r="D16" s="151" t="e">
        <f>_xlfn.XLOOKUP(B16,Table13[Decription],Table13[Unit])</f>
        <v>#N/A</v>
      </c>
      <c r="E16" s="158" t="e">
        <f>_xlfn.XLOOKUP(B16,Table13[Decription],Table13[Unit Cost])</f>
        <v>#N/A</v>
      </c>
      <c r="F16" s="152" t="e">
        <f>_xlfn.XLOOKUP(B16,Table13[Decription],Table13[February 2025 - Balance Qty])</f>
        <v>#N/A</v>
      </c>
      <c r="G16" s="152" t="e">
        <f>_xlfn.XLOOKUP(B16,Table13[Decription],Table13[February 2025 - Balance Qty])</f>
        <v>#N/A</v>
      </c>
      <c r="H16" s="153">
        <v>0</v>
      </c>
      <c r="I16" s="153">
        <v>0</v>
      </c>
      <c r="J16" s="156"/>
      <c r="L16" s="143"/>
      <c r="M16" s="139"/>
      <c r="N16" s="148"/>
      <c r="O16" s="139"/>
      <c r="P16" s="139"/>
      <c r="Q16" s="139"/>
      <c r="R16" s="139"/>
      <c r="S16" s="139"/>
      <c r="T16" s="139"/>
      <c r="U16" s="139"/>
      <c r="V16" s="139"/>
    </row>
    <row r="17" spans="1:22" s="118" customFormat="1">
      <c r="A17" s="160">
        <f t="shared" si="0"/>
        <v>0</v>
      </c>
      <c r="B17" s="149">
        <f t="shared" si="1"/>
        <v>0</v>
      </c>
      <c r="C17" s="155"/>
      <c r="D17" s="151" t="e">
        <f>_xlfn.XLOOKUP(B17,Table13[Decription],Table13[Unit])</f>
        <v>#N/A</v>
      </c>
      <c r="E17" s="158" t="e">
        <f>_xlfn.XLOOKUP(B17,Table13[Decription],Table13[Unit Cost])</f>
        <v>#N/A</v>
      </c>
      <c r="F17" s="152" t="e">
        <f>_xlfn.XLOOKUP(B17,Table13[Decription],Table13[February 2025 - Balance Qty])</f>
        <v>#N/A</v>
      </c>
      <c r="G17" s="152" t="e">
        <f>_xlfn.XLOOKUP(B17,Table13[Decription],Table13[February 2025 - Balance Qty])</f>
        <v>#N/A</v>
      </c>
      <c r="H17" s="153">
        <v>0</v>
      </c>
      <c r="I17" s="153">
        <v>0</v>
      </c>
      <c r="J17" s="156"/>
      <c r="L17" s="143"/>
      <c r="M17" s="139"/>
      <c r="N17" s="148"/>
      <c r="O17" s="139"/>
      <c r="P17" s="139"/>
      <c r="Q17" s="139"/>
      <c r="R17" s="139"/>
      <c r="S17" s="139"/>
      <c r="T17" s="139"/>
      <c r="U17" s="139"/>
      <c r="V17" s="139"/>
    </row>
    <row r="18" spans="1:22" s="118" customFormat="1">
      <c r="A18" s="160">
        <f t="shared" si="0"/>
        <v>0</v>
      </c>
      <c r="B18" s="149">
        <f t="shared" si="1"/>
        <v>0</v>
      </c>
      <c r="C18" s="155"/>
      <c r="D18" s="151" t="e">
        <f>_xlfn.XLOOKUP(B18,Table13[Decription],Table13[Unit])</f>
        <v>#N/A</v>
      </c>
      <c r="E18" s="158" t="e">
        <f>_xlfn.XLOOKUP(B18,Table13[Decription],Table13[Unit Cost])</f>
        <v>#N/A</v>
      </c>
      <c r="F18" s="152" t="e">
        <f>_xlfn.XLOOKUP(B18,Table13[Decription],Table13[February 2025 - Balance Qty])</f>
        <v>#N/A</v>
      </c>
      <c r="G18" s="152" t="e">
        <f>_xlfn.XLOOKUP(B18,Table13[Decription],Table13[February 2025 - Balance Qty])</f>
        <v>#N/A</v>
      </c>
      <c r="H18" s="153">
        <v>0</v>
      </c>
      <c r="I18" s="153">
        <v>0</v>
      </c>
      <c r="J18" s="156"/>
      <c r="L18" s="143"/>
      <c r="M18" s="139"/>
      <c r="N18" s="148"/>
      <c r="O18" s="139"/>
      <c r="P18" s="139"/>
      <c r="Q18" s="139"/>
      <c r="R18" s="139"/>
      <c r="S18" s="139"/>
      <c r="T18" s="139"/>
      <c r="U18" s="139"/>
      <c r="V18" s="139"/>
    </row>
    <row r="19" spans="1:22" s="118" customFormat="1">
      <c r="A19" s="160">
        <f t="shared" si="0"/>
        <v>0</v>
      </c>
      <c r="B19" s="149">
        <f t="shared" si="1"/>
        <v>0</v>
      </c>
      <c r="C19" s="155"/>
      <c r="D19" s="151" t="e">
        <f>_xlfn.XLOOKUP(B19,Table13[Decription],Table13[Unit])</f>
        <v>#N/A</v>
      </c>
      <c r="E19" s="158" t="e">
        <f>_xlfn.XLOOKUP(B19,Table13[Decription],Table13[Unit Cost])</f>
        <v>#N/A</v>
      </c>
      <c r="F19" s="152" t="e">
        <f>_xlfn.XLOOKUP(B19,Table13[Decription],Table13[February 2025 - Balance Qty])</f>
        <v>#N/A</v>
      </c>
      <c r="G19" s="152" t="e">
        <f>_xlfn.XLOOKUP(B19,Table13[Decription],Table13[February 2025 - Balance Qty])</f>
        <v>#N/A</v>
      </c>
      <c r="H19" s="153">
        <v>0</v>
      </c>
      <c r="I19" s="153">
        <v>0</v>
      </c>
      <c r="J19" s="156"/>
      <c r="L19" s="143"/>
      <c r="M19" s="139"/>
      <c r="N19" s="148"/>
      <c r="O19" s="139"/>
      <c r="P19" s="139"/>
      <c r="Q19" s="139"/>
      <c r="R19" s="139"/>
      <c r="S19" s="139"/>
      <c r="T19" s="139"/>
      <c r="U19" s="139"/>
      <c r="V19" s="139"/>
    </row>
    <row r="20" spans="1:22" s="118" customFormat="1">
      <c r="A20" s="160">
        <f t="shared" si="0"/>
        <v>0</v>
      </c>
      <c r="B20" s="149">
        <f t="shared" si="1"/>
        <v>0</v>
      </c>
      <c r="C20" s="155"/>
      <c r="D20" s="151" t="e">
        <f>_xlfn.XLOOKUP(B20,Table13[Decription],Table13[Unit])</f>
        <v>#N/A</v>
      </c>
      <c r="E20" s="158" t="e">
        <f>_xlfn.XLOOKUP(B20,Table13[Decription],Table13[Unit Cost])</f>
        <v>#N/A</v>
      </c>
      <c r="F20" s="152" t="e">
        <f>_xlfn.XLOOKUP(B20,Table13[Decription],Table13[February 2025 - Balance Qty])</f>
        <v>#N/A</v>
      </c>
      <c r="G20" s="152" t="e">
        <f>_xlfn.XLOOKUP(B20,Table13[Decription],Table13[February 2025 - Balance Qty])</f>
        <v>#N/A</v>
      </c>
      <c r="H20" s="153">
        <v>0</v>
      </c>
      <c r="I20" s="153">
        <v>0</v>
      </c>
      <c r="J20" s="156"/>
      <c r="L20" s="143"/>
      <c r="M20" s="139"/>
      <c r="N20" s="148"/>
      <c r="O20" s="139"/>
      <c r="P20" s="139"/>
      <c r="Q20" s="139"/>
      <c r="R20" s="139"/>
      <c r="S20" s="139"/>
      <c r="T20" s="139"/>
      <c r="U20" s="139"/>
      <c r="V20" s="139"/>
    </row>
    <row r="21" spans="1:22" s="118" customFormat="1">
      <c r="A21" s="160">
        <f t="shared" si="0"/>
        <v>0</v>
      </c>
      <c r="B21" s="149">
        <f t="shared" si="1"/>
        <v>0</v>
      </c>
      <c r="C21" s="155"/>
      <c r="D21" s="151" t="e">
        <f>_xlfn.XLOOKUP(B21,Table13[Decription],Table13[Unit])</f>
        <v>#N/A</v>
      </c>
      <c r="E21" s="158" t="e">
        <f>_xlfn.XLOOKUP(B21,Table13[Decription],Table13[Unit Cost])</f>
        <v>#N/A</v>
      </c>
      <c r="F21" s="152" t="e">
        <f>_xlfn.XLOOKUP(B21,Table13[Decription],Table13[February 2025 - Balance Qty])</f>
        <v>#N/A</v>
      </c>
      <c r="G21" s="152" t="e">
        <f>_xlfn.XLOOKUP(B21,Table13[Decription],Table13[February 2025 - Balance Qty])</f>
        <v>#N/A</v>
      </c>
      <c r="H21" s="153">
        <v>0</v>
      </c>
      <c r="I21" s="153">
        <v>0</v>
      </c>
      <c r="J21" s="156"/>
      <c r="L21" s="143"/>
      <c r="M21" s="139"/>
      <c r="N21" s="148"/>
      <c r="O21" s="139"/>
      <c r="P21" s="139"/>
      <c r="Q21" s="139"/>
      <c r="R21" s="139"/>
      <c r="S21" s="139"/>
      <c r="T21" s="139"/>
      <c r="U21" s="139"/>
      <c r="V21" s="139"/>
    </row>
    <row r="22" spans="1:22" s="118" customFormat="1">
      <c r="A22" s="160">
        <f t="shared" si="0"/>
        <v>0</v>
      </c>
      <c r="B22" s="149">
        <f t="shared" si="1"/>
        <v>0</v>
      </c>
      <c r="C22" s="155"/>
      <c r="D22" s="151" t="e">
        <f>_xlfn.XLOOKUP(B22,Table13[Decription],Table13[Unit])</f>
        <v>#N/A</v>
      </c>
      <c r="E22" s="158" t="e">
        <f>_xlfn.XLOOKUP(B22,Table13[Decription],Table13[Unit Cost])</f>
        <v>#N/A</v>
      </c>
      <c r="F22" s="152" t="e">
        <f>_xlfn.XLOOKUP(B22,Table13[Decription],Table13[February 2025 - Balance Qty])</f>
        <v>#N/A</v>
      </c>
      <c r="G22" s="152" t="e">
        <f>_xlfn.XLOOKUP(B22,Table13[Decription],Table13[February 2025 - Balance Qty])</f>
        <v>#N/A</v>
      </c>
      <c r="H22" s="153">
        <v>0</v>
      </c>
      <c r="I22" s="153">
        <v>0</v>
      </c>
      <c r="J22" s="156"/>
      <c r="L22" s="143"/>
      <c r="M22" s="139"/>
      <c r="N22" s="148"/>
      <c r="O22" s="139"/>
      <c r="P22" s="139"/>
      <c r="Q22" s="139"/>
      <c r="R22" s="139"/>
      <c r="S22" s="139"/>
      <c r="T22" s="139"/>
      <c r="U22" s="139"/>
      <c r="V22" s="139"/>
    </row>
    <row r="23" spans="1:22" s="118" customFormat="1">
      <c r="A23" s="160">
        <f t="shared" si="0"/>
        <v>0</v>
      </c>
      <c r="B23" s="149">
        <f t="shared" si="1"/>
        <v>0</v>
      </c>
      <c r="C23" s="155"/>
      <c r="D23" s="151" t="e">
        <f>_xlfn.XLOOKUP(B23,Table13[Decription],Table13[Unit])</f>
        <v>#N/A</v>
      </c>
      <c r="E23" s="158" t="e">
        <f>_xlfn.XLOOKUP(B23,Table13[Decription],Table13[Unit Cost])</f>
        <v>#N/A</v>
      </c>
      <c r="F23" s="152" t="e">
        <f>_xlfn.XLOOKUP(B23,Table13[Decription],Table13[February 2025 - Balance Qty])</f>
        <v>#N/A</v>
      </c>
      <c r="G23" s="152" t="e">
        <f>_xlfn.XLOOKUP(B23,Table13[Decription],Table13[February 2025 - Balance Qty])</f>
        <v>#N/A</v>
      </c>
      <c r="H23" s="153">
        <v>0</v>
      </c>
      <c r="I23" s="153">
        <v>0</v>
      </c>
      <c r="J23" s="156"/>
      <c r="L23" s="143"/>
      <c r="M23" s="139"/>
      <c r="N23" s="148"/>
      <c r="O23" s="139"/>
      <c r="P23" s="139"/>
      <c r="Q23" s="139"/>
      <c r="R23" s="139"/>
      <c r="S23" s="139"/>
      <c r="T23" s="139"/>
      <c r="U23" s="139"/>
      <c r="V23" s="139"/>
    </row>
    <row r="24" spans="1:22" s="118" customFormat="1" hidden="1">
      <c r="A24" s="160">
        <f t="shared" si="0"/>
        <v>0</v>
      </c>
      <c r="B24" s="149">
        <f t="shared" si="1"/>
        <v>0</v>
      </c>
      <c r="C24" s="155"/>
      <c r="D24" s="151" t="e">
        <f>_xlfn.XLOOKUP(B24,Table13[Decription],Table13[Unit])</f>
        <v>#N/A</v>
      </c>
      <c r="E24" s="158" t="e">
        <f>_xlfn.XLOOKUP(B24,Table13[Decription],Table13[Unit Cost])</f>
        <v>#N/A</v>
      </c>
      <c r="F24" s="152" t="e">
        <f>_xlfn.XLOOKUP(B24,Table13[Decription],Table13[February 2025 - Balance Qty])</f>
        <v>#N/A</v>
      </c>
      <c r="G24" s="152" t="e">
        <f>_xlfn.XLOOKUP(B24,Table13[Decription],Table13[February 2025 - Balance Qty])</f>
        <v>#N/A</v>
      </c>
      <c r="H24" s="153">
        <v>0</v>
      </c>
      <c r="I24" s="153">
        <v>0</v>
      </c>
      <c r="J24" s="156"/>
      <c r="L24" s="143"/>
      <c r="M24" s="139"/>
      <c r="N24" s="148"/>
      <c r="O24" s="139"/>
      <c r="P24" s="139"/>
      <c r="Q24" s="139"/>
      <c r="R24" s="139"/>
      <c r="S24" s="139"/>
      <c r="T24" s="139"/>
      <c r="U24" s="139"/>
      <c r="V24" s="139"/>
    </row>
    <row r="25" spans="1:22" s="118" customFormat="1" hidden="1">
      <c r="A25" s="160">
        <f t="shared" si="0"/>
        <v>0</v>
      </c>
      <c r="B25" s="149">
        <f t="shared" si="1"/>
        <v>0</v>
      </c>
      <c r="C25" s="155"/>
      <c r="D25" s="151" t="e">
        <f>_xlfn.XLOOKUP(B25,Table13[Decription],Table13[Unit])</f>
        <v>#N/A</v>
      </c>
      <c r="E25" s="158" t="e">
        <f>_xlfn.XLOOKUP(B25,Table13[Decription],Table13[Unit Cost])</f>
        <v>#N/A</v>
      </c>
      <c r="F25" s="152" t="e">
        <f>_xlfn.XLOOKUP(B25,Table13[Decription],Table13[February 2025 - Balance Qty])</f>
        <v>#N/A</v>
      </c>
      <c r="G25" s="152" t="e">
        <f>_xlfn.XLOOKUP(B25,Table13[Decription],Table13[February 2025 - Balance Qty])</f>
        <v>#N/A</v>
      </c>
      <c r="H25" s="153">
        <v>0</v>
      </c>
      <c r="I25" s="153">
        <v>0</v>
      </c>
      <c r="J25" s="156"/>
      <c r="L25" s="143"/>
      <c r="M25" s="139"/>
      <c r="N25" s="148"/>
      <c r="O25" s="139"/>
      <c r="P25" s="139"/>
      <c r="Q25" s="139"/>
      <c r="R25" s="139"/>
      <c r="S25" s="139"/>
      <c r="T25" s="139"/>
      <c r="U25" s="139"/>
      <c r="V25" s="139"/>
    </row>
    <row r="26" spans="1:22" s="118" customFormat="1">
      <c r="A26" s="160">
        <f t="shared" si="0"/>
        <v>0</v>
      </c>
      <c r="B26" s="149">
        <f t="shared" si="1"/>
        <v>0</v>
      </c>
      <c r="C26" s="155"/>
      <c r="D26" s="151" t="e">
        <f>_xlfn.XLOOKUP(B26,Table13[Decription],Table13[Unit])</f>
        <v>#N/A</v>
      </c>
      <c r="E26" s="158" t="e">
        <f>_xlfn.XLOOKUP(B26,Table13[Decription],Table13[Unit Cost])</f>
        <v>#N/A</v>
      </c>
      <c r="F26" s="152" t="e">
        <f>_xlfn.XLOOKUP(B26,Table13[Decription],Table13[February 2025 - Balance Qty])</f>
        <v>#N/A</v>
      </c>
      <c r="G26" s="152" t="e">
        <f>_xlfn.XLOOKUP(B26,Table13[Decription],Table13[February 2025 - Balance Qty])</f>
        <v>#N/A</v>
      </c>
      <c r="H26" s="153">
        <v>0</v>
      </c>
      <c r="I26" s="153">
        <v>0</v>
      </c>
      <c r="J26" s="156"/>
      <c r="L26" s="143"/>
      <c r="M26" s="139"/>
      <c r="N26" s="148"/>
      <c r="O26" s="139"/>
      <c r="P26" s="139"/>
      <c r="Q26" s="139"/>
      <c r="R26" s="139"/>
      <c r="S26" s="139"/>
      <c r="T26" s="139"/>
      <c r="U26" s="139"/>
      <c r="V26" s="139"/>
    </row>
    <row r="27" spans="1:22" s="118" customFormat="1">
      <c r="A27" s="160">
        <f t="shared" si="0"/>
        <v>0</v>
      </c>
      <c r="B27" s="149">
        <f t="shared" si="1"/>
        <v>0</v>
      </c>
      <c r="C27" s="155"/>
      <c r="D27" s="151" t="e">
        <f>_xlfn.XLOOKUP(B27,Table13[Decription],Table13[Unit])</f>
        <v>#N/A</v>
      </c>
      <c r="E27" s="158" t="e">
        <f>_xlfn.XLOOKUP(B27,Table13[Decription],Table13[Unit Cost])</f>
        <v>#N/A</v>
      </c>
      <c r="F27" s="152" t="e">
        <f>_xlfn.XLOOKUP(B27,Table13[Decription],Table13[February 2025 - Balance Qty])</f>
        <v>#N/A</v>
      </c>
      <c r="G27" s="152" t="e">
        <f>_xlfn.XLOOKUP(B27,Table13[Decription],Table13[February 2025 - Balance Qty])</f>
        <v>#N/A</v>
      </c>
      <c r="H27" s="153">
        <v>0</v>
      </c>
      <c r="I27" s="153">
        <v>0</v>
      </c>
      <c r="J27" s="156"/>
      <c r="L27" s="143"/>
      <c r="M27" s="139"/>
      <c r="N27" s="148"/>
      <c r="O27" s="139"/>
      <c r="P27" s="139"/>
      <c r="Q27" s="139"/>
      <c r="R27" s="139"/>
      <c r="S27" s="139"/>
      <c r="T27" s="139"/>
      <c r="U27" s="139"/>
      <c r="V27" s="139"/>
    </row>
    <row r="28" spans="1:22" s="118" customFormat="1">
      <c r="A28" s="160">
        <f t="shared" si="0"/>
        <v>0</v>
      </c>
      <c r="B28" s="149">
        <f t="shared" si="1"/>
        <v>0</v>
      </c>
      <c r="C28" s="155"/>
      <c r="D28" s="151" t="e">
        <f>_xlfn.XLOOKUP(B28,Table13[Decription],Table13[Unit])</f>
        <v>#N/A</v>
      </c>
      <c r="E28" s="158" t="e">
        <f>_xlfn.XLOOKUP(B28,Table13[Decription],Table13[Unit Cost])</f>
        <v>#N/A</v>
      </c>
      <c r="F28" s="152" t="e">
        <f>_xlfn.XLOOKUP(B28,Table13[Decription],Table13[February 2025 - Balance Qty])</f>
        <v>#N/A</v>
      </c>
      <c r="G28" s="152" t="e">
        <f>_xlfn.XLOOKUP(B28,Table13[Decription],Table13[February 2025 - Balance Qty])</f>
        <v>#N/A</v>
      </c>
      <c r="H28" s="153">
        <v>0</v>
      </c>
      <c r="I28" s="153">
        <v>0</v>
      </c>
      <c r="J28" s="156"/>
      <c r="L28" s="143"/>
      <c r="M28" s="139"/>
      <c r="N28" s="148"/>
      <c r="O28" s="139"/>
      <c r="P28" s="139"/>
      <c r="Q28" s="139"/>
      <c r="R28" s="139"/>
      <c r="S28" s="139"/>
      <c r="T28" s="139"/>
      <c r="U28" s="139"/>
      <c r="V28" s="139"/>
    </row>
    <row r="29" spans="1:22" s="118" customFormat="1">
      <c r="A29" s="160">
        <f t="shared" si="0"/>
        <v>0</v>
      </c>
      <c r="B29" s="149">
        <f t="shared" si="1"/>
        <v>0</v>
      </c>
      <c r="C29" s="155"/>
      <c r="D29" s="151" t="e">
        <f>_xlfn.XLOOKUP(B29,Table13[Decription],Table13[Unit])</f>
        <v>#N/A</v>
      </c>
      <c r="E29" s="158" t="e">
        <f>_xlfn.XLOOKUP(B29,Table13[Decription],Table13[Unit Cost])</f>
        <v>#N/A</v>
      </c>
      <c r="F29" s="152" t="e">
        <f>_xlfn.XLOOKUP(B29,Table13[Decription],Table13[February 2025 - Balance Qty])</f>
        <v>#N/A</v>
      </c>
      <c r="G29" s="152" t="e">
        <f>_xlfn.XLOOKUP(B29,Table13[Decription],Table13[February 2025 - Balance Qty])</f>
        <v>#N/A</v>
      </c>
      <c r="H29" s="153">
        <v>0</v>
      </c>
      <c r="I29" s="153">
        <v>0</v>
      </c>
      <c r="J29" s="156"/>
      <c r="L29" s="143"/>
      <c r="M29" s="139"/>
      <c r="N29" s="148"/>
      <c r="O29" s="139"/>
      <c r="P29" s="139"/>
      <c r="Q29" s="139"/>
      <c r="R29" s="139"/>
      <c r="S29" s="139"/>
      <c r="T29" s="139"/>
      <c r="U29" s="139"/>
      <c r="V29" s="139"/>
    </row>
    <row r="30" spans="1:22" s="118" customFormat="1">
      <c r="A30" s="160">
        <f t="shared" si="0"/>
        <v>0</v>
      </c>
      <c r="B30" s="149">
        <f t="shared" si="1"/>
        <v>0</v>
      </c>
      <c r="C30" s="155"/>
      <c r="D30" s="151" t="e">
        <f>_xlfn.XLOOKUP(B30,Table13[Decription],Table13[Unit])</f>
        <v>#N/A</v>
      </c>
      <c r="E30" s="158" t="e">
        <f>_xlfn.XLOOKUP(B30,Table13[Decription],Table13[Unit Cost])</f>
        <v>#N/A</v>
      </c>
      <c r="F30" s="152" t="e">
        <f>_xlfn.XLOOKUP(B30,Table13[Decription],Table13[February 2025 - Balance Qty])</f>
        <v>#N/A</v>
      </c>
      <c r="G30" s="152" t="e">
        <f>_xlfn.XLOOKUP(B30,Table13[Decription],Table13[February 2025 - Balance Qty])</f>
        <v>#N/A</v>
      </c>
      <c r="H30" s="153">
        <v>0</v>
      </c>
      <c r="I30" s="153">
        <v>0</v>
      </c>
      <c r="J30" s="156"/>
      <c r="L30" s="143"/>
      <c r="M30" s="139"/>
      <c r="N30" s="148"/>
      <c r="O30" s="139"/>
      <c r="P30" s="139"/>
      <c r="Q30" s="139"/>
      <c r="R30" s="139"/>
      <c r="S30" s="139"/>
      <c r="T30" s="139"/>
      <c r="U30" s="139"/>
      <c r="V30" s="139"/>
    </row>
    <row r="31" spans="1:22" s="118" customFormat="1">
      <c r="A31" s="160">
        <f t="shared" si="0"/>
        <v>0</v>
      </c>
      <c r="B31" s="149">
        <f t="shared" si="1"/>
        <v>0</v>
      </c>
      <c r="C31" s="155"/>
      <c r="D31" s="151" t="e">
        <f>_xlfn.XLOOKUP(B31,Table13[Decription],Table13[Unit])</f>
        <v>#N/A</v>
      </c>
      <c r="E31" s="158" t="e">
        <f>_xlfn.XLOOKUP(B31,Table13[Decription],Table13[Unit Cost])</f>
        <v>#N/A</v>
      </c>
      <c r="F31" s="152" t="e">
        <f>_xlfn.XLOOKUP(B31,Table13[Decription],Table13[February 2025 - Balance Qty])</f>
        <v>#N/A</v>
      </c>
      <c r="G31" s="152" t="e">
        <f>_xlfn.XLOOKUP(B31,Table13[Decription],Table13[February 2025 - Balance Qty])</f>
        <v>#N/A</v>
      </c>
      <c r="H31" s="153">
        <v>0</v>
      </c>
      <c r="I31" s="153">
        <v>0</v>
      </c>
      <c r="J31" s="156"/>
      <c r="L31" s="143"/>
      <c r="M31" s="139"/>
      <c r="N31" s="148"/>
      <c r="O31" s="139"/>
      <c r="P31" s="139"/>
      <c r="Q31" s="139"/>
      <c r="R31" s="139"/>
      <c r="S31" s="139"/>
      <c r="T31" s="139"/>
      <c r="U31" s="139"/>
      <c r="V31" s="139"/>
    </row>
    <row r="32" spans="1:22" s="118" customFormat="1">
      <c r="A32" s="160">
        <f t="shared" si="0"/>
        <v>0</v>
      </c>
      <c r="B32" s="149">
        <f t="shared" si="1"/>
        <v>0</v>
      </c>
      <c r="C32" s="155"/>
      <c r="D32" s="151" t="e">
        <f>_xlfn.XLOOKUP(B32,Table13[Decription],Table13[Unit])</f>
        <v>#N/A</v>
      </c>
      <c r="E32" s="158" t="e">
        <f>_xlfn.XLOOKUP(B32,Table13[Decription],Table13[Unit Cost])</f>
        <v>#N/A</v>
      </c>
      <c r="F32" s="152" t="e">
        <f>_xlfn.XLOOKUP(B32,Table13[Decription],Table13[February 2025 - Balance Qty])</f>
        <v>#N/A</v>
      </c>
      <c r="G32" s="152" t="e">
        <f>_xlfn.XLOOKUP(B32,Table13[Decription],Table13[February 2025 - Balance Qty])</f>
        <v>#N/A</v>
      </c>
      <c r="H32" s="153">
        <v>0</v>
      </c>
      <c r="I32" s="153">
        <v>0</v>
      </c>
      <c r="J32" s="156"/>
      <c r="L32" s="143"/>
      <c r="M32" s="139"/>
      <c r="N32" s="148"/>
      <c r="O32" s="139"/>
      <c r="P32" s="139"/>
      <c r="Q32" s="139"/>
      <c r="R32" s="139"/>
      <c r="S32" s="139"/>
      <c r="T32" s="139"/>
      <c r="U32" s="139"/>
      <c r="V32" s="139"/>
    </row>
    <row r="33" spans="1:22" s="118" customFormat="1">
      <c r="A33" s="160">
        <f t="shared" si="0"/>
        <v>0</v>
      </c>
      <c r="B33" s="149">
        <f t="shared" si="1"/>
        <v>0</v>
      </c>
      <c r="C33" s="155"/>
      <c r="D33" s="151" t="e">
        <f>_xlfn.XLOOKUP(B33,Table13[Decription],Table13[Unit])</f>
        <v>#N/A</v>
      </c>
      <c r="E33" s="158" t="e">
        <f>_xlfn.XLOOKUP(B33,Table13[Decription],Table13[Unit Cost])</f>
        <v>#N/A</v>
      </c>
      <c r="F33" s="152" t="e">
        <f>_xlfn.XLOOKUP(B33,Table13[Decription],Table13[February 2025 - Balance Qty])</f>
        <v>#N/A</v>
      </c>
      <c r="G33" s="152" t="e">
        <f>_xlfn.XLOOKUP(B33,Table13[Decription],Table13[February 2025 - Balance Qty])</f>
        <v>#N/A</v>
      </c>
      <c r="H33" s="153">
        <v>0</v>
      </c>
      <c r="I33" s="153">
        <v>0</v>
      </c>
      <c r="J33" s="156"/>
      <c r="L33" s="143"/>
      <c r="M33" s="139"/>
      <c r="N33" s="148"/>
      <c r="O33" s="139"/>
      <c r="P33" s="139"/>
      <c r="Q33" s="139"/>
      <c r="R33" s="139"/>
      <c r="S33" s="139"/>
      <c r="T33" s="139"/>
      <c r="U33" s="139"/>
      <c r="V33" s="139"/>
    </row>
    <row r="34" spans="1:22" s="118" customFormat="1">
      <c r="A34" s="160">
        <f t="shared" si="0"/>
        <v>0</v>
      </c>
      <c r="B34" s="149">
        <f t="shared" si="1"/>
        <v>0</v>
      </c>
      <c r="C34" s="155"/>
      <c r="D34" s="151" t="e">
        <f>_xlfn.XLOOKUP(B34,Table13[Decription],Table13[Unit])</f>
        <v>#N/A</v>
      </c>
      <c r="E34" s="158" t="e">
        <f>_xlfn.XLOOKUP(B34,Table13[Decription],Table13[Unit Cost])</f>
        <v>#N/A</v>
      </c>
      <c r="F34" s="152" t="e">
        <f>_xlfn.XLOOKUP(B34,Table13[Decription],Table13[February 2025 - Balance Qty])</f>
        <v>#N/A</v>
      </c>
      <c r="G34" s="152" t="e">
        <f>_xlfn.XLOOKUP(B34,Table13[Decription],Table13[February 2025 - Balance Qty])</f>
        <v>#N/A</v>
      </c>
      <c r="H34" s="153">
        <v>0</v>
      </c>
      <c r="I34" s="153">
        <v>0</v>
      </c>
      <c r="J34" s="156"/>
      <c r="L34" s="143"/>
      <c r="M34" s="139"/>
      <c r="N34" s="148"/>
      <c r="O34" s="139"/>
      <c r="P34" s="139"/>
      <c r="Q34" s="139"/>
      <c r="R34" s="139"/>
      <c r="S34" s="139"/>
      <c r="T34" s="139"/>
      <c r="U34" s="139"/>
      <c r="V34" s="139"/>
    </row>
    <row r="35" spans="1:22" s="118" customFormat="1">
      <c r="A35" s="160">
        <f t="shared" si="0"/>
        <v>0</v>
      </c>
      <c r="B35" s="149">
        <f t="shared" si="1"/>
        <v>0</v>
      </c>
      <c r="C35" s="155"/>
      <c r="D35" s="151" t="e">
        <f>_xlfn.XLOOKUP(B35,Table13[Decription],Table13[Unit])</f>
        <v>#N/A</v>
      </c>
      <c r="E35" s="158" t="e">
        <f>_xlfn.XLOOKUP(B35,Table13[Decription],Table13[Unit Cost])</f>
        <v>#N/A</v>
      </c>
      <c r="F35" s="152" t="e">
        <f>_xlfn.XLOOKUP(B35,Table13[Decription],Table13[February 2025 - Balance Qty])</f>
        <v>#N/A</v>
      </c>
      <c r="G35" s="152" t="e">
        <f>_xlfn.XLOOKUP(B35,Table13[Decription],Table13[February 2025 - Balance Qty])</f>
        <v>#N/A</v>
      </c>
      <c r="H35" s="153">
        <v>0</v>
      </c>
      <c r="I35" s="153">
        <v>0</v>
      </c>
      <c r="J35" s="156"/>
      <c r="L35" s="143"/>
      <c r="M35" s="139"/>
      <c r="N35" s="148"/>
      <c r="O35" s="139"/>
      <c r="P35" s="139"/>
      <c r="Q35" s="139"/>
      <c r="R35" s="139"/>
      <c r="S35" s="139"/>
      <c r="T35" s="139"/>
      <c r="U35" s="139"/>
      <c r="V35" s="139"/>
    </row>
    <row r="36" spans="1:22" s="118" customFormat="1">
      <c r="A36" s="160">
        <f t="shared" si="0"/>
        <v>0</v>
      </c>
      <c r="B36" s="149">
        <f t="shared" si="1"/>
        <v>0</v>
      </c>
      <c r="C36" s="155"/>
      <c r="D36" s="151" t="e">
        <f>_xlfn.XLOOKUP(B36,Table13[Decription],Table13[Unit])</f>
        <v>#N/A</v>
      </c>
      <c r="E36" s="158" t="e">
        <f>_xlfn.XLOOKUP(B36,Table13[Decription],Table13[Unit Cost])</f>
        <v>#N/A</v>
      </c>
      <c r="F36" s="152" t="e">
        <f>_xlfn.XLOOKUP(B36,Table13[Decription],Table13[February 2025 - Balance Qty])</f>
        <v>#N/A</v>
      </c>
      <c r="G36" s="152" t="e">
        <f>_xlfn.XLOOKUP(B36,Table13[Decription],Table13[February 2025 - Balance Qty])</f>
        <v>#N/A</v>
      </c>
      <c r="H36" s="153">
        <v>0</v>
      </c>
      <c r="I36" s="153">
        <v>0</v>
      </c>
      <c r="J36" s="156"/>
      <c r="L36" s="143"/>
      <c r="M36" s="139"/>
      <c r="N36" s="148"/>
      <c r="O36" s="139"/>
      <c r="P36" s="139"/>
      <c r="Q36" s="139"/>
      <c r="R36" s="139"/>
      <c r="S36" s="139"/>
      <c r="T36" s="139"/>
      <c r="U36" s="139"/>
      <c r="V36" s="139"/>
    </row>
    <row r="37" spans="1:22" s="118" customFormat="1">
      <c r="A37" s="160">
        <f t="shared" si="0"/>
        <v>0</v>
      </c>
      <c r="B37" s="149">
        <f t="shared" si="1"/>
        <v>0</v>
      </c>
      <c r="C37" s="155"/>
      <c r="D37" s="151" t="e">
        <f>_xlfn.XLOOKUP(B37,Table13[Decription],Table13[Unit])</f>
        <v>#N/A</v>
      </c>
      <c r="E37" s="158" t="e">
        <f>_xlfn.XLOOKUP(B37,Table13[Decription],Table13[Unit Cost])</f>
        <v>#N/A</v>
      </c>
      <c r="F37" s="152" t="e">
        <f>_xlfn.XLOOKUP(B37,Table13[Decription],Table13[February 2025 - Balance Qty])</f>
        <v>#N/A</v>
      </c>
      <c r="G37" s="152" t="e">
        <f>_xlfn.XLOOKUP(B37,Table13[Decription],Table13[February 2025 - Balance Qty])</f>
        <v>#N/A</v>
      </c>
      <c r="H37" s="153">
        <v>0</v>
      </c>
      <c r="I37" s="153">
        <v>0</v>
      </c>
      <c r="J37" s="156"/>
      <c r="L37" s="143"/>
      <c r="M37" s="139"/>
      <c r="N37" s="148"/>
      <c r="O37" s="139"/>
      <c r="P37" s="139"/>
      <c r="Q37" s="139"/>
      <c r="R37" s="139"/>
      <c r="S37" s="139"/>
      <c r="T37" s="139"/>
      <c r="U37" s="139"/>
      <c r="V37" s="139"/>
    </row>
    <row r="38" spans="1:22" s="118" customFormat="1">
      <c r="A38" s="160">
        <f t="shared" si="0"/>
        <v>0</v>
      </c>
      <c r="B38" s="149">
        <f t="shared" si="1"/>
        <v>0</v>
      </c>
      <c r="C38" s="155"/>
      <c r="D38" s="151" t="e">
        <f>_xlfn.XLOOKUP(B38,Table13[Decription],Table13[Unit])</f>
        <v>#N/A</v>
      </c>
      <c r="E38" s="158" t="e">
        <f>_xlfn.XLOOKUP(B38,Table13[Decription],Table13[Unit Cost])</f>
        <v>#N/A</v>
      </c>
      <c r="F38" s="152" t="e">
        <f>_xlfn.XLOOKUP(B38,Table13[Decription],Table13[February 2025 - Balance Qty])</f>
        <v>#N/A</v>
      </c>
      <c r="G38" s="152" t="e">
        <f>_xlfn.XLOOKUP(B38,Table13[Decription],Table13[February 2025 - Balance Qty])</f>
        <v>#N/A</v>
      </c>
      <c r="H38" s="153">
        <v>0</v>
      </c>
      <c r="I38" s="153">
        <v>0</v>
      </c>
      <c r="J38" s="156"/>
      <c r="L38" s="143"/>
      <c r="M38" s="139"/>
      <c r="N38" s="148"/>
      <c r="O38" s="139"/>
      <c r="P38" s="139"/>
      <c r="Q38" s="139"/>
      <c r="R38" s="139"/>
      <c r="S38" s="139"/>
      <c r="T38" s="139"/>
      <c r="U38" s="139"/>
      <c r="V38" s="139"/>
    </row>
    <row r="39" spans="1:22" s="118" customFormat="1">
      <c r="A39" s="160">
        <f t="shared" si="0"/>
        <v>0</v>
      </c>
      <c r="B39" s="149">
        <f t="shared" si="1"/>
        <v>0</v>
      </c>
      <c r="C39" s="155"/>
      <c r="D39" s="151" t="e">
        <f>_xlfn.XLOOKUP(B39,Table13[Decription],Table13[Unit])</f>
        <v>#N/A</v>
      </c>
      <c r="E39" s="158" t="e">
        <f>_xlfn.XLOOKUP(B39,Table13[Decription],Table13[Unit Cost])</f>
        <v>#N/A</v>
      </c>
      <c r="F39" s="152" t="e">
        <f>_xlfn.XLOOKUP(B39,Table13[Decription],Table13[February 2025 - Balance Qty])</f>
        <v>#N/A</v>
      </c>
      <c r="G39" s="152" t="e">
        <f>_xlfn.XLOOKUP(B39,Table13[Decription],Table13[February 2025 - Balance Qty])</f>
        <v>#N/A</v>
      </c>
      <c r="H39" s="153">
        <v>0</v>
      </c>
      <c r="I39" s="153">
        <v>0</v>
      </c>
      <c r="J39" s="156"/>
      <c r="L39" s="143"/>
      <c r="M39" s="139"/>
      <c r="N39" s="148"/>
      <c r="O39" s="139"/>
      <c r="P39" s="139"/>
      <c r="Q39" s="139"/>
      <c r="R39" s="139"/>
      <c r="S39" s="139"/>
      <c r="T39" s="139"/>
      <c r="U39" s="139"/>
      <c r="V39" s="139"/>
    </row>
    <row r="40" spans="1:22" s="118" customFormat="1">
      <c r="A40" s="160">
        <f t="shared" si="0"/>
        <v>0</v>
      </c>
      <c r="B40" s="149">
        <f t="shared" si="1"/>
        <v>0</v>
      </c>
      <c r="C40" s="155"/>
      <c r="D40" s="151" t="e">
        <f>_xlfn.XLOOKUP(B40,Table13[Decription],Table13[Unit])</f>
        <v>#N/A</v>
      </c>
      <c r="E40" s="158" t="e">
        <f>_xlfn.XLOOKUP(B40,Table13[Decription],Table13[Unit Cost])</f>
        <v>#N/A</v>
      </c>
      <c r="F40" s="152" t="e">
        <f>_xlfn.XLOOKUP(B40,Table13[Decription],Table13[February 2025 - Balance Qty])</f>
        <v>#N/A</v>
      </c>
      <c r="G40" s="152" t="e">
        <f>_xlfn.XLOOKUP(B40,Table13[Decription],Table13[February 2025 - Balance Qty])</f>
        <v>#N/A</v>
      </c>
      <c r="H40" s="153">
        <v>0</v>
      </c>
      <c r="I40" s="153">
        <v>0</v>
      </c>
      <c r="J40" s="156"/>
      <c r="L40" s="143"/>
      <c r="M40" s="139"/>
      <c r="N40" s="148"/>
      <c r="O40" s="139"/>
      <c r="P40" s="139"/>
      <c r="Q40" s="139"/>
      <c r="R40" s="139"/>
      <c r="S40" s="139"/>
      <c r="T40" s="139"/>
      <c r="U40" s="139"/>
      <c r="V40" s="139"/>
    </row>
    <row r="41" spans="1:22" s="118" customFormat="1" hidden="1">
      <c r="A41" s="160">
        <f t="shared" si="0"/>
        <v>0</v>
      </c>
      <c r="B41" s="149">
        <f t="shared" si="1"/>
        <v>0</v>
      </c>
      <c r="C41" s="155"/>
      <c r="D41" s="151" t="e">
        <f>_xlfn.XLOOKUP(B41,Table13[Decription],Table13[Unit])</f>
        <v>#N/A</v>
      </c>
      <c r="E41" s="158" t="e">
        <f>_xlfn.XLOOKUP(B41,Table13[Decription],Table13[Unit Cost])</f>
        <v>#N/A</v>
      </c>
      <c r="F41" s="152" t="e">
        <f>_xlfn.XLOOKUP(B41,Table13[Decription],Table13[February 2025 - Balance Qty])</f>
        <v>#N/A</v>
      </c>
      <c r="G41" s="152" t="e">
        <f>_xlfn.XLOOKUP(B41,Table13[Decription],Table13[February 2025 - Balance Qty])</f>
        <v>#N/A</v>
      </c>
      <c r="H41" s="153">
        <v>0</v>
      </c>
      <c r="I41" s="153">
        <v>0</v>
      </c>
      <c r="J41" s="156"/>
      <c r="L41" s="143"/>
      <c r="M41" s="139"/>
      <c r="N41" s="148"/>
      <c r="O41" s="139"/>
      <c r="P41" s="139"/>
      <c r="Q41" s="139"/>
      <c r="R41" s="139"/>
      <c r="S41" s="139"/>
      <c r="T41" s="139"/>
      <c r="U41" s="139"/>
      <c r="V41" s="139"/>
    </row>
    <row r="42" spans="1:22" s="118" customFormat="1" ht="13.75" customHeight="1">
      <c r="A42" s="160">
        <f t="shared" si="0"/>
        <v>0</v>
      </c>
      <c r="B42" s="149">
        <f t="shared" si="1"/>
        <v>0</v>
      </c>
      <c r="C42" s="155"/>
      <c r="D42" s="151" t="e">
        <f>_xlfn.XLOOKUP(B42,Table13[Decription],Table13[Unit])</f>
        <v>#N/A</v>
      </c>
      <c r="E42" s="158" t="e">
        <f>_xlfn.XLOOKUP(B42,Table13[Decription],Table13[Unit Cost])</f>
        <v>#N/A</v>
      </c>
      <c r="F42" s="152" t="e">
        <f>_xlfn.XLOOKUP(B42,Table13[Decription],Table13[February 2025 - Balance Qty])</f>
        <v>#N/A</v>
      </c>
      <c r="G42" s="152" t="e">
        <f>_xlfn.XLOOKUP(B42,Table13[Decription],Table13[February 2025 - Balance Qty])</f>
        <v>#N/A</v>
      </c>
      <c r="H42" s="153">
        <v>0</v>
      </c>
      <c r="I42" s="153">
        <v>0</v>
      </c>
      <c r="J42" s="156"/>
      <c r="L42" s="143"/>
      <c r="M42" s="139"/>
      <c r="N42" s="148"/>
      <c r="O42" s="139"/>
      <c r="P42" s="139"/>
      <c r="Q42" s="139"/>
      <c r="R42" s="139"/>
      <c r="S42" s="139"/>
      <c r="T42" s="139"/>
      <c r="U42" s="139"/>
      <c r="V42" s="139"/>
    </row>
    <row r="43" spans="1:22" s="118" customFormat="1">
      <c r="A43" s="160">
        <f t="shared" si="0"/>
        <v>0</v>
      </c>
      <c r="B43" s="149">
        <f t="shared" si="1"/>
        <v>0</v>
      </c>
      <c r="C43" s="155"/>
      <c r="D43" s="151" t="e">
        <f>_xlfn.XLOOKUP(B43,Table13[Decription],Table13[Unit])</f>
        <v>#N/A</v>
      </c>
      <c r="E43" s="158" t="e">
        <f>_xlfn.XLOOKUP(B43,Table13[Decription],Table13[Unit Cost])</f>
        <v>#N/A</v>
      </c>
      <c r="F43" s="152" t="e">
        <f>_xlfn.XLOOKUP(B43,Table13[Decription],Table13[February 2025 - Balance Qty])</f>
        <v>#N/A</v>
      </c>
      <c r="G43" s="152" t="e">
        <f>_xlfn.XLOOKUP(B43,Table13[Decription],Table13[February 2025 - Balance Qty])</f>
        <v>#N/A</v>
      </c>
      <c r="H43" s="153">
        <v>0</v>
      </c>
      <c r="I43" s="153">
        <v>0</v>
      </c>
      <c r="J43" s="156"/>
      <c r="L43" s="143"/>
      <c r="M43" s="139"/>
      <c r="N43" s="148"/>
      <c r="O43" s="139"/>
      <c r="P43" s="139"/>
      <c r="Q43" s="139"/>
      <c r="R43" s="139"/>
      <c r="S43" s="139"/>
      <c r="T43" s="139"/>
      <c r="U43" s="139"/>
      <c r="V43" s="139"/>
    </row>
    <row r="44" spans="1:22" s="118" customFormat="1">
      <c r="A44" s="160">
        <f t="shared" si="0"/>
        <v>0</v>
      </c>
      <c r="B44" s="149">
        <f t="shared" si="1"/>
        <v>0</v>
      </c>
      <c r="C44" s="155"/>
      <c r="D44" s="151" t="e">
        <f>_xlfn.XLOOKUP(B44,Table13[Decription],Table13[Unit])</f>
        <v>#N/A</v>
      </c>
      <c r="E44" s="158" t="e">
        <f>_xlfn.XLOOKUP(B44,Table13[Decription],Table13[Unit Cost])</f>
        <v>#N/A</v>
      </c>
      <c r="F44" s="152" t="e">
        <f>_xlfn.XLOOKUP(B44,Table13[Decription],Table13[February 2025 - Balance Qty])</f>
        <v>#N/A</v>
      </c>
      <c r="G44" s="152" t="e">
        <f>_xlfn.XLOOKUP(B44,Table13[Decription],Table13[February 2025 - Balance Qty])</f>
        <v>#N/A</v>
      </c>
      <c r="H44" s="153">
        <v>0</v>
      </c>
      <c r="I44" s="153">
        <v>0</v>
      </c>
      <c r="J44" s="156"/>
      <c r="L44" s="143"/>
      <c r="M44" s="139"/>
      <c r="N44" s="148"/>
      <c r="O44" s="139"/>
      <c r="P44" s="139"/>
      <c r="Q44" s="139"/>
      <c r="R44" s="139"/>
      <c r="S44" s="139"/>
      <c r="T44" s="139"/>
      <c r="U44" s="139"/>
      <c r="V44" s="139"/>
    </row>
    <row r="45" spans="1:22" s="118" customFormat="1" hidden="1">
      <c r="A45" s="160">
        <f t="shared" si="0"/>
        <v>0</v>
      </c>
      <c r="B45" s="149">
        <f t="shared" si="1"/>
        <v>0</v>
      </c>
      <c r="C45" s="155"/>
      <c r="D45" s="151" t="e">
        <f>_xlfn.XLOOKUP(B45,Table13[Decription],Table13[Unit])</f>
        <v>#N/A</v>
      </c>
      <c r="E45" s="158" t="e">
        <f>_xlfn.XLOOKUP(B45,Table13[Decription],Table13[Unit Cost])</f>
        <v>#N/A</v>
      </c>
      <c r="F45" s="152" t="e">
        <f>_xlfn.XLOOKUP(B45,Table13[Decription],Table13[February 2025 - Balance Qty])</f>
        <v>#N/A</v>
      </c>
      <c r="G45" s="152" t="e">
        <f>_xlfn.XLOOKUP(B45,Table13[Decription],Table13[February 2025 - Balance Qty])</f>
        <v>#N/A</v>
      </c>
      <c r="H45" s="153">
        <v>0</v>
      </c>
      <c r="I45" s="153">
        <v>0</v>
      </c>
      <c r="J45" s="156"/>
      <c r="L45" s="143"/>
      <c r="M45" s="139"/>
      <c r="N45" s="148"/>
      <c r="O45" s="139"/>
      <c r="P45" s="139"/>
      <c r="Q45" s="139"/>
      <c r="R45" s="139"/>
      <c r="S45" s="139"/>
      <c r="T45" s="139"/>
      <c r="U45" s="139"/>
      <c r="V45" s="139"/>
    </row>
    <row r="46" spans="1:22" s="118" customFormat="1">
      <c r="A46" s="160">
        <f t="shared" si="0"/>
        <v>0</v>
      </c>
      <c r="B46" s="149">
        <f t="shared" si="1"/>
        <v>0</v>
      </c>
      <c r="C46" s="155"/>
      <c r="D46" s="151" t="e">
        <f>_xlfn.XLOOKUP(B46,Table13[Decription],Table13[Unit])</f>
        <v>#N/A</v>
      </c>
      <c r="E46" s="158" t="e">
        <f>_xlfn.XLOOKUP(B46,Table13[Decription],Table13[Unit Cost])</f>
        <v>#N/A</v>
      </c>
      <c r="F46" s="152" t="e">
        <f>_xlfn.XLOOKUP(B46,Table13[Decription],Table13[February 2025 - Balance Qty])</f>
        <v>#N/A</v>
      </c>
      <c r="G46" s="152" t="e">
        <f>_xlfn.XLOOKUP(B46,Table13[Decription],Table13[February 2025 - Balance Qty])</f>
        <v>#N/A</v>
      </c>
      <c r="H46" s="153">
        <v>0</v>
      </c>
      <c r="I46" s="153">
        <v>0</v>
      </c>
      <c r="J46" s="156"/>
      <c r="L46" s="143"/>
      <c r="M46" s="139"/>
      <c r="N46" s="148"/>
      <c r="O46" s="139"/>
      <c r="P46" s="139"/>
      <c r="Q46" s="139"/>
      <c r="R46" s="139"/>
      <c r="S46" s="139"/>
      <c r="T46" s="139"/>
      <c r="U46" s="139"/>
      <c r="V46" s="139"/>
    </row>
    <row r="47" spans="1:22" s="118" customFormat="1">
      <c r="A47" s="160">
        <f t="shared" si="0"/>
        <v>0</v>
      </c>
      <c r="B47" s="149">
        <f t="shared" si="1"/>
        <v>0</v>
      </c>
      <c r="C47" s="155"/>
      <c r="D47" s="151" t="e">
        <f>_xlfn.XLOOKUP(B47,Table13[Decription],Table13[Unit])</f>
        <v>#N/A</v>
      </c>
      <c r="E47" s="158" t="e">
        <f>_xlfn.XLOOKUP(B47,Table13[Decription],Table13[Unit Cost])</f>
        <v>#N/A</v>
      </c>
      <c r="F47" s="152" t="e">
        <f>_xlfn.XLOOKUP(B47,Table13[Decription],Table13[February 2025 - Balance Qty])</f>
        <v>#N/A</v>
      </c>
      <c r="G47" s="152" t="e">
        <f>_xlfn.XLOOKUP(B47,Table13[Decription],Table13[February 2025 - Balance Qty])</f>
        <v>#N/A</v>
      </c>
      <c r="H47" s="153">
        <v>0</v>
      </c>
      <c r="I47" s="153">
        <v>0</v>
      </c>
      <c r="J47" s="156"/>
      <c r="L47" s="143"/>
      <c r="M47" s="139"/>
      <c r="N47" s="148"/>
      <c r="O47" s="139"/>
      <c r="P47" s="139"/>
      <c r="Q47" s="139"/>
      <c r="R47" s="139"/>
      <c r="S47" s="139"/>
      <c r="T47" s="139"/>
      <c r="U47" s="139"/>
      <c r="V47" s="139"/>
    </row>
    <row r="48" spans="1:22" s="118" customFormat="1">
      <c r="A48" s="160">
        <f t="shared" si="0"/>
        <v>0</v>
      </c>
      <c r="B48" s="149">
        <f t="shared" si="1"/>
        <v>0</v>
      </c>
      <c r="C48" s="155"/>
      <c r="D48" s="151" t="e">
        <f>_xlfn.XLOOKUP(B48,Table13[Decription],Table13[Unit])</f>
        <v>#N/A</v>
      </c>
      <c r="E48" s="158" t="e">
        <f>_xlfn.XLOOKUP(B48,Table13[Decription],Table13[Unit Cost])</f>
        <v>#N/A</v>
      </c>
      <c r="F48" s="152" t="e">
        <f>_xlfn.XLOOKUP(B48,Table13[Decription],Table13[February 2025 - Balance Qty])</f>
        <v>#N/A</v>
      </c>
      <c r="G48" s="152" t="e">
        <f>_xlfn.XLOOKUP(B48,Table13[Decription],Table13[February 2025 - Balance Qty])</f>
        <v>#N/A</v>
      </c>
      <c r="H48" s="153">
        <v>0</v>
      </c>
      <c r="I48" s="153">
        <v>0</v>
      </c>
      <c r="J48" s="156"/>
      <c r="L48" s="143"/>
      <c r="M48" s="139"/>
      <c r="N48" s="148"/>
      <c r="O48" s="139"/>
      <c r="P48" s="139"/>
      <c r="Q48" s="139"/>
      <c r="R48" s="139"/>
      <c r="S48" s="139"/>
      <c r="T48" s="139"/>
      <c r="U48" s="139"/>
      <c r="V48" s="139"/>
    </row>
    <row r="49" spans="1:22" s="118" customFormat="1">
      <c r="A49" s="160">
        <f t="shared" si="0"/>
        <v>0</v>
      </c>
      <c r="B49" s="149">
        <f t="shared" si="1"/>
        <v>0</v>
      </c>
      <c r="C49" s="155"/>
      <c r="D49" s="151" t="e">
        <f>_xlfn.XLOOKUP(B49,Table13[Decription],Table13[Unit])</f>
        <v>#N/A</v>
      </c>
      <c r="E49" s="158" t="e">
        <f>_xlfn.XLOOKUP(B49,Table13[Decription],Table13[Unit Cost])</f>
        <v>#N/A</v>
      </c>
      <c r="F49" s="152" t="e">
        <f>_xlfn.XLOOKUP(B49,Table13[Decription],Table13[February 2025 - Balance Qty])</f>
        <v>#N/A</v>
      </c>
      <c r="G49" s="152" t="e">
        <f>_xlfn.XLOOKUP(B49,Table13[Decription],Table13[February 2025 - Balance Qty])</f>
        <v>#N/A</v>
      </c>
      <c r="H49" s="153">
        <v>0</v>
      </c>
      <c r="I49" s="153">
        <v>0</v>
      </c>
      <c r="J49" s="156"/>
      <c r="L49" s="143"/>
      <c r="M49" s="139"/>
      <c r="N49" s="148"/>
      <c r="O49" s="139"/>
      <c r="P49" s="139"/>
      <c r="Q49" s="139"/>
      <c r="R49" s="139"/>
      <c r="S49" s="139"/>
      <c r="T49" s="139"/>
      <c r="U49" s="139"/>
      <c r="V49" s="139"/>
    </row>
    <row r="50" spans="1:22" s="118" customFormat="1">
      <c r="A50" s="160">
        <f t="shared" si="0"/>
        <v>0</v>
      </c>
      <c r="B50" s="149">
        <f t="shared" si="1"/>
        <v>0</v>
      </c>
      <c r="C50" s="155"/>
      <c r="D50" s="151" t="e">
        <f>_xlfn.XLOOKUP(B50,Table13[Decription],Table13[Unit])</f>
        <v>#N/A</v>
      </c>
      <c r="E50" s="158" t="e">
        <f>_xlfn.XLOOKUP(B50,Table13[Decription],Table13[Unit Cost])</f>
        <v>#N/A</v>
      </c>
      <c r="F50" s="152" t="e">
        <f>_xlfn.XLOOKUP(B50,Table13[Decription],Table13[February 2025 - Balance Qty])</f>
        <v>#N/A</v>
      </c>
      <c r="G50" s="152" t="e">
        <f>_xlfn.XLOOKUP(B50,Table13[Decription],Table13[February 2025 - Balance Qty])</f>
        <v>#N/A</v>
      </c>
      <c r="H50" s="153">
        <v>0</v>
      </c>
      <c r="I50" s="153">
        <v>0</v>
      </c>
      <c r="J50" s="156"/>
      <c r="L50" s="143"/>
      <c r="M50" s="139"/>
      <c r="N50" s="148"/>
      <c r="O50" s="139"/>
      <c r="P50" s="139"/>
      <c r="Q50" s="139"/>
      <c r="R50" s="139"/>
      <c r="S50" s="139"/>
      <c r="T50" s="139"/>
      <c r="U50" s="139"/>
      <c r="V50" s="139"/>
    </row>
    <row r="51" spans="1:22" s="118" customFormat="1">
      <c r="A51" s="160">
        <f t="shared" si="0"/>
        <v>0</v>
      </c>
      <c r="B51" s="149">
        <f t="shared" si="1"/>
        <v>0</v>
      </c>
      <c r="C51" s="155"/>
      <c r="D51" s="151" t="e">
        <f>_xlfn.XLOOKUP(B51,Table13[Decription],Table13[Unit])</f>
        <v>#N/A</v>
      </c>
      <c r="E51" s="158" t="e">
        <f>_xlfn.XLOOKUP(B51,Table13[Decription],Table13[Unit Cost])</f>
        <v>#N/A</v>
      </c>
      <c r="F51" s="152" t="e">
        <f>_xlfn.XLOOKUP(B51,Table13[Decription],Table13[February 2025 - Balance Qty])</f>
        <v>#N/A</v>
      </c>
      <c r="G51" s="152" t="e">
        <f>_xlfn.XLOOKUP(B51,Table13[Decription],Table13[February 2025 - Balance Qty])</f>
        <v>#N/A</v>
      </c>
      <c r="H51" s="153">
        <v>0</v>
      </c>
      <c r="I51" s="153">
        <v>0</v>
      </c>
      <c r="J51" s="156"/>
      <c r="L51" s="143"/>
      <c r="M51" s="139"/>
      <c r="N51" s="148"/>
      <c r="O51" s="139"/>
      <c r="P51" s="139"/>
      <c r="Q51" s="139"/>
      <c r="R51" s="139"/>
      <c r="S51" s="139"/>
      <c r="T51" s="139"/>
      <c r="U51" s="139"/>
      <c r="V51" s="139"/>
    </row>
    <row r="52" spans="1:22" s="118" customFormat="1">
      <c r="A52" s="160">
        <f t="shared" si="0"/>
        <v>0</v>
      </c>
      <c r="B52" s="149">
        <f t="shared" si="1"/>
        <v>0</v>
      </c>
      <c r="C52" s="155"/>
      <c r="D52" s="151" t="e">
        <f>_xlfn.XLOOKUP(B52,Table13[Decription],Table13[Unit])</f>
        <v>#N/A</v>
      </c>
      <c r="E52" s="158" t="e">
        <f>_xlfn.XLOOKUP(B52,Table13[Decription],Table13[Unit Cost])</f>
        <v>#N/A</v>
      </c>
      <c r="F52" s="152" t="e">
        <f>_xlfn.XLOOKUP(B52,Table13[Decription],Table13[February 2025 - Balance Qty])</f>
        <v>#N/A</v>
      </c>
      <c r="G52" s="152" t="e">
        <f>_xlfn.XLOOKUP(B52,Table13[Decription],Table13[February 2025 - Balance Qty])</f>
        <v>#N/A</v>
      </c>
      <c r="H52" s="153">
        <v>0</v>
      </c>
      <c r="I52" s="153">
        <v>0</v>
      </c>
      <c r="J52" s="156"/>
      <c r="L52" s="143"/>
      <c r="M52" s="139"/>
      <c r="N52" s="148"/>
      <c r="O52" s="139"/>
      <c r="P52" s="139"/>
      <c r="Q52" s="139"/>
      <c r="R52" s="139"/>
      <c r="S52" s="139"/>
      <c r="T52" s="139"/>
      <c r="U52" s="139"/>
      <c r="V52" s="139"/>
    </row>
    <row r="53" spans="1:22" s="118" customFormat="1">
      <c r="A53" s="160">
        <f t="shared" si="0"/>
        <v>0</v>
      </c>
      <c r="B53" s="149">
        <f t="shared" si="1"/>
        <v>0</v>
      </c>
      <c r="C53" s="155"/>
      <c r="D53" s="151" t="e">
        <f>_xlfn.XLOOKUP(B53,Table13[Decription],Table13[Unit])</f>
        <v>#N/A</v>
      </c>
      <c r="E53" s="158" t="e">
        <f>_xlfn.XLOOKUP(B53,Table13[Decription],Table13[Unit Cost])</f>
        <v>#N/A</v>
      </c>
      <c r="F53" s="152" t="e">
        <f>_xlfn.XLOOKUP(B53,Table13[Decription],Table13[February 2025 - Balance Qty])</f>
        <v>#N/A</v>
      </c>
      <c r="G53" s="152" t="e">
        <f>_xlfn.XLOOKUP(B53,Table13[Decription],Table13[February 2025 - Balance Qty])</f>
        <v>#N/A</v>
      </c>
      <c r="H53" s="153">
        <v>0</v>
      </c>
      <c r="I53" s="153">
        <v>0</v>
      </c>
      <c r="J53" s="156"/>
      <c r="L53" s="143"/>
      <c r="M53" s="139"/>
      <c r="N53" s="148"/>
      <c r="O53" s="139"/>
      <c r="P53" s="139"/>
      <c r="Q53" s="139"/>
      <c r="R53" s="139"/>
      <c r="S53" s="139"/>
      <c r="T53" s="139"/>
      <c r="U53" s="139"/>
      <c r="V53" s="139"/>
    </row>
    <row r="54" spans="1:22" s="118" customFormat="1">
      <c r="A54" s="160">
        <f t="shared" si="0"/>
        <v>0</v>
      </c>
      <c r="B54" s="149">
        <f t="shared" si="1"/>
        <v>0</v>
      </c>
      <c r="C54" s="155"/>
      <c r="D54" s="151" t="e">
        <f>_xlfn.XLOOKUP(B54,Table13[Decription],Table13[Unit])</f>
        <v>#N/A</v>
      </c>
      <c r="E54" s="158" t="e">
        <f>_xlfn.XLOOKUP(B54,Table13[Decription],Table13[Unit Cost])</f>
        <v>#N/A</v>
      </c>
      <c r="F54" s="152" t="e">
        <f>_xlfn.XLOOKUP(B54,Table13[Decription],Table13[February 2025 - Balance Qty])</f>
        <v>#N/A</v>
      </c>
      <c r="G54" s="152" t="e">
        <f>_xlfn.XLOOKUP(B54,Table13[Decription],Table13[February 2025 - Balance Qty])</f>
        <v>#N/A</v>
      </c>
      <c r="H54" s="153">
        <v>0</v>
      </c>
      <c r="I54" s="153">
        <v>0</v>
      </c>
      <c r="J54" s="156"/>
      <c r="L54" s="143"/>
      <c r="M54" s="139"/>
      <c r="N54" s="148"/>
      <c r="O54" s="139"/>
      <c r="P54" s="139"/>
      <c r="Q54" s="139"/>
      <c r="R54" s="139"/>
      <c r="S54" s="139"/>
      <c r="T54" s="139"/>
      <c r="U54" s="139"/>
      <c r="V54" s="139"/>
    </row>
    <row r="55" spans="1:22" s="118" customFormat="1">
      <c r="A55" s="160">
        <f t="shared" si="0"/>
        <v>0</v>
      </c>
      <c r="B55" s="149">
        <f t="shared" si="1"/>
        <v>0</v>
      </c>
      <c r="C55" s="155"/>
      <c r="D55" s="151" t="e">
        <f>_xlfn.XLOOKUP(B55,Table13[Decription],Table13[Unit])</f>
        <v>#N/A</v>
      </c>
      <c r="E55" s="158" t="e">
        <f>_xlfn.XLOOKUP(B55,Table13[Decription],Table13[Unit Cost])</f>
        <v>#N/A</v>
      </c>
      <c r="F55" s="152" t="e">
        <f>_xlfn.XLOOKUP(B55,Table13[Decription],Table13[February 2025 - Balance Qty])</f>
        <v>#N/A</v>
      </c>
      <c r="G55" s="152" t="e">
        <f>_xlfn.XLOOKUP(B55,Table13[Decription],Table13[February 2025 - Balance Qty])</f>
        <v>#N/A</v>
      </c>
      <c r="H55" s="153">
        <v>0</v>
      </c>
      <c r="I55" s="153">
        <v>0</v>
      </c>
      <c r="J55" s="156"/>
      <c r="L55" s="143"/>
      <c r="M55" s="139"/>
      <c r="N55" s="148"/>
      <c r="O55" s="139"/>
      <c r="P55" s="139"/>
      <c r="Q55" s="139"/>
      <c r="R55" s="139"/>
      <c r="S55" s="139"/>
      <c r="T55" s="139"/>
      <c r="U55" s="139"/>
      <c r="V55" s="139"/>
    </row>
    <row r="56" spans="1:22" s="118" customFormat="1">
      <c r="A56" s="160">
        <f t="shared" si="0"/>
        <v>0</v>
      </c>
      <c r="B56" s="149">
        <f t="shared" si="1"/>
        <v>0</v>
      </c>
      <c r="C56" s="155"/>
      <c r="D56" s="151" t="e">
        <f>_xlfn.XLOOKUP(B56,Table13[Decription],Table13[Unit])</f>
        <v>#N/A</v>
      </c>
      <c r="E56" s="158" t="e">
        <f>_xlfn.XLOOKUP(B56,Table13[Decription],Table13[Unit Cost])</f>
        <v>#N/A</v>
      </c>
      <c r="F56" s="152" t="e">
        <f>_xlfn.XLOOKUP(B56,Table13[Decription],Table13[February 2025 - Balance Qty])</f>
        <v>#N/A</v>
      </c>
      <c r="G56" s="152" t="e">
        <f>_xlfn.XLOOKUP(B56,Table13[Decription],Table13[February 2025 - Balance Qty])</f>
        <v>#N/A</v>
      </c>
      <c r="H56" s="153">
        <v>0</v>
      </c>
      <c r="I56" s="153">
        <v>0</v>
      </c>
      <c r="J56" s="156"/>
      <c r="L56" s="143"/>
      <c r="M56" s="139"/>
      <c r="N56" s="148"/>
      <c r="O56" s="139"/>
      <c r="P56" s="139"/>
      <c r="Q56" s="139"/>
      <c r="R56" s="139"/>
      <c r="S56" s="139"/>
      <c r="T56" s="139"/>
      <c r="U56" s="139"/>
      <c r="V56" s="139"/>
    </row>
    <row r="57" spans="1:22" s="118" customFormat="1">
      <c r="A57" s="160">
        <f t="shared" si="0"/>
        <v>0</v>
      </c>
      <c r="B57" s="149">
        <f t="shared" si="1"/>
        <v>0</v>
      </c>
      <c r="C57" s="155"/>
      <c r="D57" s="151" t="e">
        <f>_xlfn.XLOOKUP(B57,Table13[Decription],Table13[Unit])</f>
        <v>#N/A</v>
      </c>
      <c r="E57" s="158" t="e">
        <f>_xlfn.XLOOKUP(B57,Table13[Decription],Table13[Unit Cost])</f>
        <v>#N/A</v>
      </c>
      <c r="F57" s="152" t="e">
        <f>_xlfn.XLOOKUP(B57,Table13[Decription],Table13[February 2025 - Balance Qty])</f>
        <v>#N/A</v>
      </c>
      <c r="G57" s="152" t="e">
        <f>_xlfn.XLOOKUP(B57,Table13[Decription],Table13[February 2025 - Balance Qty])</f>
        <v>#N/A</v>
      </c>
      <c r="H57" s="153">
        <v>0</v>
      </c>
      <c r="I57" s="153">
        <v>0</v>
      </c>
      <c r="J57" s="156"/>
      <c r="L57" s="143"/>
      <c r="M57" s="139"/>
      <c r="N57" s="148"/>
      <c r="O57" s="139"/>
      <c r="P57" s="139"/>
      <c r="Q57" s="139"/>
      <c r="R57" s="139"/>
      <c r="S57" s="139"/>
      <c r="T57" s="139"/>
      <c r="U57" s="139"/>
      <c r="V57" s="139"/>
    </row>
    <row r="58" spans="1:22" s="118" customFormat="1">
      <c r="A58" s="160">
        <f t="shared" si="0"/>
        <v>0</v>
      </c>
      <c r="B58" s="149">
        <f t="shared" si="1"/>
        <v>0</v>
      </c>
      <c r="C58" s="155"/>
      <c r="D58" s="151" t="e">
        <f>_xlfn.XLOOKUP(B58,Table13[Decription],Table13[Unit])</f>
        <v>#N/A</v>
      </c>
      <c r="E58" s="158" t="e">
        <f>_xlfn.XLOOKUP(B58,Table13[Decription],Table13[Unit Cost])</f>
        <v>#N/A</v>
      </c>
      <c r="F58" s="152" t="e">
        <f>_xlfn.XLOOKUP(B58,Table13[Decription],Table13[February 2025 - Balance Qty])</f>
        <v>#N/A</v>
      </c>
      <c r="G58" s="152" t="e">
        <f>_xlfn.XLOOKUP(B58,Table13[Decription],Table13[February 2025 - Balance Qty])</f>
        <v>#N/A</v>
      </c>
      <c r="H58" s="153">
        <v>0</v>
      </c>
      <c r="I58" s="153">
        <v>0</v>
      </c>
      <c r="J58" s="156"/>
      <c r="L58" s="143"/>
      <c r="M58" s="139"/>
      <c r="N58" s="148"/>
      <c r="O58" s="139"/>
      <c r="P58" s="139"/>
      <c r="Q58" s="139"/>
      <c r="R58" s="139"/>
      <c r="S58" s="139"/>
      <c r="T58" s="139"/>
      <c r="U58" s="139"/>
      <c r="V58" s="139"/>
    </row>
    <row r="59" spans="1:22" s="118" customFormat="1">
      <c r="A59" s="160">
        <f t="shared" si="0"/>
        <v>0</v>
      </c>
      <c r="B59" s="149">
        <f t="shared" si="1"/>
        <v>0</v>
      </c>
      <c r="C59" s="155"/>
      <c r="D59" s="151" t="e">
        <f>_xlfn.XLOOKUP(B59,Table13[Decription],Table13[Unit])</f>
        <v>#N/A</v>
      </c>
      <c r="E59" s="158" t="e">
        <f>_xlfn.XLOOKUP(B59,Table13[Decription],Table13[Unit Cost])</f>
        <v>#N/A</v>
      </c>
      <c r="F59" s="152" t="e">
        <f>_xlfn.XLOOKUP(B59,Table13[Decription],Table13[February 2025 - Balance Qty])</f>
        <v>#N/A</v>
      </c>
      <c r="G59" s="152" t="e">
        <f>_xlfn.XLOOKUP(B59,Table13[Decription],Table13[February 2025 - Balance Qty])</f>
        <v>#N/A</v>
      </c>
      <c r="H59" s="153">
        <v>0</v>
      </c>
      <c r="I59" s="153">
        <v>0</v>
      </c>
      <c r="J59" s="156"/>
      <c r="L59" s="143"/>
      <c r="M59" s="139"/>
      <c r="N59" s="148"/>
      <c r="O59" s="139"/>
      <c r="P59" s="139"/>
      <c r="Q59" s="139"/>
      <c r="R59" s="139"/>
      <c r="S59" s="139"/>
      <c r="T59" s="139"/>
      <c r="U59" s="139"/>
      <c r="V59" s="139"/>
    </row>
    <row r="60" spans="1:22" s="118" customFormat="1">
      <c r="A60" s="160">
        <f t="shared" si="0"/>
        <v>0</v>
      </c>
      <c r="B60" s="149">
        <f t="shared" si="1"/>
        <v>0</v>
      </c>
      <c r="C60" s="155"/>
      <c r="D60" s="151" t="e">
        <f>_xlfn.XLOOKUP(B60,Table13[Decription],Table13[Unit])</f>
        <v>#N/A</v>
      </c>
      <c r="E60" s="158" t="e">
        <f>_xlfn.XLOOKUP(B60,Table13[Decription],Table13[Unit Cost])</f>
        <v>#N/A</v>
      </c>
      <c r="F60" s="152" t="e">
        <f>_xlfn.XLOOKUP(B60,Table13[Decription],Table13[February 2025 - Balance Qty])</f>
        <v>#N/A</v>
      </c>
      <c r="G60" s="152" t="e">
        <f>_xlfn.XLOOKUP(B60,Table13[Decription],Table13[February 2025 - Balance Qty])</f>
        <v>#N/A</v>
      </c>
      <c r="H60" s="153">
        <v>0</v>
      </c>
      <c r="I60" s="153">
        <v>0</v>
      </c>
      <c r="J60" s="156"/>
      <c r="L60" s="143"/>
      <c r="M60" s="139"/>
      <c r="N60" s="148"/>
      <c r="O60" s="139"/>
      <c r="P60" s="139"/>
      <c r="Q60" s="139"/>
      <c r="R60" s="139"/>
      <c r="S60" s="139"/>
      <c r="T60" s="139"/>
      <c r="U60" s="139"/>
      <c r="V60" s="139"/>
    </row>
    <row r="61" spans="1:22" s="118" customFormat="1">
      <c r="A61" s="160">
        <f t="shared" si="0"/>
        <v>0</v>
      </c>
      <c r="B61" s="149">
        <f t="shared" si="1"/>
        <v>0</v>
      </c>
      <c r="C61" s="155"/>
      <c r="D61" s="151" t="e">
        <f>_xlfn.XLOOKUP(B61,Table13[Decription],Table13[Unit])</f>
        <v>#N/A</v>
      </c>
      <c r="E61" s="158" t="e">
        <f>_xlfn.XLOOKUP(B61,Table13[Decription],Table13[Unit Cost])</f>
        <v>#N/A</v>
      </c>
      <c r="F61" s="152" t="e">
        <f>_xlfn.XLOOKUP(B61,Table13[Decription],Table13[February 2025 - Balance Qty])</f>
        <v>#N/A</v>
      </c>
      <c r="G61" s="152" t="e">
        <f>_xlfn.XLOOKUP(B61,Table13[Decription],Table13[February 2025 - Balance Qty])</f>
        <v>#N/A</v>
      </c>
      <c r="H61" s="153">
        <v>0</v>
      </c>
      <c r="I61" s="153">
        <v>0</v>
      </c>
      <c r="J61" s="156"/>
      <c r="L61" s="143"/>
      <c r="M61" s="139"/>
      <c r="N61" s="148"/>
      <c r="O61" s="139"/>
      <c r="P61" s="139"/>
      <c r="Q61" s="139"/>
      <c r="R61" s="139"/>
      <c r="S61" s="139"/>
      <c r="T61" s="139"/>
      <c r="U61" s="139"/>
      <c r="V61" s="139"/>
    </row>
    <row r="62" spans="1:22" s="118" customFormat="1">
      <c r="A62" s="160">
        <f t="shared" si="0"/>
        <v>0</v>
      </c>
      <c r="B62" s="149">
        <f t="shared" si="1"/>
        <v>0</v>
      </c>
      <c r="C62" s="155"/>
      <c r="D62" s="151" t="e">
        <f>_xlfn.XLOOKUP(B62,Table13[Decription],Table13[Unit])</f>
        <v>#N/A</v>
      </c>
      <c r="E62" s="158" t="e">
        <f>_xlfn.XLOOKUP(B62,Table13[Decription],Table13[Unit Cost])</f>
        <v>#N/A</v>
      </c>
      <c r="F62" s="152" t="e">
        <f>_xlfn.XLOOKUP(B62,Table13[Decription],Table13[February 2025 - Balance Qty])</f>
        <v>#N/A</v>
      </c>
      <c r="G62" s="152" t="e">
        <f>_xlfn.XLOOKUP(B62,Table13[Decription],Table13[February 2025 - Balance Qty])</f>
        <v>#N/A</v>
      </c>
      <c r="H62" s="153">
        <v>0</v>
      </c>
      <c r="I62" s="153">
        <v>0</v>
      </c>
      <c r="J62" s="156"/>
      <c r="L62" s="143"/>
      <c r="M62" s="139"/>
      <c r="N62" s="148"/>
      <c r="O62" s="139"/>
      <c r="P62" s="139"/>
      <c r="Q62" s="139"/>
      <c r="R62" s="139"/>
      <c r="S62" s="139"/>
      <c r="T62" s="139"/>
      <c r="U62" s="139"/>
      <c r="V62" s="139"/>
    </row>
    <row r="63" spans="1:22" s="118" customFormat="1">
      <c r="A63" s="160">
        <f t="shared" si="0"/>
        <v>0</v>
      </c>
      <c r="B63" s="149">
        <f t="shared" si="1"/>
        <v>0</v>
      </c>
      <c r="C63" s="155"/>
      <c r="D63" s="151" t="e">
        <f>_xlfn.XLOOKUP(B63,Table13[Decription],Table13[Unit])</f>
        <v>#N/A</v>
      </c>
      <c r="E63" s="158" t="e">
        <f>_xlfn.XLOOKUP(B63,Table13[Decription],Table13[Unit Cost])</f>
        <v>#N/A</v>
      </c>
      <c r="F63" s="152" t="e">
        <f>_xlfn.XLOOKUP(B63,Table13[Decription],Table13[February 2025 - Balance Qty])</f>
        <v>#N/A</v>
      </c>
      <c r="G63" s="152" t="e">
        <f>_xlfn.XLOOKUP(B63,Table13[Decription],Table13[February 2025 - Balance Qty])</f>
        <v>#N/A</v>
      </c>
      <c r="H63" s="153">
        <v>0</v>
      </c>
      <c r="I63" s="153">
        <v>0</v>
      </c>
      <c r="J63" s="156"/>
      <c r="L63" s="143"/>
      <c r="M63" s="139"/>
      <c r="N63" s="148"/>
      <c r="O63" s="139"/>
      <c r="P63" s="139"/>
      <c r="Q63" s="139"/>
      <c r="R63" s="139"/>
      <c r="S63" s="139"/>
      <c r="T63" s="139"/>
      <c r="U63" s="139"/>
      <c r="V63" s="139"/>
    </row>
    <row r="64" spans="1:22" s="118" customFormat="1">
      <c r="A64" s="160">
        <f t="shared" si="0"/>
        <v>0</v>
      </c>
      <c r="B64" s="149">
        <f t="shared" si="1"/>
        <v>0</v>
      </c>
      <c r="C64" s="155"/>
      <c r="D64" s="151" t="e">
        <f>_xlfn.XLOOKUP(B64,Table13[Decription],Table13[Unit])</f>
        <v>#N/A</v>
      </c>
      <c r="E64" s="158" t="e">
        <f>_xlfn.XLOOKUP(B64,Table13[Decription],Table13[Unit Cost])</f>
        <v>#N/A</v>
      </c>
      <c r="F64" s="152" t="e">
        <f>_xlfn.XLOOKUP(B64,Table13[Decription],Table13[February 2025 - Balance Qty])</f>
        <v>#N/A</v>
      </c>
      <c r="G64" s="152" t="e">
        <f>_xlfn.XLOOKUP(B64,Table13[Decription],Table13[February 2025 - Balance Qty])</f>
        <v>#N/A</v>
      </c>
      <c r="H64" s="153">
        <v>0</v>
      </c>
      <c r="I64" s="153">
        <v>0</v>
      </c>
      <c r="J64" s="156"/>
      <c r="L64" s="143"/>
      <c r="M64" s="139"/>
      <c r="N64" s="148"/>
      <c r="O64" s="139"/>
      <c r="P64" s="139"/>
      <c r="Q64" s="139"/>
      <c r="R64" s="139"/>
      <c r="S64" s="139"/>
      <c r="T64" s="139"/>
      <c r="U64" s="139"/>
      <c r="V64" s="139"/>
    </row>
    <row r="65" spans="1:22" s="118" customFormat="1">
      <c r="A65" s="160">
        <f t="shared" si="0"/>
        <v>0</v>
      </c>
      <c r="B65" s="149">
        <f t="shared" si="1"/>
        <v>0</v>
      </c>
      <c r="C65" s="155"/>
      <c r="D65" s="151" t="e">
        <f>_xlfn.XLOOKUP(B65,Table13[Decription],Table13[Unit])</f>
        <v>#N/A</v>
      </c>
      <c r="E65" s="158" t="e">
        <f>_xlfn.XLOOKUP(B65,Table13[Decription],Table13[Unit Cost])</f>
        <v>#N/A</v>
      </c>
      <c r="F65" s="152" t="e">
        <f>_xlfn.XLOOKUP(B65,Table13[Decription],Table13[February 2025 - Balance Qty])</f>
        <v>#N/A</v>
      </c>
      <c r="G65" s="152" t="e">
        <f>_xlfn.XLOOKUP(B65,Table13[Decription],Table13[February 2025 - Balance Qty])</f>
        <v>#N/A</v>
      </c>
      <c r="H65" s="153">
        <v>0</v>
      </c>
      <c r="I65" s="153">
        <v>0</v>
      </c>
      <c r="J65" s="156"/>
      <c r="L65" s="143"/>
      <c r="M65" s="139"/>
      <c r="N65" s="148"/>
      <c r="O65" s="139"/>
      <c r="P65" s="139"/>
      <c r="Q65" s="139"/>
      <c r="R65" s="139"/>
      <c r="S65" s="139"/>
      <c r="T65" s="139"/>
      <c r="U65" s="139"/>
      <c r="V65" s="139"/>
    </row>
    <row r="66" spans="1:22" s="118" customFormat="1">
      <c r="A66" s="160">
        <f t="shared" si="0"/>
        <v>0</v>
      </c>
      <c r="B66" s="149">
        <f t="shared" si="1"/>
        <v>0</v>
      </c>
      <c r="C66" s="155"/>
      <c r="D66" s="151" t="e">
        <f>_xlfn.XLOOKUP(B66,Table13[Decription],Table13[Unit])</f>
        <v>#N/A</v>
      </c>
      <c r="E66" s="158" t="e">
        <f>_xlfn.XLOOKUP(B66,Table13[Decription],Table13[Unit Cost])</f>
        <v>#N/A</v>
      </c>
      <c r="F66" s="152" t="e">
        <f>_xlfn.XLOOKUP(B66,Table13[Decription],Table13[February 2025 - Balance Qty])</f>
        <v>#N/A</v>
      </c>
      <c r="G66" s="152" t="e">
        <f>_xlfn.XLOOKUP(B66,Table13[Decription],Table13[February 2025 - Balance Qty])</f>
        <v>#N/A</v>
      </c>
      <c r="H66" s="153">
        <v>0</v>
      </c>
      <c r="I66" s="153">
        <v>0</v>
      </c>
      <c r="J66" s="156"/>
      <c r="L66" s="143"/>
      <c r="M66" s="139"/>
      <c r="N66" s="148"/>
      <c r="O66" s="139"/>
      <c r="P66" s="139"/>
      <c r="Q66" s="139"/>
      <c r="R66" s="139"/>
      <c r="S66" s="139"/>
      <c r="T66" s="139"/>
      <c r="U66" s="139"/>
      <c r="V66" s="139"/>
    </row>
    <row r="67" spans="1:22" s="118" customFormat="1">
      <c r="A67" s="160">
        <f t="shared" si="0"/>
        <v>0</v>
      </c>
      <c r="B67" s="149">
        <f t="shared" si="1"/>
        <v>0</v>
      </c>
      <c r="C67" s="155"/>
      <c r="D67" s="151" t="e">
        <f>_xlfn.XLOOKUP(B67,Table13[Decription],Table13[Unit])</f>
        <v>#N/A</v>
      </c>
      <c r="E67" s="158" t="e">
        <f>_xlfn.XLOOKUP(B67,Table13[Decription],Table13[Unit Cost])</f>
        <v>#N/A</v>
      </c>
      <c r="F67" s="152" t="e">
        <f>_xlfn.XLOOKUP(B67,Table13[Decription],Table13[February 2025 - Balance Qty])</f>
        <v>#N/A</v>
      </c>
      <c r="G67" s="152" t="e">
        <f>_xlfn.XLOOKUP(B67,Table13[Decription],Table13[February 2025 - Balance Qty])</f>
        <v>#N/A</v>
      </c>
      <c r="H67" s="153">
        <v>0</v>
      </c>
      <c r="I67" s="153">
        <v>0</v>
      </c>
      <c r="J67" s="156"/>
      <c r="L67" s="143"/>
      <c r="M67" s="139"/>
      <c r="N67" s="148"/>
      <c r="O67" s="139"/>
      <c r="P67" s="139"/>
      <c r="Q67" s="139"/>
      <c r="R67" s="139"/>
      <c r="S67" s="139"/>
      <c r="T67" s="139"/>
      <c r="U67" s="139"/>
      <c r="V67" s="139"/>
    </row>
    <row r="68" spans="1:22" s="118" customFormat="1">
      <c r="A68" s="160">
        <f t="shared" si="0"/>
        <v>0</v>
      </c>
      <c r="B68" s="149">
        <f t="shared" si="1"/>
        <v>0</v>
      </c>
      <c r="C68" s="155"/>
      <c r="D68" s="151" t="e">
        <f>_xlfn.XLOOKUP(B68,Table13[Decription],Table13[Unit])</f>
        <v>#N/A</v>
      </c>
      <c r="E68" s="158" t="e">
        <f>_xlfn.XLOOKUP(B68,Table13[Decription],Table13[Unit Cost])</f>
        <v>#N/A</v>
      </c>
      <c r="F68" s="152" t="e">
        <f>_xlfn.XLOOKUP(B68,Table13[Decription],Table13[February 2025 - Balance Qty])</f>
        <v>#N/A</v>
      </c>
      <c r="G68" s="152" t="e">
        <f>_xlfn.XLOOKUP(B68,Table13[Decription],Table13[February 2025 - Balance Qty])</f>
        <v>#N/A</v>
      </c>
      <c r="H68" s="153">
        <v>0</v>
      </c>
      <c r="I68" s="153">
        <v>0</v>
      </c>
      <c r="J68" s="156"/>
      <c r="L68" s="143"/>
      <c r="M68" s="139"/>
      <c r="N68" s="148"/>
      <c r="O68" s="139"/>
      <c r="P68" s="139"/>
      <c r="Q68" s="139"/>
      <c r="R68" s="139"/>
      <c r="S68" s="139"/>
      <c r="T68" s="139"/>
      <c r="U68" s="139"/>
      <c r="V68" s="139"/>
    </row>
    <row r="69" spans="1:22" s="118" customFormat="1">
      <c r="A69" s="160">
        <f t="shared" si="0"/>
        <v>0</v>
      </c>
      <c r="B69" s="149">
        <f t="shared" si="1"/>
        <v>0</v>
      </c>
      <c r="C69" s="157"/>
      <c r="D69" s="151" t="e">
        <f>_xlfn.XLOOKUP(B69,Table13[Decription],Table13[Unit])</f>
        <v>#N/A</v>
      </c>
      <c r="E69" s="158" t="e">
        <f>_xlfn.XLOOKUP(B69,Table13[Decription],Table13[Unit Cost])</f>
        <v>#N/A</v>
      </c>
      <c r="F69" s="152" t="e">
        <f>_xlfn.XLOOKUP(B69,Table13[Decription],Table13[February 2025 - Balance Qty])</f>
        <v>#N/A</v>
      </c>
      <c r="G69" s="152" t="e">
        <f>_xlfn.XLOOKUP(B69,Table13[Decription],Table13[February 2025 - Balance Qty])</f>
        <v>#N/A</v>
      </c>
      <c r="H69" s="153">
        <v>0</v>
      </c>
      <c r="I69" s="153">
        <v>0</v>
      </c>
      <c r="J69" s="154"/>
      <c r="L69" s="143"/>
      <c r="M69" s="139"/>
      <c r="N69" s="148"/>
      <c r="O69" s="139"/>
      <c r="P69" s="139"/>
      <c r="Q69" s="139"/>
      <c r="R69" s="139"/>
      <c r="S69" s="139"/>
      <c r="T69" s="139"/>
      <c r="U69" s="139"/>
      <c r="V69" s="139"/>
    </row>
    <row r="70" spans="1:22" s="118" customFormat="1">
      <c r="A70" s="160">
        <f t="shared" si="0"/>
        <v>0</v>
      </c>
      <c r="B70" s="149">
        <f t="shared" si="1"/>
        <v>0</v>
      </c>
      <c r="C70" s="157"/>
      <c r="D70" s="151" t="e">
        <f>_xlfn.XLOOKUP(B70,Table13[Decription],Table13[Unit])</f>
        <v>#N/A</v>
      </c>
      <c r="E70" s="158" t="e">
        <f>_xlfn.XLOOKUP(B70,Table13[Decription],Table13[Unit Cost])</f>
        <v>#N/A</v>
      </c>
      <c r="F70" s="152" t="e">
        <f>_xlfn.XLOOKUP(B70,Table13[Decription],Table13[February 2025 - Balance Qty])</f>
        <v>#N/A</v>
      </c>
      <c r="G70" s="152" t="e">
        <f>_xlfn.XLOOKUP(B70,Table13[Decription],Table13[February 2025 - Balance Qty])</f>
        <v>#N/A</v>
      </c>
      <c r="H70" s="153">
        <v>0</v>
      </c>
      <c r="I70" s="153">
        <v>0</v>
      </c>
      <c r="J70" s="154"/>
      <c r="L70" s="143"/>
      <c r="M70" s="139"/>
      <c r="N70" s="148"/>
      <c r="O70" s="139"/>
      <c r="P70" s="139"/>
      <c r="Q70" s="139"/>
      <c r="R70" s="139"/>
      <c r="S70" s="139"/>
      <c r="T70" s="139"/>
      <c r="U70" s="139"/>
      <c r="V70" s="139"/>
    </row>
    <row r="71" spans="1:22">
      <c r="A71" s="160">
        <f t="shared" si="0"/>
        <v>0</v>
      </c>
      <c r="B71" s="149">
        <f t="shared" si="1"/>
        <v>0</v>
      </c>
      <c r="C71" s="150"/>
      <c r="D71" s="151" t="e">
        <f>_xlfn.XLOOKUP(B71,Table13[Decription],Table13[Unit])</f>
        <v>#N/A</v>
      </c>
      <c r="E71" s="158" t="e">
        <f>_xlfn.XLOOKUP(B71,Table13[Decription],Table13[Unit Cost])</f>
        <v>#N/A</v>
      </c>
      <c r="F71" s="152" t="e">
        <f>_xlfn.XLOOKUP(B71,Table13[Decription],Table13[February 2025 - Balance Qty])</f>
        <v>#N/A</v>
      </c>
      <c r="G71" s="152" t="e">
        <f>_xlfn.XLOOKUP(B71,Table13[Decription],Table13[February 2025 - Balance Qty])</f>
        <v>#N/A</v>
      </c>
      <c r="H71" s="153">
        <v>0</v>
      </c>
      <c r="I71" s="153">
        <v>0</v>
      </c>
      <c r="J71" s="154"/>
      <c r="L71" s="143"/>
      <c r="N71" s="147"/>
    </row>
    <row r="72" spans="1:22">
      <c r="A72" s="160">
        <f t="shared" si="0"/>
        <v>0</v>
      </c>
      <c r="B72" s="149">
        <f t="shared" si="1"/>
        <v>0</v>
      </c>
      <c r="C72" s="150"/>
      <c r="D72" s="151" t="e">
        <f>_xlfn.XLOOKUP(B72,Table13[Decription],Table13[Unit])</f>
        <v>#N/A</v>
      </c>
      <c r="E72" s="158" t="e">
        <f>_xlfn.XLOOKUP(B72,Table13[Decription],Table13[Unit Cost])</f>
        <v>#N/A</v>
      </c>
      <c r="F72" s="152" t="e">
        <f>_xlfn.XLOOKUP(B72,Table13[Decription],Table13[February 2025 - Balance Qty])</f>
        <v>#N/A</v>
      </c>
      <c r="G72" s="152" t="e">
        <f>_xlfn.XLOOKUP(B72,Table13[Decription],Table13[February 2025 - Balance Qty])</f>
        <v>#N/A</v>
      </c>
      <c r="H72" s="153">
        <v>0</v>
      </c>
      <c r="I72" s="153">
        <v>0</v>
      </c>
      <c r="J72" s="154"/>
      <c r="L72" s="143"/>
      <c r="N72" s="147"/>
    </row>
    <row r="73" spans="1:22" hidden="1">
      <c r="A73" s="160">
        <f t="shared" si="0"/>
        <v>0</v>
      </c>
      <c r="B73" s="149">
        <f t="shared" si="1"/>
        <v>0</v>
      </c>
      <c r="C73" s="150"/>
      <c r="D73" s="151" t="e">
        <f>_xlfn.XLOOKUP(B73,Table13[Decription],Table13[Unit])</f>
        <v>#N/A</v>
      </c>
      <c r="E73" s="158" t="e">
        <f>_xlfn.XLOOKUP(B73,Table13[Decription],Table13[Unit Cost])</f>
        <v>#N/A</v>
      </c>
      <c r="F73" s="152" t="e">
        <f>_xlfn.XLOOKUP(B73,Table13[Decription],Table13[February 2025 - Balance Qty])</f>
        <v>#N/A</v>
      </c>
      <c r="G73" s="152" t="e">
        <f>_xlfn.XLOOKUP(B73,Table13[Decription],Table13[February 2025 - Balance Qty])</f>
        <v>#N/A</v>
      </c>
      <c r="H73" s="153">
        <v>0</v>
      </c>
      <c r="I73" s="153">
        <v>0</v>
      </c>
      <c r="J73" s="154"/>
      <c r="L73" s="143"/>
    </row>
    <row r="74" spans="1:22">
      <c r="A74" s="160">
        <f t="shared" si="0"/>
        <v>0</v>
      </c>
      <c r="B74" s="149">
        <f t="shared" si="1"/>
        <v>0</v>
      </c>
      <c r="C74" s="150"/>
      <c r="D74" s="151" t="e">
        <f>_xlfn.XLOOKUP(B74,Table13[Decription],Table13[Unit])</f>
        <v>#N/A</v>
      </c>
      <c r="E74" s="158" t="e">
        <f>_xlfn.XLOOKUP(B74,Table13[Decription],Table13[Unit Cost])</f>
        <v>#N/A</v>
      </c>
      <c r="F74" s="152" t="e">
        <f>_xlfn.XLOOKUP(B74,Table13[Decription],Table13[February 2025 - Balance Qty])</f>
        <v>#N/A</v>
      </c>
      <c r="G74" s="152" t="e">
        <f>_xlfn.XLOOKUP(B74,Table13[Decription],Table13[February 2025 - Balance Qty])</f>
        <v>#N/A</v>
      </c>
      <c r="H74" s="153">
        <v>0</v>
      </c>
      <c r="I74" s="153">
        <v>0</v>
      </c>
      <c r="J74" s="154"/>
      <c r="L74" s="143"/>
    </row>
    <row r="75" spans="1:22">
      <c r="A75" s="160">
        <f t="shared" si="0"/>
        <v>0</v>
      </c>
      <c r="B75" s="149">
        <f t="shared" si="1"/>
        <v>0</v>
      </c>
      <c r="C75" s="150"/>
      <c r="D75" s="151" t="e">
        <f>_xlfn.XLOOKUP(B75,Table13[Decription],Table13[Unit])</f>
        <v>#N/A</v>
      </c>
      <c r="E75" s="158" t="e">
        <f>_xlfn.XLOOKUP(B75,Table13[Decription],Table13[Unit Cost])</f>
        <v>#N/A</v>
      </c>
      <c r="F75" s="152" t="e">
        <f>_xlfn.XLOOKUP(B75,Table13[Decription],Table13[February 2025 - Balance Qty])</f>
        <v>#N/A</v>
      </c>
      <c r="G75" s="152" t="e">
        <f>_xlfn.XLOOKUP(B75,Table13[Decription],Table13[February 2025 - Balance Qty])</f>
        <v>#N/A</v>
      </c>
      <c r="H75" s="153">
        <v>0</v>
      </c>
      <c r="I75" s="153">
        <v>0</v>
      </c>
      <c r="J75" s="154"/>
      <c r="L75" s="143"/>
    </row>
    <row r="76" spans="1:22">
      <c r="A76" s="160">
        <f t="shared" ref="A76:A86" si="2">L76</f>
        <v>0</v>
      </c>
      <c r="B76" s="149">
        <f t="shared" ref="B76:B86" si="3">M76</f>
        <v>0</v>
      </c>
      <c r="C76" s="150"/>
      <c r="D76" s="151" t="e">
        <f>_xlfn.XLOOKUP(B76,Table13[Decription],Table13[Unit])</f>
        <v>#N/A</v>
      </c>
      <c r="E76" s="158" t="e">
        <f>_xlfn.XLOOKUP(B76,Table13[Decription],Table13[Unit Cost])</f>
        <v>#N/A</v>
      </c>
      <c r="F76" s="152" t="e">
        <f>_xlfn.XLOOKUP(B76,Table13[Decription],Table13[February 2025 - Balance Qty])</f>
        <v>#N/A</v>
      </c>
      <c r="G76" s="152" t="e">
        <f>_xlfn.XLOOKUP(B76,Table13[Decription],Table13[February 2025 - Balance Qty])</f>
        <v>#N/A</v>
      </c>
      <c r="H76" s="153">
        <v>0</v>
      </c>
      <c r="I76" s="153">
        <v>0</v>
      </c>
      <c r="J76" s="154"/>
      <c r="L76" s="143"/>
    </row>
    <row r="77" spans="1:22">
      <c r="A77" s="160">
        <f t="shared" si="2"/>
        <v>0</v>
      </c>
      <c r="B77" s="149">
        <f t="shared" si="3"/>
        <v>0</v>
      </c>
      <c r="C77" s="150"/>
      <c r="D77" s="151" t="e">
        <f>_xlfn.XLOOKUP(B77,Table13[Decription],Table13[Unit])</f>
        <v>#N/A</v>
      </c>
      <c r="E77" s="158" t="e">
        <f>_xlfn.XLOOKUP(B77,Table13[Decription],Table13[Unit Cost])</f>
        <v>#N/A</v>
      </c>
      <c r="F77" s="152" t="e">
        <f>_xlfn.XLOOKUP(B77,Table13[Decription],Table13[February 2025 - Balance Qty])</f>
        <v>#N/A</v>
      </c>
      <c r="G77" s="152" t="e">
        <f>_xlfn.XLOOKUP(B77,Table13[Decription],Table13[February 2025 - Balance Qty])</f>
        <v>#N/A</v>
      </c>
      <c r="H77" s="153">
        <v>0</v>
      </c>
      <c r="I77" s="153">
        <v>0</v>
      </c>
      <c r="J77" s="154"/>
      <c r="L77" s="143"/>
    </row>
    <row r="78" spans="1:22">
      <c r="A78" s="160">
        <f t="shared" si="2"/>
        <v>0</v>
      </c>
      <c r="B78" s="149">
        <f t="shared" si="3"/>
        <v>0</v>
      </c>
      <c r="C78" s="150"/>
      <c r="D78" s="151" t="e">
        <f>_xlfn.XLOOKUP(B78,Table13[Decription],Table13[Unit])</f>
        <v>#N/A</v>
      </c>
      <c r="E78" s="158" t="e">
        <f>_xlfn.XLOOKUP(B78,Table13[Decription],Table13[Unit Cost])</f>
        <v>#N/A</v>
      </c>
      <c r="F78" s="152" t="e">
        <f>_xlfn.XLOOKUP(B78,Table13[Decription],Table13[February 2025 - Balance Qty])</f>
        <v>#N/A</v>
      </c>
      <c r="G78" s="152" t="e">
        <f>_xlfn.XLOOKUP(B78,Table13[Decription],Table13[February 2025 - Balance Qty])</f>
        <v>#N/A</v>
      </c>
      <c r="H78" s="153">
        <v>0</v>
      </c>
      <c r="I78" s="153">
        <v>0</v>
      </c>
      <c r="J78" s="154"/>
      <c r="L78" s="143"/>
    </row>
    <row r="79" spans="1:22">
      <c r="A79" s="160">
        <f t="shared" si="2"/>
        <v>0</v>
      </c>
      <c r="B79" s="149">
        <f t="shared" si="3"/>
        <v>0</v>
      </c>
      <c r="C79" s="150"/>
      <c r="D79" s="151" t="e">
        <f>_xlfn.XLOOKUP(B79,Table13[Decription],Table13[Unit])</f>
        <v>#N/A</v>
      </c>
      <c r="E79" s="158" t="e">
        <f>_xlfn.XLOOKUP(B79,Table13[Decription],Table13[Unit Cost])</f>
        <v>#N/A</v>
      </c>
      <c r="F79" s="152" t="e">
        <f>_xlfn.XLOOKUP(B79,Table13[Decription],Table13[February 2025 - Balance Qty])</f>
        <v>#N/A</v>
      </c>
      <c r="G79" s="152" t="e">
        <f>_xlfn.XLOOKUP(B79,Table13[Decription],Table13[February 2025 - Balance Qty])</f>
        <v>#N/A</v>
      </c>
      <c r="H79" s="153">
        <v>0</v>
      </c>
      <c r="I79" s="153">
        <v>0</v>
      </c>
      <c r="J79" s="154"/>
      <c r="L79" s="143"/>
    </row>
    <row r="80" spans="1:22">
      <c r="A80" s="160">
        <f t="shared" si="2"/>
        <v>0</v>
      </c>
      <c r="B80" s="149">
        <f t="shared" si="3"/>
        <v>0</v>
      </c>
      <c r="C80" s="150"/>
      <c r="D80" s="151" t="e">
        <f>_xlfn.XLOOKUP(B80,Table13[Decription],Table13[Unit])</f>
        <v>#N/A</v>
      </c>
      <c r="E80" s="158" t="e">
        <f>_xlfn.XLOOKUP(B80,Table13[Decription],Table13[Unit Cost])</f>
        <v>#N/A</v>
      </c>
      <c r="F80" s="152" t="e">
        <f>_xlfn.XLOOKUP(B80,Table13[Decription],Table13[February 2025 - Balance Qty])</f>
        <v>#N/A</v>
      </c>
      <c r="G80" s="152" t="e">
        <f>_xlfn.XLOOKUP(B80,Table13[Decription],Table13[February 2025 - Balance Qty])</f>
        <v>#N/A</v>
      </c>
      <c r="H80" s="153">
        <v>0</v>
      </c>
      <c r="I80" s="153">
        <v>0</v>
      </c>
      <c r="J80" s="154"/>
      <c r="L80" s="143"/>
    </row>
    <row r="81" spans="1:12">
      <c r="A81" s="160">
        <f t="shared" si="2"/>
        <v>0</v>
      </c>
      <c r="B81" s="149">
        <f t="shared" si="3"/>
        <v>0</v>
      </c>
      <c r="C81" s="150"/>
      <c r="D81" s="151" t="e">
        <f>_xlfn.XLOOKUP(B81,Table13[Decription],Table13[Unit])</f>
        <v>#N/A</v>
      </c>
      <c r="E81" s="158" t="e">
        <f>_xlfn.XLOOKUP(B81,Table13[Decription],Table13[Unit Cost])</f>
        <v>#N/A</v>
      </c>
      <c r="F81" s="152" t="e">
        <f>_xlfn.XLOOKUP(B81,Table13[Decription],Table13[February 2025 - Balance Qty])</f>
        <v>#N/A</v>
      </c>
      <c r="G81" s="152" t="e">
        <f>_xlfn.XLOOKUP(B81,Table13[Decription],Table13[February 2025 - Balance Qty])</f>
        <v>#N/A</v>
      </c>
      <c r="H81" s="153">
        <v>0</v>
      </c>
      <c r="I81" s="153">
        <v>0</v>
      </c>
      <c r="J81" s="154"/>
      <c r="L81" s="143"/>
    </row>
    <row r="82" spans="1:12">
      <c r="A82" s="160">
        <f t="shared" si="2"/>
        <v>0</v>
      </c>
      <c r="B82" s="149">
        <f t="shared" si="3"/>
        <v>0</v>
      </c>
      <c r="C82" s="150"/>
      <c r="D82" s="151" t="e">
        <f>_xlfn.XLOOKUP(B82,Table13[Decription],Table13[Unit])</f>
        <v>#N/A</v>
      </c>
      <c r="E82" s="158" t="e">
        <f>_xlfn.XLOOKUP(B82,Table13[Decription],Table13[Unit Cost])</f>
        <v>#N/A</v>
      </c>
      <c r="F82" s="152" t="e">
        <f>_xlfn.XLOOKUP(B82,Table13[Decription],Table13[February 2025 - Balance Qty])</f>
        <v>#N/A</v>
      </c>
      <c r="G82" s="152" t="e">
        <f>_xlfn.XLOOKUP(B82,Table13[Decription],Table13[February 2025 - Balance Qty])</f>
        <v>#N/A</v>
      </c>
      <c r="H82" s="153">
        <v>0</v>
      </c>
      <c r="I82" s="153">
        <v>0</v>
      </c>
      <c r="J82" s="154"/>
      <c r="L82" s="143"/>
    </row>
    <row r="83" spans="1:12">
      <c r="A83" s="160">
        <f t="shared" si="2"/>
        <v>0</v>
      </c>
      <c r="B83" s="149">
        <f t="shared" si="3"/>
        <v>0</v>
      </c>
      <c r="C83" s="150"/>
      <c r="D83" s="151" t="e">
        <f>_xlfn.XLOOKUP(B83,Table13[Decription],Table13[Unit])</f>
        <v>#N/A</v>
      </c>
      <c r="E83" s="158" t="e">
        <f>_xlfn.XLOOKUP(B83,Table13[Decription],Table13[Unit Cost])</f>
        <v>#N/A</v>
      </c>
      <c r="F83" s="152" t="e">
        <f>_xlfn.XLOOKUP(B83,Table13[Decription],Table13[February 2025 - Balance Qty])</f>
        <v>#N/A</v>
      </c>
      <c r="G83" s="152" t="e">
        <f>_xlfn.XLOOKUP(B83,Table13[Decription],Table13[February 2025 - Balance Qty])</f>
        <v>#N/A</v>
      </c>
      <c r="H83" s="153">
        <v>0</v>
      </c>
      <c r="I83" s="153">
        <v>0</v>
      </c>
      <c r="J83" s="154"/>
      <c r="L83" s="143"/>
    </row>
    <row r="84" spans="1:12" hidden="1">
      <c r="A84" s="160">
        <f t="shared" si="2"/>
        <v>0</v>
      </c>
      <c r="B84" s="149">
        <f t="shared" si="3"/>
        <v>0</v>
      </c>
      <c r="C84" s="150"/>
      <c r="D84" s="151" t="e">
        <f>_xlfn.XLOOKUP(B84,Table13[Decription],Table13[Unit])</f>
        <v>#N/A</v>
      </c>
      <c r="E84" s="158" t="e">
        <f>_xlfn.XLOOKUP(B84,Table13[Decription],Table13[Unit Cost])</f>
        <v>#N/A</v>
      </c>
      <c r="F84" s="152" t="e">
        <f>_xlfn.XLOOKUP(B84,Table13[Decription],Table13[February 2025 - Balance Qty])</f>
        <v>#N/A</v>
      </c>
      <c r="G84" s="152" t="e">
        <f>_xlfn.XLOOKUP(B84,Table13[Decription],Table13[February 2025 - Balance Qty])</f>
        <v>#N/A</v>
      </c>
      <c r="H84" s="153">
        <v>0</v>
      </c>
      <c r="I84" s="153">
        <v>0</v>
      </c>
      <c r="J84" s="154"/>
      <c r="L84" s="143"/>
    </row>
    <row r="85" spans="1:12">
      <c r="A85" s="160">
        <f t="shared" si="2"/>
        <v>0</v>
      </c>
      <c r="B85" s="149">
        <f t="shared" si="3"/>
        <v>0</v>
      </c>
      <c r="C85" s="150"/>
      <c r="D85" s="151" t="e">
        <f>_xlfn.XLOOKUP(B85,Table13[Decription],Table13[Unit])</f>
        <v>#N/A</v>
      </c>
      <c r="E85" s="158" t="e">
        <f>_xlfn.XLOOKUP(B85,Table13[Decription],Table13[Unit Cost])</f>
        <v>#N/A</v>
      </c>
      <c r="F85" s="152" t="e">
        <f>_xlfn.XLOOKUP(B85,Table13[Decription],Table13[February 2025 - Balance Qty])</f>
        <v>#N/A</v>
      </c>
      <c r="G85" s="152" t="e">
        <f>_xlfn.XLOOKUP(B85,Table13[Decription],Table13[February 2025 - Balance Qty])</f>
        <v>#N/A</v>
      </c>
      <c r="H85" s="153">
        <v>0</v>
      </c>
      <c r="I85" s="153">
        <v>0</v>
      </c>
      <c r="J85" s="154"/>
      <c r="L85" s="143"/>
    </row>
    <row r="86" spans="1:12" hidden="1">
      <c r="A86" s="160">
        <f t="shared" si="2"/>
        <v>0</v>
      </c>
      <c r="B86" s="149">
        <f t="shared" si="3"/>
        <v>0</v>
      </c>
      <c r="C86" s="150"/>
      <c r="D86" s="151" t="e">
        <f>_xlfn.XLOOKUP(B86,Table13[Decription],Table13[Unit])</f>
        <v>#N/A</v>
      </c>
      <c r="E86" s="158" t="e">
        <f>_xlfn.XLOOKUP(B86,Table13[Decription],Table13[Unit Cost])</f>
        <v>#N/A</v>
      </c>
      <c r="F86" s="152" t="e">
        <f>_xlfn.XLOOKUP(B86,Table13[Decription],Table13[February 2025 - Balance Qty])</f>
        <v>#N/A</v>
      </c>
      <c r="G86" s="152" t="e">
        <f>_xlfn.XLOOKUP(B86,Table13[Decription],Table13[February 2025 - Balance Qty])</f>
        <v>#N/A</v>
      </c>
      <c r="H86" s="153">
        <v>0</v>
      </c>
      <c r="I86" s="153">
        <v>0</v>
      </c>
      <c r="J86" s="154"/>
      <c r="L86" s="143"/>
    </row>
    <row r="87" spans="1:12">
      <c r="A87" s="160">
        <f t="shared" ref="A87:B93" si="4">L87</f>
        <v>0</v>
      </c>
      <c r="B87" s="149">
        <f t="shared" si="4"/>
        <v>0</v>
      </c>
      <c r="C87" s="163"/>
      <c r="D87" s="151" t="e">
        <f>_xlfn.XLOOKUP(B87,Table13[Decription],Table13[Unit])</f>
        <v>#N/A</v>
      </c>
      <c r="E87" s="158" t="e">
        <f>_xlfn.XLOOKUP(B87,Table13[Decription],Table13[Unit Cost])</f>
        <v>#N/A</v>
      </c>
      <c r="F87" s="152" t="e">
        <f>_xlfn.XLOOKUP(B87,Table13[Decription],Table13[February 2025 - Balance Qty])</f>
        <v>#N/A</v>
      </c>
      <c r="G87" s="152" t="e">
        <f>_xlfn.XLOOKUP(B87,Table13[Decription],Table13[February 2025 - Balance Qty])</f>
        <v>#N/A</v>
      </c>
      <c r="H87" s="153">
        <v>0</v>
      </c>
      <c r="I87" s="153">
        <v>0</v>
      </c>
      <c r="J87" s="154"/>
      <c r="L87" s="143"/>
    </row>
    <row r="88" spans="1:12">
      <c r="A88" s="160">
        <f t="shared" si="4"/>
        <v>0</v>
      </c>
      <c r="B88" s="149">
        <f t="shared" si="4"/>
        <v>0</v>
      </c>
      <c r="C88" s="150"/>
      <c r="D88" s="151" t="e">
        <f>_xlfn.XLOOKUP(B88,Table13[Decription],Table13[Unit])</f>
        <v>#N/A</v>
      </c>
      <c r="E88" s="158" t="e">
        <f>_xlfn.XLOOKUP(B88,Table13[Decription],Table13[Unit Cost])</f>
        <v>#N/A</v>
      </c>
      <c r="F88" s="152" t="e">
        <f>_xlfn.XLOOKUP(B88,Table13[Decription],Table13[February 2025 - Balance Qty])</f>
        <v>#N/A</v>
      </c>
      <c r="G88" s="152" t="e">
        <f>_xlfn.XLOOKUP(B88,Table13[Decription],Table13[February 2025 - Balance Qty])</f>
        <v>#N/A</v>
      </c>
      <c r="H88" s="153">
        <v>0</v>
      </c>
      <c r="I88" s="153">
        <v>0</v>
      </c>
      <c r="J88" s="154"/>
      <c r="L88" s="143"/>
    </row>
    <row r="89" spans="1:12">
      <c r="A89" s="160">
        <f t="shared" si="4"/>
        <v>0</v>
      </c>
      <c r="B89" s="149">
        <f t="shared" si="4"/>
        <v>0</v>
      </c>
      <c r="C89" s="150"/>
      <c r="D89" s="151" t="e">
        <f>_xlfn.XLOOKUP(B89,Table13[Decription],Table13[Unit])</f>
        <v>#N/A</v>
      </c>
      <c r="E89" s="158" t="e">
        <f>_xlfn.XLOOKUP(B89,Table13[Decription],Table13[Unit Cost])</f>
        <v>#N/A</v>
      </c>
      <c r="F89" s="152" t="e">
        <f>_xlfn.XLOOKUP(B89,Table13[Decription],Table13[February 2025 - Balance Qty])</f>
        <v>#N/A</v>
      </c>
      <c r="G89" s="152" t="e">
        <f>_xlfn.XLOOKUP(B89,Table13[Decription],Table13[February 2025 - Balance Qty])</f>
        <v>#N/A</v>
      </c>
      <c r="H89" s="153">
        <v>0</v>
      </c>
      <c r="I89" s="153">
        <v>0</v>
      </c>
      <c r="J89" s="154"/>
      <c r="L89" s="143"/>
    </row>
    <row r="90" spans="1:12">
      <c r="A90" s="160">
        <f t="shared" si="4"/>
        <v>0</v>
      </c>
      <c r="B90" s="149">
        <f t="shared" si="4"/>
        <v>0</v>
      </c>
      <c r="C90" s="150"/>
      <c r="D90" s="151" t="e">
        <f>_xlfn.XLOOKUP(B90,Table13[Decription],Table13[Unit])</f>
        <v>#N/A</v>
      </c>
      <c r="E90" s="158" t="e">
        <f>_xlfn.XLOOKUP(B90,Table13[Decription],Table13[Unit Cost])</f>
        <v>#N/A</v>
      </c>
      <c r="F90" s="152" t="e">
        <f>_xlfn.XLOOKUP(B90,Table13[Decription],Table13[February 2025 - Balance Qty])</f>
        <v>#N/A</v>
      </c>
      <c r="G90" s="152" t="e">
        <f>_xlfn.XLOOKUP(B90,Table13[Decription],Table13[February 2025 - Balance Qty])</f>
        <v>#N/A</v>
      </c>
      <c r="H90" s="153">
        <v>0</v>
      </c>
      <c r="I90" s="153">
        <v>0</v>
      </c>
      <c r="J90" s="159"/>
    </row>
    <row r="91" spans="1:12">
      <c r="A91" s="160">
        <f t="shared" si="4"/>
        <v>0</v>
      </c>
      <c r="B91" s="149">
        <f t="shared" si="4"/>
        <v>0</v>
      </c>
      <c r="C91" s="150"/>
      <c r="D91" s="151" t="e">
        <f>_xlfn.XLOOKUP(B91,Table13[Decription],Table13[Unit])</f>
        <v>#N/A</v>
      </c>
      <c r="E91" s="158" t="e">
        <f>_xlfn.XLOOKUP(B91,Table13[Decription],Table13[Unit Cost])</f>
        <v>#N/A</v>
      </c>
      <c r="F91" s="152" t="e">
        <f>_xlfn.XLOOKUP(B91,Table13[Decription],Table13[February 2025 - Balance Qty])</f>
        <v>#N/A</v>
      </c>
      <c r="G91" s="152" t="e">
        <f>_xlfn.XLOOKUP(B91,Table13[Decription],Table13[February 2025 - Balance Qty])</f>
        <v>#N/A</v>
      </c>
      <c r="H91" s="153">
        <v>0</v>
      </c>
      <c r="I91" s="153">
        <v>0</v>
      </c>
      <c r="J91" s="154"/>
    </row>
    <row r="92" spans="1:12">
      <c r="A92" s="425" t="s">
        <v>230</v>
      </c>
      <c r="B92" s="426"/>
      <c r="C92" s="426"/>
      <c r="D92" s="426"/>
      <c r="E92" s="426"/>
      <c r="F92" s="426"/>
      <c r="G92" s="426"/>
      <c r="H92" s="426"/>
      <c r="I92" s="426"/>
      <c r="J92" s="427"/>
    </row>
    <row r="93" spans="1:12" hidden="1">
      <c r="A93" s="160">
        <f t="shared" si="4"/>
        <v>0</v>
      </c>
      <c r="B93" s="149">
        <f t="shared" si="4"/>
        <v>0</v>
      </c>
      <c r="C93" s="150"/>
      <c r="D93" s="151" t="e">
        <f>_xlfn.XLOOKUP(B93,Table13[Decription],Table13[Unit])</f>
        <v>#N/A</v>
      </c>
      <c r="E93" s="158" t="e">
        <f>_xlfn.XLOOKUP(B93,Table13[Decription],Table13[Unit Cost])</f>
        <v>#N/A</v>
      </c>
      <c r="F93" s="152" t="e">
        <f>_xlfn.XLOOKUP(B93,Table13[Decription],Table13[February 2025 - Balance Qty])</f>
        <v>#N/A</v>
      </c>
      <c r="G93" s="152" t="e">
        <f>_xlfn.XLOOKUP(B93,Table13[Decription],Table13[February 2025 - Balance Qty])</f>
        <v>#N/A</v>
      </c>
      <c r="H93" s="153">
        <v>0</v>
      </c>
      <c r="I93" s="153">
        <v>0</v>
      </c>
      <c r="J93" s="154"/>
    </row>
    <row r="94" spans="1:12">
      <c r="A94" s="160">
        <f>L92</f>
        <v>0</v>
      </c>
      <c r="B94" s="149">
        <f>M92</f>
        <v>0</v>
      </c>
      <c r="C94" s="150"/>
      <c r="D94" s="151" t="e">
        <f>_xlfn.XLOOKUP(B94,Table13[Decription],Table13[Unit])</f>
        <v>#N/A</v>
      </c>
      <c r="E94" s="158" t="e">
        <f>_xlfn.XLOOKUP(B94,Table13[Decription],Table13[Unit Cost])</f>
        <v>#N/A</v>
      </c>
      <c r="F94" s="152" t="e">
        <f>_xlfn.XLOOKUP(B94,Table13[Decription],Table13[February 2025 - Balance Qty])</f>
        <v>#N/A</v>
      </c>
      <c r="G94" s="152" t="e">
        <f>_xlfn.XLOOKUP(B94,Table13[Decription],Table13[February 2025 - Balance Qty])</f>
        <v>#N/A</v>
      </c>
      <c r="H94" s="153">
        <v>0</v>
      </c>
      <c r="I94" s="153">
        <v>0</v>
      </c>
      <c r="J94" s="154"/>
    </row>
    <row r="95" spans="1:12">
      <c r="A95" s="160">
        <f t="shared" ref="A95:A105" si="5">L94</f>
        <v>0</v>
      </c>
      <c r="B95" s="149">
        <f t="shared" ref="B95:B105" si="6">M94</f>
        <v>0</v>
      </c>
      <c r="C95" s="150"/>
      <c r="D95" s="151" t="e">
        <f>_xlfn.XLOOKUP(B95,Table13[Decription],Table13[Unit])</f>
        <v>#N/A</v>
      </c>
      <c r="E95" s="158" t="e">
        <f>_xlfn.XLOOKUP(B95,Table13[Decription],Table13[Unit Cost])</f>
        <v>#N/A</v>
      </c>
      <c r="F95" s="152" t="e">
        <f>_xlfn.XLOOKUP(B95,Table13[Decription],Table13[February 2025 - Balance Qty])</f>
        <v>#N/A</v>
      </c>
      <c r="G95" s="152" t="e">
        <f>_xlfn.XLOOKUP(B95,Table13[Decription],Table13[January 2025 - Balance Qty])</f>
        <v>#N/A</v>
      </c>
      <c r="H95" s="153">
        <v>0</v>
      </c>
      <c r="I95" s="153">
        <v>0</v>
      </c>
      <c r="J95" s="154"/>
    </row>
    <row r="96" spans="1:12">
      <c r="A96" s="160">
        <f t="shared" si="5"/>
        <v>0</v>
      </c>
      <c r="B96" s="149">
        <f t="shared" si="6"/>
        <v>0</v>
      </c>
      <c r="C96" s="150"/>
      <c r="D96" s="151" t="e">
        <f>_xlfn.XLOOKUP(B96,Table13[Decription],Table13[Unit])</f>
        <v>#N/A</v>
      </c>
      <c r="E96" s="158" t="e">
        <f>_xlfn.XLOOKUP(B96,Table13[Decription],Table13[Unit Cost])</f>
        <v>#N/A</v>
      </c>
      <c r="F96" s="152" t="e">
        <f>_xlfn.XLOOKUP(B96,Table13[Decription],Table13[February 2025 - Balance Qty])</f>
        <v>#N/A</v>
      </c>
      <c r="G96" s="152" t="e">
        <f>_xlfn.XLOOKUP(B96,Table13[Decription],Table13[January 2025 - Balance Qty])</f>
        <v>#N/A</v>
      </c>
      <c r="H96" s="153">
        <v>0</v>
      </c>
      <c r="I96" s="153">
        <v>0</v>
      </c>
      <c r="J96" s="154"/>
    </row>
    <row r="97" spans="1:10" hidden="1">
      <c r="A97" s="160">
        <f t="shared" si="5"/>
        <v>0</v>
      </c>
      <c r="B97" s="149">
        <f t="shared" si="6"/>
        <v>0</v>
      </c>
      <c r="C97" s="150"/>
      <c r="D97" s="151" t="e">
        <f>_xlfn.XLOOKUP(B97,Table13[Decription],Table13[Unit])</f>
        <v>#N/A</v>
      </c>
      <c r="E97" s="158" t="e">
        <f>_xlfn.XLOOKUP(B97,Table13[Decription],Table13[Unit Cost])</f>
        <v>#N/A</v>
      </c>
      <c r="F97" s="152" t="e">
        <f>_xlfn.XLOOKUP(B97,Table13[Decription],Table13[February 2025 - Balance Qty])</f>
        <v>#N/A</v>
      </c>
      <c r="G97" s="152" t="e">
        <f>_xlfn.XLOOKUP(B97,Table13[Decription],Table13[January 2025 - Balance Qty])</f>
        <v>#N/A</v>
      </c>
      <c r="H97" s="153">
        <v>0</v>
      </c>
      <c r="I97" s="153">
        <v>0</v>
      </c>
      <c r="J97" s="154"/>
    </row>
    <row r="98" spans="1:10">
      <c r="A98" s="160">
        <f t="shared" si="5"/>
        <v>0</v>
      </c>
      <c r="B98" s="149">
        <f t="shared" si="6"/>
        <v>0</v>
      </c>
      <c r="C98" s="150"/>
      <c r="D98" s="151" t="e">
        <f>_xlfn.XLOOKUP(B98,Table13[Decription],Table13[Unit])</f>
        <v>#N/A</v>
      </c>
      <c r="E98" s="158" t="e">
        <f>_xlfn.XLOOKUP(B98,Table13[Decription],Table13[Unit Cost])</f>
        <v>#N/A</v>
      </c>
      <c r="F98" s="152" t="e">
        <f>_xlfn.XLOOKUP(B98,Table13[Decription],Table13[February 2025 - Balance Qty])</f>
        <v>#N/A</v>
      </c>
      <c r="G98" s="152" t="e">
        <f>_xlfn.XLOOKUP(B98,Table13[Decription],Table13[January 2025 - Balance Qty])</f>
        <v>#N/A</v>
      </c>
      <c r="H98" s="153">
        <v>0</v>
      </c>
      <c r="I98" s="153">
        <v>0</v>
      </c>
      <c r="J98" s="154"/>
    </row>
    <row r="99" spans="1:10">
      <c r="A99" s="160">
        <f t="shared" si="5"/>
        <v>0</v>
      </c>
      <c r="B99" s="149">
        <f t="shared" si="6"/>
        <v>0</v>
      </c>
      <c r="C99" s="150"/>
      <c r="D99" s="151" t="e">
        <f>_xlfn.XLOOKUP(B99,Table13[Decription],Table13[Unit])</f>
        <v>#N/A</v>
      </c>
      <c r="E99" s="158" t="e">
        <f>_xlfn.XLOOKUP(B99,Table13[Decription],Table13[Unit Cost])</f>
        <v>#N/A</v>
      </c>
      <c r="F99" s="152" t="e">
        <f>_xlfn.XLOOKUP(B99,Table13[Decription],Table13[February 2025 - Balance Qty])</f>
        <v>#N/A</v>
      </c>
      <c r="G99" s="152" t="e">
        <f>_xlfn.XLOOKUP(B99,Table13[Decription],Table13[January 2025 - Balance Qty])</f>
        <v>#N/A</v>
      </c>
      <c r="H99" s="153">
        <v>0</v>
      </c>
      <c r="I99" s="153">
        <v>0</v>
      </c>
      <c r="J99" s="154"/>
    </row>
    <row r="100" spans="1:10">
      <c r="A100" s="160">
        <f t="shared" si="5"/>
        <v>0</v>
      </c>
      <c r="B100" s="149">
        <f t="shared" si="6"/>
        <v>0</v>
      </c>
      <c r="C100" s="150"/>
      <c r="D100" s="151" t="e">
        <f>_xlfn.XLOOKUP(B100,Table13[Decription],Table13[Unit])</f>
        <v>#N/A</v>
      </c>
      <c r="E100" s="158" t="e">
        <f>_xlfn.XLOOKUP(B100,Table13[Decription],Table13[Unit Cost])</f>
        <v>#N/A</v>
      </c>
      <c r="F100" s="152" t="e">
        <f>_xlfn.XLOOKUP(B100,Table13[Decription],Table13[February 2025 - Balance Qty])</f>
        <v>#N/A</v>
      </c>
      <c r="G100" s="152" t="e">
        <f>_xlfn.XLOOKUP(B100,Table13[Decription],Table13[January 2025 - Balance Qty])</f>
        <v>#N/A</v>
      </c>
      <c r="H100" s="153">
        <v>0</v>
      </c>
      <c r="I100" s="153">
        <v>0</v>
      </c>
      <c r="J100" s="154"/>
    </row>
    <row r="101" spans="1:10">
      <c r="A101" s="160">
        <f t="shared" si="5"/>
        <v>0</v>
      </c>
      <c r="B101" s="149">
        <f t="shared" si="6"/>
        <v>0</v>
      </c>
      <c r="C101" s="150"/>
      <c r="D101" s="151" t="e">
        <f>_xlfn.XLOOKUP(B101,Table13[Decription],Table13[Unit])</f>
        <v>#N/A</v>
      </c>
      <c r="E101" s="158" t="e">
        <f>_xlfn.XLOOKUP(B101,Table13[Decription],Table13[Unit Cost])</f>
        <v>#N/A</v>
      </c>
      <c r="F101" s="152" t="e">
        <f>_xlfn.XLOOKUP(B101,Table13[Decription],Table13[February 2025 - Balance Qty])</f>
        <v>#N/A</v>
      </c>
      <c r="G101" s="152" t="e">
        <f>_xlfn.XLOOKUP(B101,Table13[Decription],Table13[January 2025 - Balance Qty])</f>
        <v>#N/A</v>
      </c>
      <c r="H101" s="153">
        <v>0</v>
      </c>
      <c r="I101" s="153">
        <v>0</v>
      </c>
      <c r="J101" s="154"/>
    </row>
    <row r="102" spans="1:10" ht="13.75" customHeight="1">
      <c r="A102" s="160">
        <f t="shared" si="5"/>
        <v>0</v>
      </c>
      <c r="B102" s="149">
        <f t="shared" si="6"/>
        <v>0</v>
      </c>
      <c r="C102" s="150"/>
      <c r="D102" s="151" t="e">
        <f>_xlfn.XLOOKUP(B102,Table13[Decription],Table13[Unit])</f>
        <v>#N/A</v>
      </c>
      <c r="E102" s="158" t="e">
        <f>_xlfn.XLOOKUP(B102,Table13[Decription],Table13[Unit Cost])</f>
        <v>#N/A</v>
      </c>
      <c r="F102" s="152" t="e">
        <f>_xlfn.XLOOKUP(B102,Table13[Decription],Table13[February 2025 - Balance Qty])</f>
        <v>#N/A</v>
      </c>
      <c r="G102" s="152" t="e">
        <f>_xlfn.XLOOKUP(B102,Table13[Decription],Table13[January 2025 - Balance Qty])</f>
        <v>#N/A</v>
      </c>
      <c r="H102" s="153">
        <v>0</v>
      </c>
      <c r="I102" s="153">
        <v>0</v>
      </c>
      <c r="J102" s="154"/>
    </row>
    <row r="103" spans="1:10">
      <c r="A103" s="160">
        <f t="shared" si="5"/>
        <v>0</v>
      </c>
      <c r="B103" s="149">
        <f t="shared" si="6"/>
        <v>0</v>
      </c>
      <c r="C103" s="150"/>
      <c r="D103" s="151" t="e">
        <f>_xlfn.XLOOKUP(B103,Table13[Decription],Table13[Unit])</f>
        <v>#N/A</v>
      </c>
      <c r="E103" s="158" t="e">
        <f>_xlfn.XLOOKUP(B103,Table13[Decription],Table13[Unit Cost])</f>
        <v>#N/A</v>
      </c>
      <c r="F103" s="152" t="e">
        <f>_xlfn.XLOOKUP(B103,Table13[Decription],Table13[February 2025 - Balance Qty])</f>
        <v>#N/A</v>
      </c>
      <c r="G103" s="152" t="e">
        <f>_xlfn.XLOOKUP(B103,Table13[Decription],Table13[January 2025 - Balance Qty])</f>
        <v>#N/A</v>
      </c>
      <c r="H103" s="153">
        <v>0</v>
      </c>
      <c r="I103" s="153">
        <v>0</v>
      </c>
      <c r="J103" s="154"/>
    </row>
    <row r="104" spans="1:10">
      <c r="A104" s="160">
        <f t="shared" si="5"/>
        <v>0</v>
      </c>
      <c r="B104" s="149">
        <f t="shared" si="6"/>
        <v>0</v>
      </c>
      <c r="C104" s="150"/>
      <c r="D104" s="151" t="e">
        <f>_xlfn.XLOOKUP(B104,Table13[Decription],Table13[Unit])</f>
        <v>#N/A</v>
      </c>
      <c r="E104" s="158" t="e">
        <f>_xlfn.XLOOKUP(B104,Table13[Decription],Table13[Unit Cost])</f>
        <v>#N/A</v>
      </c>
      <c r="F104" s="152" t="e">
        <f>_xlfn.XLOOKUP(B104,Table13[Decription],Table13[February 2025 - Balance Qty])</f>
        <v>#N/A</v>
      </c>
      <c r="G104" s="152" t="e">
        <f>_xlfn.XLOOKUP(B104,Table13[Decription],Table13[January 2025 - Balance Qty])</f>
        <v>#N/A</v>
      </c>
      <c r="H104" s="153">
        <v>0</v>
      </c>
      <c r="I104" s="153">
        <v>0</v>
      </c>
      <c r="J104" s="154"/>
    </row>
    <row r="105" spans="1:10" ht="14.4" customHeight="1">
      <c r="A105" s="160">
        <f t="shared" si="5"/>
        <v>0</v>
      </c>
      <c r="B105" s="149">
        <f t="shared" si="6"/>
        <v>0</v>
      </c>
      <c r="C105" s="150"/>
      <c r="D105" s="151" t="e">
        <f>_xlfn.XLOOKUP(B105,Table13[Decription],Table13[Unit])</f>
        <v>#N/A</v>
      </c>
      <c r="E105" s="158" t="e">
        <f>_xlfn.XLOOKUP(B105,Table13[Decription],Table13[Unit Cost])</f>
        <v>#N/A</v>
      </c>
      <c r="F105" s="152" t="e">
        <f>_xlfn.XLOOKUP(B105,Table13[Decription],Table13[February 2025 - Balance Qty])</f>
        <v>#N/A</v>
      </c>
      <c r="G105" s="152" t="e">
        <f>_xlfn.XLOOKUP(B105,Table13[Decription],Table13[January 2025 - Balance Qty])</f>
        <v>#N/A</v>
      </c>
      <c r="H105" s="153">
        <v>0</v>
      </c>
      <c r="I105" s="153">
        <v>0</v>
      </c>
      <c r="J105" s="154"/>
    </row>
    <row r="106" spans="1:10">
      <c r="A106" s="425" t="s">
        <v>231</v>
      </c>
      <c r="B106" s="426"/>
      <c r="C106" s="426"/>
      <c r="D106" s="426"/>
      <c r="E106" s="426"/>
      <c r="F106" s="426"/>
      <c r="G106" s="426"/>
      <c r="H106" s="426"/>
      <c r="I106" s="426"/>
      <c r="J106" s="427"/>
    </row>
    <row r="107" spans="1:10">
      <c r="A107" s="112"/>
      <c r="B107" s="114"/>
      <c r="C107" s="113"/>
      <c r="D107" s="114"/>
      <c r="E107" s="119"/>
      <c r="F107" s="120"/>
      <c r="G107" s="121"/>
      <c r="H107" s="115"/>
      <c r="I107" s="116"/>
      <c r="J107" s="117"/>
    </row>
    <row r="108" spans="1:10">
      <c r="A108" s="112"/>
      <c r="B108" s="114"/>
      <c r="C108" s="113"/>
      <c r="D108" s="114"/>
      <c r="E108" s="119"/>
      <c r="F108" s="120"/>
      <c r="G108" s="121"/>
      <c r="H108" s="115"/>
      <c r="I108" s="116"/>
      <c r="J108" s="117"/>
    </row>
    <row r="109" spans="1:10">
      <c r="A109" s="112"/>
      <c r="B109" s="114"/>
      <c r="C109" s="113"/>
      <c r="D109" s="114"/>
      <c r="E109" s="119"/>
      <c r="F109" s="120"/>
      <c r="G109" s="121"/>
      <c r="H109" s="115"/>
      <c r="I109" s="116"/>
      <c r="J109" s="117"/>
    </row>
    <row r="110" spans="1:10">
      <c r="A110" s="112"/>
      <c r="B110" s="114"/>
      <c r="C110" s="113"/>
      <c r="D110" s="114"/>
      <c r="E110" s="119"/>
      <c r="F110" s="120"/>
      <c r="G110" s="121"/>
      <c r="H110" s="115"/>
      <c r="I110" s="116"/>
      <c r="J110" s="117"/>
    </row>
    <row r="111" spans="1:10">
      <c r="A111" s="112"/>
      <c r="B111" s="114"/>
      <c r="C111" s="113"/>
      <c r="D111" s="114"/>
      <c r="E111" s="119"/>
      <c r="F111" s="120"/>
      <c r="G111" s="121"/>
      <c r="H111" s="115"/>
      <c r="I111" s="116"/>
      <c r="J111" s="117"/>
    </row>
    <row r="112" spans="1:10">
      <c r="A112" s="112"/>
      <c r="B112" s="114"/>
      <c r="C112" s="113"/>
      <c r="D112" s="114"/>
      <c r="E112" s="119"/>
      <c r="F112" s="120"/>
      <c r="G112" s="121"/>
      <c r="H112" s="115"/>
      <c r="I112" s="116"/>
      <c r="J112" s="117"/>
    </row>
    <row r="113" spans="1:10">
      <c r="A113" s="112"/>
      <c r="B113" s="114"/>
      <c r="C113" s="113"/>
      <c r="D113" s="114"/>
      <c r="E113" s="119"/>
      <c r="F113" s="120"/>
      <c r="G113" s="121"/>
      <c r="H113" s="115"/>
      <c r="I113" s="116"/>
      <c r="J113" s="117"/>
    </row>
    <row r="114" spans="1:10">
      <c r="A114" s="112"/>
      <c r="B114" s="114"/>
      <c r="C114" s="113"/>
      <c r="D114" s="114"/>
      <c r="E114" s="119"/>
      <c r="F114" s="120"/>
      <c r="G114" s="121"/>
      <c r="H114" s="115"/>
      <c r="I114" s="116"/>
      <c r="J114" s="117"/>
    </row>
    <row r="115" spans="1:10">
      <c r="A115" s="112"/>
      <c r="B115" s="114"/>
      <c r="C115" s="113"/>
      <c r="D115" s="114"/>
      <c r="E115" s="119"/>
      <c r="F115" s="120"/>
      <c r="G115" s="121"/>
      <c r="H115" s="115"/>
      <c r="I115" s="116"/>
      <c r="J115" s="117"/>
    </row>
    <row r="116" spans="1:10">
      <c r="A116" s="112"/>
      <c r="B116" s="114"/>
      <c r="C116" s="113"/>
      <c r="D116" s="114"/>
      <c r="E116" s="119"/>
      <c r="F116" s="120"/>
      <c r="G116" s="121"/>
      <c r="H116" s="115"/>
      <c r="I116" s="116"/>
      <c r="J116" s="117"/>
    </row>
    <row r="117" spans="1:10">
      <c r="A117" s="112"/>
      <c r="B117" s="114"/>
      <c r="C117" s="113"/>
      <c r="D117" s="114"/>
      <c r="E117" s="119"/>
      <c r="F117" s="120"/>
      <c r="G117" s="121"/>
      <c r="H117" s="115"/>
      <c r="I117" s="116"/>
      <c r="J117" s="117"/>
    </row>
    <row r="118" spans="1:10">
      <c r="A118" s="112"/>
      <c r="B118" s="114"/>
      <c r="C118" s="113"/>
      <c r="D118" s="114"/>
      <c r="E118" s="119"/>
      <c r="F118" s="120"/>
      <c r="G118" s="121"/>
      <c r="H118" s="115"/>
      <c r="I118" s="116"/>
      <c r="J118" s="117"/>
    </row>
    <row r="119" spans="1:10">
      <c r="A119" s="112"/>
      <c r="B119" s="114"/>
      <c r="C119" s="113"/>
      <c r="D119" s="114"/>
      <c r="E119" s="119"/>
      <c r="F119" s="120"/>
      <c r="G119" s="121"/>
      <c r="H119" s="115"/>
      <c r="I119" s="116"/>
      <c r="J119" s="117"/>
    </row>
    <row r="120" spans="1:10">
      <c r="A120" s="112"/>
      <c r="B120" s="114"/>
      <c r="C120" s="113"/>
      <c r="D120" s="114"/>
      <c r="E120" s="119"/>
      <c r="F120" s="120"/>
      <c r="G120" s="121"/>
      <c r="H120" s="115"/>
      <c r="I120" s="116"/>
      <c r="J120" s="117"/>
    </row>
    <row r="121" spans="1:10">
      <c r="A121" s="112"/>
      <c r="B121" s="114"/>
      <c r="C121" s="113"/>
      <c r="D121" s="114"/>
      <c r="E121" s="119"/>
      <c r="F121" s="120"/>
      <c r="G121" s="121"/>
      <c r="H121" s="115"/>
      <c r="I121" s="116"/>
      <c r="J121" s="117"/>
    </row>
    <row r="122" spans="1:10">
      <c r="A122" s="112"/>
      <c r="B122" s="114"/>
      <c r="C122" s="113"/>
      <c r="D122" s="114"/>
      <c r="E122" s="119"/>
      <c r="F122" s="120"/>
      <c r="G122" s="121"/>
      <c r="H122" s="115"/>
      <c r="I122" s="116"/>
      <c r="J122" s="117"/>
    </row>
    <row r="123" spans="1:10">
      <c r="A123" s="112"/>
      <c r="B123" s="114"/>
      <c r="C123" s="113"/>
      <c r="D123" s="114"/>
      <c r="E123" s="119"/>
      <c r="F123" s="120"/>
      <c r="G123" s="121"/>
      <c r="H123" s="115"/>
      <c r="I123" s="116"/>
      <c r="J123" s="117"/>
    </row>
    <row r="124" spans="1:10">
      <c r="A124" s="112"/>
      <c r="B124" s="114"/>
      <c r="C124" s="113"/>
      <c r="D124" s="114"/>
      <c r="E124" s="119"/>
      <c r="F124" s="120"/>
      <c r="G124" s="121"/>
      <c r="H124" s="115"/>
      <c r="I124" s="116"/>
      <c r="J124" s="117"/>
    </row>
    <row r="125" spans="1:10">
      <c r="A125" s="112"/>
      <c r="B125" s="114"/>
      <c r="C125" s="113"/>
      <c r="D125" s="114"/>
      <c r="E125" s="119"/>
      <c r="F125" s="120"/>
      <c r="G125" s="121"/>
      <c r="H125" s="115"/>
      <c r="I125" s="116"/>
      <c r="J125" s="117"/>
    </row>
    <row r="126" spans="1:10">
      <c r="A126" s="112"/>
      <c r="B126" s="114"/>
      <c r="C126" s="113"/>
      <c r="D126" s="114"/>
      <c r="E126" s="119"/>
      <c r="F126" s="120"/>
      <c r="G126" s="121"/>
      <c r="H126" s="115"/>
      <c r="I126" s="116"/>
      <c r="J126" s="117"/>
    </row>
    <row r="127" spans="1:10">
      <c r="A127" s="112"/>
      <c r="B127" s="114"/>
      <c r="C127" s="113"/>
      <c r="D127" s="114"/>
      <c r="E127" s="119"/>
      <c r="F127" s="120"/>
      <c r="G127" s="121"/>
      <c r="H127" s="115"/>
      <c r="I127" s="116"/>
      <c r="J127" s="117"/>
    </row>
    <row r="128" spans="1:10">
      <c r="A128" s="112"/>
      <c r="B128" s="114"/>
      <c r="C128" s="113"/>
      <c r="D128" s="114"/>
      <c r="E128" s="119"/>
      <c r="F128" s="120"/>
      <c r="G128" s="121"/>
      <c r="H128" s="115"/>
      <c r="I128" s="116"/>
      <c r="J128" s="117"/>
    </row>
    <row r="129" spans="1:10">
      <c r="A129" s="112"/>
      <c r="B129" s="114"/>
      <c r="C129" s="113"/>
      <c r="D129" s="114"/>
      <c r="E129" s="119"/>
      <c r="F129" s="120"/>
      <c r="G129" s="121"/>
      <c r="H129" s="115"/>
      <c r="I129" s="116"/>
      <c r="J129" s="117"/>
    </row>
    <row r="130" spans="1:10">
      <c r="A130" s="112"/>
      <c r="B130" s="114"/>
      <c r="C130" s="113"/>
      <c r="D130" s="114"/>
      <c r="E130" s="119"/>
      <c r="F130" s="120"/>
      <c r="G130" s="121"/>
      <c r="H130" s="115"/>
      <c r="I130" s="116"/>
      <c r="J130" s="117"/>
    </row>
    <row r="131" spans="1:10">
      <c r="A131" s="112"/>
      <c r="B131" s="114"/>
      <c r="C131" s="113"/>
      <c r="D131" s="114"/>
      <c r="E131" s="119"/>
      <c r="F131" s="120"/>
      <c r="G131" s="121"/>
      <c r="H131" s="115"/>
      <c r="I131" s="116"/>
      <c r="J131" s="117"/>
    </row>
    <row r="132" spans="1:10">
      <c r="A132" s="112"/>
      <c r="B132" s="114"/>
      <c r="C132" s="113"/>
      <c r="D132" s="114"/>
      <c r="E132" s="119"/>
      <c r="F132" s="120"/>
      <c r="G132" s="121"/>
      <c r="H132" s="115"/>
      <c r="I132" s="116"/>
      <c r="J132" s="117"/>
    </row>
    <row r="133" spans="1:10">
      <c r="A133" s="112"/>
      <c r="B133" s="114"/>
      <c r="C133" s="113"/>
      <c r="D133" s="114"/>
      <c r="E133" s="119"/>
      <c r="F133" s="120"/>
      <c r="G133" s="121"/>
      <c r="H133" s="115"/>
      <c r="I133" s="116"/>
      <c r="J133" s="117"/>
    </row>
    <row r="134" spans="1:10">
      <c r="A134" s="112"/>
      <c r="B134" s="114"/>
      <c r="C134" s="113"/>
      <c r="D134" s="114"/>
      <c r="E134" s="119"/>
      <c r="F134" s="120"/>
      <c r="G134" s="121"/>
      <c r="H134" s="115"/>
      <c r="I134" s="116"/>
      <c r="J134" s="117"/>
    </row>
    <row r="135" spans="1:10">
      <c r="A135" s="112"/>
      <c r="B135" s="114"/>
      <c r="C135" s="113"/>
      <c r="D135" s="114"/>
      <c r="E135" s="119"/>
      <c r="F135" s="120"/>
      <c r="G135" s="121"/>
      <c r="H135" s="115"/>
      <c r="I135" s="116"/>
      <c r="J135" s="117"/>
    </row>
    <row r="136" spans="1:10">
      <c r="A136" s="112"/>
      <c r="B136" s="114"/>
      <c r="C136" s="113"/>
      <c r="D136" s="114"/>
      <c r="E136" s="119"/>
      <c r="F136" s="120"/>
      <c r="G136" s="121"/>
      <c r="H136" s="115"/>
      <c r="I136" s="116"/>
      <c r="J136" s="117"/>
    </row>
    <row r="137" spans="1:10">
      <c r="A137" s="112"/>
      <c r="B137" s="114"/>
      <c r="C137" s="113"/>
      <c r="D137" s="114"/>
      <c r="E137" s="119"/>
      <c r="F137" s="120"/>
      <c r="G137" s="121"/>
      <c r="H137" s="115"/>
      <c r="I137" s="116"/>
      <c r="J137" s="117"/>
    </row>
    <row r="138" spans="1:10">
      <c r="A138" s="112"/>
      <c r="B138" s="114"/>
      <c r="C138" s="113"/>
      <c r="D138" s="114"/>
      <c r="E138" s="119"/>
      <c r="F138" s="120"/>
      <c r="G138" s="121"/>
      <c r="H138" s="115"/>
      <c r="I138" s="116"/>
      <c r="J138" s="117"/>
    </row>
    <row r="139" spans="1:10">
      <c r="A139" s="112"/>
      <c r="B139" s="114"/>
      <c r="C139" s="113"/>
      <c r="D139" s="114"/>
      <c r="E139" s="119"/>
      <c r="F139" s="120"/>
      <c r="G139" s="121"/>
      <c r="H139" s="115"/>
      <c r="I139" s="116"/>
      <c r="J139" s="117"/>
    </row>
    <row r="140" spans="1:10">
      <c r="A140" s="112"/>
      <c r="B140" s="114"/>
      <c r="C140" s="113"/>
      <c r="D140" s="114"/>
      <c r="E140" s="119"/>
      <c r="F140" s="120"/>
      <c r="G140" s="121"/>
      <c r="H140" s="115"/>
      <c r="I140" s="116"/>
      <c r="J140" s="117"/>
    </row>
    <row r="141" spans="1:10">
      <c r="A141" s="112"/>
      <c r="B141" s="114"/>
      <c r="C141" s="113"/>
      <c r="D141" s="114"/>
      <c r="E141" s="119"/>
      <c r="F141" s="120"/>
      <c r="G141" s="121"/>
      <c r="H141" s="115"/>
      <c r="I141" s="116"/>
      <c r="J141" s="117"/>
    </row>
    <row r="142" spans="1:10">
      <c r="A142" s="112"/>
      <c r="B142" s="114"/>
      <c r="C142" s="113"/>
      <c r="D142" s="114"/>
      <c r="E142" s="119"/>
      <c r="F142" s="120"/>
      <c r="G142" s="121"/>
      <c r="H142" s="115"/>
      <c r="I142" s="116"/>
      <c r="J142" s="117"/>
    </row>
    <row r="143" spans="1:10">
      <c r="A143" s="112"/>
      <c r="B143" s="114"/>
      <c r="C143" s="113"/>
      <c r="D143" s="114"/>
      <c r="E143" s="119"/>
      <c r="F143" s="120"/>
      <c r="G143" s="121"/>
      <c r="H143" s="115"/>
      <c r="I143" s="116"/>
      <c r="J143" s="117"/>
    </row>
    <row r="144" spans="1:10">
      <c r="A144" s="112"/>
      <c r="B144" s="114"/>
      <c r="C144" s="113"/>
      <c r="D144" s="114"/>
      <c r="E144" s="119"/>
      <c r="F144" s="120"/>
      <c r="G144" s="121"/>
      <c r="H144" s="115"/>
      <c r="I144" s="116"/>
      <c r="J144" s="117"/>
    </row>
    <row r="145" spans="1:10">
      <c r="A145" s="112"/>
      <c r="B145" s="114"/>
      <c r="C145" s="113"/>
      <c r="D145" s="114"/>
      <c r="E145" s="119"/>
      <c r="F145" s="120"/>
      <c r="G145" s="121"/>
      <c r="H145" s="115"/>
      <c r="I145" s="116"/>
      <c r="J145" s="117"/>
    </row>
    <row r="146" spans="1:10">
      <c r="A146" s="112"/>
      <c r="B146" s="114"/>
      <c r="C146" s="113"/>
      <c r="D146" s="114"/>
      <c r="E146" s="119"/>
      <c r="F146" s="120"/>
      <c r="G146" s="121"/>
      <c r="H146" s="115"/>
      <c r="I146" s="116"/>
      <c r="J146" s="117"/>
    </row>
    <row r="147" spans="1:10">
      <c r="A147" s="112"/>
      <c r="B147" s="114"/>
      <c r="C147" s="113"/>
      <c r="D147" s="114"/>
      <c r="E147" s="119"/>
      <c r="F147" s="120"/>
      <c r="G147" s="121"/>
      <c r="H147" s="115"/>
      <c r="I147" s="116"/>
      <c r="J147" s="117"/>
    </row>
    <row r="148" spans="1:10">
      <c r="A148" s="112"/>
      <c r="B148" s="114"/>
      <c r="C148" s="113"/>
      <c r="D148" s="114"/>
      <c r="E148" s="119"/>
      <c r="F148" s="120"/>
      <c r="G148" s="121"/>
      <c r="H148" s="115"/>
      <c r="I148" s="116"/>
      <c r="J148" s="117"/>
    </row>
    <row r="149" spans="1:10">
      <c r="A149" s="112"/>
      <c r="B149" s="114"/>
      <c r="C149" s="113"/>
      <c r="D149" s="114"/>
      <c r="E149" s="119"/>
      <c r="F149" s="120"/>
      <c r="G149" s="121"/>
      <c r="H149" s="115"/>
      <c r="I149" s="116"/>
      <c r="J149" s="117"/>
    </row>
    <row r="150" spans="1:10">
      <c r="A150" s="112"/>
      <c r="B150" s="114"/>
      <c r="C150" s="113"/>
      <c r="D150" s="114"/>
      <c r="E150" s="119"/>
      <c r="F150" s="120"/>
      <c r="G150" s="121"/>
      <c r="H150" s="115"/>
      <c r="I150" s="116"/>
      <c r="J150" s="117"/>
    </row>
    <row r="151" spans="1:10">
      <c r="A151" s="112"/>
      <c r="B151" s="114"/>
      <c r="C151" s="113"/>
      <c r="D151" s="114"/>
      <c r="E151" s="119"/>
      <c r="F151" s="120"/>
      <c r="G151" s="121"/>
      <c r="H151" s="115"/>
      <c r="I151" s="116"/>
      <c r="J151" s="117"/>
    </row>
    <row r="152" spans="1:10">
      <c r="A152" s="112"/>
      <c r="B152" s="114"/>
      <c r="C152" s="113"/>
      <c r="D152" s="114"/>
      <c r="E152" s="119"/>
      <c r="F152" s="120"/>
      <c r="G152" s="121"/>
      <c r="H152" s="115"/>
      <c r="I152" s="116"/>
      <c r="J152" s="117"/>
    </row>
    <row r="153" spans="1:10">
      <c r="A153" s="112"/>
      <c r="B153" s="114"/>
      <c r="C153" s="113"/>
      <c r="D153" s="114"/>
      <c r="E153" s="119"/>
      <c r="F153" s="120"/>
      <c r="G153" s="121"/>
      <c r="H153" s="115"/>
      <c r="I153" s="116"/>
      <c r="J153" s="117"/>
    </row>
    <row r="154" spans="1:10">
      <c r="A154" s="112"/>
      <c r="B154" s="114"/>
      <c r="C154" s="113"/>
      <c r="D154" s="114"/>
      <c r="E154" s="119"/>
      <c r="F154" s="120"/>
      <c r="G154" s="121"/>
      <c r="H154" s="115"/>
      <c r="I154" s="116"/>
      <c r="J154" s="117"/>
    </row>
    <row r="155" spans="1:10">
      <c r="A155" s="112"/>
      <c r="B155" s="114"/>
      <c r="C155" s="113"/>
      <c r="D155" s="114"/>
      <c r="E155" s="119"/>
      <c r="F155" s="120"/>
      <c r="G155" s="121"/>
      <c r="H155" s="115"/>
      <c r="I155" s="116"/>
      <c r="J155" s="117"/>
    </row>
    <row r="156" spans="1:10">
      <c r="A156" s="112"/>
      <c r="B156" s="114"/>
      <c r="C156" s="113"/>
      <c r="D156" s="114"/>
      <c r="E156" s="119"/>
      <c r="F156" s="120"/>
      <c r="G156" s="121"/>
      <c r="H156" s="115"/>
      <c r="I156" s="116"/>
      <c r="J156" s="117"/>
    </row>
    <row r="157" spans="1:10">
      <c r="A157" s="112"/>
      <c r="B157" s="114"/>
      <c r="C157" s="113"/>
      <c r="D157" s="114"/>
      <c r="E157" s="119"/>
      <c r="F157" s="120"/>
      <c r="G157" s="121"/>
      <c r="H157" s="115"/>
      <c r="I157" s="116"/>
      <c r="J157" s="117"/>
    </row>
    <row r="158" spans="1:10">
      <c r="A158" s="112"/>
      <c r="B158" s="114"/>
      <c r="C158" s="113"/>
      <c r="D158" s="114"/>
      <c r="E158" s="119"/>
      <c r="F158" s="120"/>
      <c r="G158" s="121"/>
      <c r="H158" s="115"/>
      <c r="I158" s="116"/>
      <c r="J158" s="117"/>
    </row>
    <row r="159" spans="1:10">
      <c r="A159" s="112"/>
      <c r="B159" s="114"/>
      <c r="C159" s="113"/>
      <c r="D159" s="114"/>
      <c r="E159" s="119"/>
      <c r="F159" s="120"/>
      <c r="G159" s="121"/>
      <c r="H159" s="115"/>
      <c r="I159" s="116"/>
      <c r="J159" s="117"/>
    </row>
    <row r="160" spans="1:10">
      <c r="A160" s="112"/>
      <c r="B160" s="114"/>
      <c r="C160" s="113"/>
      <c r="D160" s="114"/>
      <c r="E160" s="119"/>
      <c r="F160" s="120"/>
      <c r="G160" s="121"/>
      <c r="H160" s="115"/>
      <c r="I160" s="116"/>
      <c r="J160" s="117"/>
    </row>
    <row r="161" spans="1:10">
      <c r="A161" s="112"/>
      <c r="B161" s="114"/>
      <c r="C161" s="113"/>
      <c r="D161" s="114"/>
      <c r="E161" s="119"/>
      <c r="F161" s="120">
        <f t="shared" ref="F161" si="7">G161</f>
        <v>0</v>
      </c>
      <c r="G161" s="121"/>
      <c r="H161" s="115"/>
      <c r="I161" s="116"/>
      <c r="J161" s="117"/>
    </row>
    <row r="162" spans="1:10" ht="13.5" thickBot="1">
      <c r="A162" s="122"/>
      <c r="B162" s="123"/>
      <c r="C162" s="124"/>
      <c r="D162" s="123"/>
      <c r="E162" s="125"/>
      <c r="F162" s="126"/>
      <c r="G162" s="127"/>
      <c r="H162" s="128"/>
      <c r="I162" s="129"/>
      <c r="J162" s="130"/>
    </row>
    <row r="163" spans="1:10">
      <c r="A163" s="96"/>
      <c r="B163" s="97"/>
      <c r="C163" s="97"/>
      <c r="D163" s="97"/>
      <c r="E163" s="98"/>
      <c r="F163" s="97"/>
      <c r="G163" s="97"/>
      <c r="H163" s="97"/>
      <c r="I163" s="97"/>
      <c r="J163" s="99"/>
    </row>
    <row r="164" spans="1:10">
      <c r="A164" s="102"/>
      <c r="B164" s="164" t="s">
        <v>213</v>
      </c>
      <c r="C164" s="164" t="s">
        <v>214</v>
      </c>
      <c r="D164" s="161"/>
      <c r="E164" s="103"/>
      <c r="F164" s="161"/>
      <c r="G164" s="164" t="s">
        <v>215</v>
      </c>
      <c r="H164" s="161"/>
      <c r="I164" s="161"/>
      <c r="J164" s="104"/>
    </row>
    <row r="165" spans="1:10">
      <c r="A165" s="102"/>
      <c r="B165" s="164"/>
      <c r="C165" s="164"/>
      <c r="D165" s="161"/>
      <c r="E165" s="103"/>
      <c r="F165" s="161"/>
      <c r="G165" s="164"/>
      <c r="H165" s="161"/>
      <c r="I165" s="161"/>
      <c r="J165" s="104"/>
    </row>
    <row r="166" spans="1:10">
      <c r="A166" s="102"/>
      <c r="B166" s="161"/>
      <c r="C166" s="161"/>
      <c r="D166" s="161"/>
      <c r="E166" s="103"/>
      <c r="F166" s="161"/>
      <c r="G166" s="161"/>
      <c r="H166" s="161"/>
      <c r="I166" s="161"/>
      <c r="J166" s="104"/>
    </row>
    <row r="167" spans="1:10" ht="16">
      <c r="A167" s="102"/>
      <c r="B167" s="165" t="s">
        <v>216</v>
      </c>
      <c r="C167" s="428" t="s">
        <v>217</v>
      </c>
      <c r="D167" s="428"/>
      <c r="E167" s="428"/>
      <c r="F167" s="428"/>
      <c r="G167" s="428" t="s">
        <v>218</v>
      </c>
      <c r="H167" s="428"/>
      <c r="I167" s="428"/>
      <c r="J167" s="429"/>
    </row>
    <row r="168" spans="1:10" ht="26">
      <c r="A168" s="102"/>
      <c r="B168" s="166" t="s">
        <v>219</v>
      </c>
      <c r="C168" s="430" t="s">
        <v>220</v>
      </c>
      <c r="D168" s="430"/>
      <c r="E168" s="430"/>
      <c r="F168" s="430"/>
      <c r="G168" s="431" t="s">
        <v>221</v>
      </c>
      <c r="H168" s="431"/>
      <c r="I168" s="431"/>
      <c r="J168" s="432"/>
    </row>
    <row r="169" spans="1:10" ht="13.5" thickBot="1">
      <c r="A169" s="131"/>
      <c r="B169" s="132"/>
      <c r="C169" s="132"/>
      <c r="D169" s="132"/>
      <c r="E169" s="133"/>
      <c r="F169" s="132"/>
      <c r="G169" s="132"/>
      <c r="H169" s="132"/>
      <c r="I169" s="132"/>
      <c r="J169" s="134"/>
    </row>
  </sheetData>
  <mergeCells count="18">
    <mergeCell ref="A3:J3"/>
    <mergeCell ref="A4:J4"/>
    <mergeCell ref="A5:J5"/>
    <mergeCell ref="A6:J6"/>
    <mergeCell ref="A9:A10"/>
    <mergeCell ref="B9:B10"/>
    <mergeCell ref="C9:C10"/>
    <mergeCell ref="D9:D10"/>
    <mergeCell ref="E9:E10"/>
    <mergeCell ref="F9:G9"/>
    <mergeCell ref="H9:I9"/>
    <mergeCell ref="J9:J10"/>
    <mergeCell ref="A92:J92"/>
    <mergeCell ref="C167:F167"/>
    <mergeCell ref="G167:J167"/>
    <mergeCell ref="C168:F168"/>
    <mergeCell ref="G168:J168"/>
    <mergeCell ref="A106:J106"/>
  </mergeCells>
  <pageMargins left="0.11810914260717401" right="0.11810914260717401" top="0.12" bottom="0.12" header="0.31496062992126" footer="0.31496062992126"/>
  <pageSetup paperSize="9" scale="65" fitToWidth="0" fitToHeight="0" orientation="portrait" r:id="rId1"/>
  <colBreaks count="1" manualBreakCount="1">
    <brk id="1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F2051-1441-4DAB-94C1-2081CCB3C0F9}">
  <sheetPr codeName="Sheet10"/>
  <dimension ref="A1:V94"/>
  <sheetViews>
    <sheetView view="pageBreakPreview" zoomScale="70" zoomScaleNormal="85" zoomScaleSheetLayoutView="70" workbookViewId="0">
      <selection activeCell="F22" sqref="F22"/>
    </sheetView>
  </sheetViews>
  <sheetFormatPr defaultColWidth="9.1796875" defaultRowHeight="13"/>
  <cols>
    <col min="1" max="1" width="20.81640625" style="100" customWidth="1"/>
    <col min="2" max="2" width="40.81640625" style="100" customWidth="1"/>
    <col min="3" max="3" width="12.81640625" style="100" customWidth="1"/>
    <col min="4" max="4" width="10.1796875" style="100" customWidth="1"/>
    <col min="5" max="5" width="12.81640625" style="101" customWidth="1"/>
    <col min="6" max="7" width="12.81640625" style="100" customWidth="1"/>
    <col min="8" max="8" width="9.81640625" style="100" customWidth="1"/>
    <col min="9" max="9" width="12.81640625" style="100" customWidth="1"/>
    <col min="10" max="10" width="10.36328125" style="100" customWidth="1"/>
    <col min="11" max="11" width="9.1796875" style="100"/>
    <col min="12" max="12" width="23.6328125" style="140" customWidth="1"/>
    <col min="13" max="13" width="18" style="136" bestFit="1" customWidth="1"/>
    <col min="14" max="14" width="47.1796875" style="144" bestFit="1" customWidth="1"/>
    <col min="15" max="18" width="9.1796875" style="136"/>
    <col min="19" max="19" width="22.08984375" style="136" customWidth="1"/>
    <col min="20" max="20" width="9.1796875" style="136"/>
    <col min="21" max="21" width="21.6328125" style="136" customWidth="1"/>
    <col min="22" max="22" width="26.36328125" style="136" customWidth="1"/>
    <col min="23" max="23" width="23.90625" style="100" customWidth="1"/>
    <col min="24" max="24" width="28.1796875" style="100" customWidth="1"/>
    <col min="25" max="25" width="23.90625" style="100" customWidth="1"/>
    <col min="26" max="16384" width="9.1796875" style="100"/>
  </cols>
  <sheetData>
    <row r="1" spans="1:22">
      <c r="A1" s="96"/>
      <c r="B1" s="97"/>
      <c r="C1" s="97"/>
      <c r="D1" s="97"/>
      <c r="E1" s="98"/>
      <c r="F1" s="97"/>
      <c r="G1" s="97"/>
      <c r="H1" s="97"/>
      <c r="I1" s="97"/>
      <c r="J1" s="99"/>
    </row>
    <row r="2" spans="1:22">
      <c r="A2" s="102"/>
      <c r="B2" s="161"/>
      <c r="C2" s="161"/>
      <c r="D2" s="161"/>
      <c r="E2" s="103"/>
      <c r="F2" s="161"/>
      <c r="G2" s="161"/>
      <c r="H2" s="161"/>
      <c r="I2" s="161"/>
      <c r="J2" s="104"/>
    </row>
    <row r="3" spans="1:22" s="105" customFormat="1" ht="30.5">
      <c r="A3" s="433" t="s">
        <v>199</v>
      </c>
      <c r="B3" s="434"/>
      <c r="C3" s="434"/>
      <c r="D3" s="434"/>
      <c r="E3" s="434"/>
      <c r="F3" s="434"/>
      <c r="G3" s="434"/>
      <c r="H3" s="434"/>
      <c r="I3" s="434"/>
      <c r="J3" s="435"/>
      <c r="L3" s="141"/>
      <c r="M3" s="137"/>
      <c r="N3" s="145"/>
      <c r="O3" s="137"/>
      <c r="P3" s="137"/>
      <c r="Q3" s="137"/>
      <c r="R3" s="137"/>
      <c r="S3" s="137"/>
      <c r="T3" s="137"/>
      <c r="U3" s="137"/>
      <c r="V3" s="137"/>
    </row>
    <row r="4" spans="1:22" s="105" customFormat="1" ht="16">
      <c r="A4" s="454" t="str">
        <f>UPPER(L10)</f>
        <v>OTHER SUPPLIES</v>
      </c>
      <c r="B4" s="437"/>
      <c r="C4" s="437"/>
      <c r="D4" s="437"/>
      <c r="E4" s="437"/>
      <c r="F4" s="437"/>
      <c r="G4" s="437"/>
      <c r="H4" s="437"/>
      <c r="I4" s="437"/>
      <c r="J4" s="438"/>
      <c r="L4" s="141"/>
      <c r="M4" s="137"/>
      <c r="N4" s="145"/>
      <c r="O4" s="137"/>
      <c r="P4" s="137"/>
      <c r="Q4" s="137"/>
      <c r="R4" s="137"/>
      <c r="S4" s="137"/>
      <c r="T4" s="137"/>
      <c r="U4" s="137"/>
      <c r="V4" s="137"/>
    </row>
    <row r="5" spans="1:22" s="105" customFormat="1" ht="14.5">
      <c r="A5" s="439" t="s">
        <v>200</v>
      </c>
      <c r="B5" s="440"/>
      <c r="C5" s="440"/>
      <c r="D5" s="440"/>
      <c r="E5" s="440"/>
      <c r="F5" s="440"/>
      <c r="G5" s="440"/>
      <c r="H5" s="440"/>
      <c r="I5" s="440"/>
      <c r="J5" s="441"/>
      <c r="L5" s="141"/>
      <c r="M5" s="137"/>
      <c r="N5" s="145"/>
      <c r="O5" s="137"/>
      <c r="P5" s="137"/>
      <c r="Q5" s="137"/>
      <c r="R5" s="137"/>
      <c r="S5" s="137"/>
      <c r="T5" s="137"/>
      <c r="U5" s="137"/>
      <c r="V5" s="137"/>
    </row>
    <row r="6" spans="1:22" s="105" customFormat="1" ht="14.5">
      <c r="A6" s="442" t="s">
        <v>269</v>
      </c>
      <c r="B6" s="443"/>
      <c r="C6" s="443"/>
      <c r="D6" s="443"/>
      <c r="E6" s="443"/>
      <c r="F6" s="443"/>
      <c r="G6" s="443"/>
      <c r="H6" s="443"/>
      <c r="I6" s="443"/>
      <c r="J6" s="444"/>
      <c r="L6" s="141"/>
      <c r="M6" s="137"/>
      <c r="N6" s="145"/>
      <c r="O6" s="137"/>
      <c r="P6" s="137"/>
      <c r="Q6" s="137"/>
      <c r="R6" s="137"/>
      <c r="S6" s="137"/>
      <c r="T6" s="137"/>
      <c r="U6" s="137"/>
      <c r="V6" s="137"/>
    </row>
    <row r="7" spans="1:22" s="105" customFormat="1" ht="14.5">
      <c r="A7" s="106" t="s">
        <v>6</v>
      </c>
      <c r="B7" s="162"/>
      <c r="C7" s="162"/>
      <c r="D7" s="162"/>
      <c r="E7" s="107"/>
      <c r="F7" s="162"/>
      <c r="G7" s="162"/>
      <c r="H7" s="162"/>
      <c r="I7" s="162"/>
      <c r="J7" s="108"/>
      <c r="L7" s="141"/>
      <c r="M7" s="137"/>
      <c r="N7" s="145"/>
      <c r="O7" s="137"/>
      <c r="P7" s="137"/>
      <c r="Q7" s="137"/>
      <c r="R7" s="137"/>
      <c r="S7" s="137"/>
      <c r="T7" s="137"/>
      <c r="U7" s="137"/>
      <c r="V7" s="137"/>
    </row>
    <row r="8" spans="1:22" s="105" customFormat="1" ht="15" thickBot="1">
      <c r="A8" s="109" t="s">
        <v>229</v>
      </c>
      <c r="B8" s="162"/>
      <c r="C8" s="162"/>
      <c r="D8" s="162"/>
      <c r="E8" s="107"/>
      <c r="F8" s="162"/>
      <c r="G8" s="162"/>
      <c r="H8" s="162"/>
      <c r="I8" s="162"/>
      <c r="J8" s="108"/>
      <c r="L8" s="141"/>
      <c r="M8" s="137"/>
      <c r="N8" s="145"/>
      <c r="O8" s="137"/>
      <c r="P8" s="137"/>
      <c r="Q8" s="137"/>
      <c r="R8" s="137"/>
      <c r="S8" s="137"/>
      <c r="T8" s="137"/>
      <c r="U8" s="137"/>
      <c r="V8" s="137"/>
    </row>
    <row r="9" spans="1:22" s="110" customFormat="1">
      <c r="A9" s="445" t="s">
        <v>201</v>
      </c>
      <c r="B9" s="447" t="s">
        <v>202</v>
      </c>
      <c r="C9" s="447" t="s">
        <v>203</v>
      </c>
      <c r="D9" s="447" t="s">
        <v>204</v>
      </c>
      <c r="E9" s="449" t="s">
        <v>205</v>
      </c>
      <c r="F9" s="451" t="s">
        <v>206</v>
      </c>
      <c r="G9" s="451"/>
      <c r="H9" s="451" t="s">
        <v>207</v>
      </c>
      <c r="I9" s="451"/>
      <c r="J9" s="452" t="s">
        <v>208</v>
      </c>
      <c r="L9" s="142"/>
      <c r="M9" s="138"/>
      <c r="N9" s="146"/>
      <c r="O9" s="138"/>
      <c r="P9" s="138"/>
      <c r="Q9" s="138"/>
      <c r="R9" s="138"/>
      <c r="S9" s="138"/>
      <c r="T9" s="138"/>
      <c r="U9" s="138"/>
      <c r="V9" s="138"/>
    </row>
    <row r="10" spans="1:22" s="110" customFormat="1" ht="21.65" customHeight="1" thickBot="1">
      <c r="A10" s="446"/>
      <c r="B10" s="448"/>
      <c r="C10" s="448"/>
      <c r="D10" s="448"/>
      <c r="E10" s="450"/>
      <c r="F10" s="111" t="s">
        <v>209</v>
      </c>
      <c r="G10" s="111" t="s">
        <v>210</v>
      </c>
      <c r="H10" s="111" t="s">
        <v>211</v>
      </c>
      <c r="I10" s="111" t="s">
        <v>212</v>
      </c>
      <c r="J10" s="453"/>
      <c r="L10" s="142" t="s">
        <v>78</v>
      </c>
      <c r="M10" s="138"/>
      <c r="N10" s="146"/>
      <c r="O10" s="138"/>
      <c r="P10" s="138"/>
      <c r="Q10" s="138"/>
      <c r="R10" s="138"/>
      <c r="S10" s="138"/>
      <c r="T10" s="138"/>
      <c r="U10" s="138"/>
      <c r="V10" s="138"/>
    </row>
    <row r="11" spans="1:22" ht="13.5" thickTop="1">
      <c r="A11" s="160" t="e" vm="1">
        <f ca="1">L11</f>
        <v>#NAME?</v>
      </c>
      <c r="B11" s="149">
        <f>M11</f>
        <v>0</v>
      </c>
      <c r="C11" s="150"/>
      <c r="D11" s="151" t="e">
        <f>_xlfn.XLOOKUP(B11,Table13[Decription],Table13[Unit])</f>
        <v>#N/A</v>
      </c>
      <c r="E11" s="158" t="e">
        <f>_xlfn.XLOOKUP(B11,Table13[Decription],Table13[Unit Cost])</f>
        <v>#N/A</v>
      </c>
      <c r="F11" s="152" t="e">
        <f>_xlfn.XLOOKUP(B11,Table13[Decription],Table13[February 2025 - Balance Qty])</f>
        <v>#N/A</v>
      </c>
      <c r="G11" s="152" t="e">
        <f>_xlfn.XLOOKUP(B11,Table13[Decription],Table13[February 2025 - Balance Qty])</f>
        <v>#N/A</v>
      </c>
      <c r="H11" s="153">
        <v>0</v>
      </c>
      <c r="I11" s="153">
        <v>0</v>
      </c>
      <c r="J11" s="154"/>
      <c r="L11" s="143" t="e" cm="1" vm="2">
        <f t="array" aca="1" ref="L11" ca="1">_xlfn.CHOOSECOLS(_xlfn._xlws.FILTER(Table13[[Article]:[Total Value]],Table13[Article]=L10),1,3)</f>
        <v>#NAME?</v>
      </c>
      <c r="N11" s="147"/>
    </row>
    <row r="12" spans="1:22" s="118" customFormat="1">
      <c r="A12" s="160">
        <f t="shared" ref="A12:B48" si="0">L12</f>
        <v>0</v>
      </c>
      <c r="B12" s="149">
        <f t="shared" si="0"/>
        <v>0</v>
      </c>
      <c r="C12" s="155"/>
      <c r="D12" s="151" t="e">
        <f>_xlfn.XLOOKUP(B12,Table13[Decription],Table13[Unit])</f>
        <v>#N/A</v>
      </c>
      <c r="E12" s="158" t="e">
        <f>_xlfn.XLOOKUP(B12,Table13[Decription],Table13[Unit Cost])</f>
        <v>#N/A</v>
      </c>
      <c r="F12" s="152" t="e">
        <f>_xlfn.XLOOKUP(B12,Table13[Decription],Table13[February 2025 - Balance Qty])</f>
        <v>#N/A</v>
      </c>
      <c r="G12" s="152" t="e">
        <f>_xlfn.XLOOKUP(B12,Table13[Decription],Table13[February 2025 - Balance Qty])</f>
        <v>#N/A</v>
      </c>
      <c r="H12" s="153">
        <v>0</v>
      </c>
      <c r="I12" s="153">
        <v>0</v>
      </c>
      <c r="J12" s="156"/>
      <c r="L12" s="143"/>
      <c r="M12" s="139"/>
      <c r="N12" s="148"/>
      <c r="O12" s="139"/>
      <c r="P12" s="139"/>
      <c r="Q12" s="139"/>
      <c r="R12" s="139"/>
      <c r="S12" s="139"/>
      <c r="T12" s="139"/>
      <c r="U12" s="139"/>
      <c r="V12" s="139"/>
    </row>
    <row r="13" spans="1:22" s="118" customFormat="1">
      <c r="A13" s="160">
        <f t="shared" si="0"/>
        <v>0</v>
      </c>
      <c r="B13" s="149">
        <f t="shared" si="0"/>
        <v>0</v>
      </c>
      <c r="C13" s="155"/>
      <c r="D13" s="151" t="e">
        <f>_xlfn.XLOOKUP(B13,Table13[Decription],Table13[Unit])</f>
        <v>#N/A</v>
      </c>
      <c r="E13" s="158" t="e">
        <f>_xlfn.XLOOKUP(B13,Table13[Decription],Table13[Unit Cost])</f>
        <v>#N/A</v>
      </c>
      <c r="F13" s="152" t="e">
        <f>_xlfn.XLOOKUP(B13,Table13[Decription],Table13[February 2025 - Balance Qty])</f>
        <v>#N/A</v>
      </c>
      <c r="G13" s="152" t="e">
        <f>_xlfn.XLOOKUP(B13,Table13[Decription],Table13[February 2025 - Balance Qty])</f>
        <v>#N/A</v>
      </c>
      <c r="H13" s="153">
        <v>0</v>
      </c>
      <c r="I13" s="153">
        <v>0</v>
      </c>
      <c r="J13" s="156"/>
      <c r="L13" s="143"/>
      <c r="M13" s="139"/>
      <c r="N13" s="148"/>
      <c r="O13" s="139"/>
      <c r="P13" s="139"/>
      <c r="Q13" s="139"/>
      <c r="R13" s="139"/>
      <c r="S13" s="139"/>
      <c r="T13" s="139"/>
      <c r="U13" s="139"/>
      <c r="V13" s="139"/>
    </row>
    <row r="14" spans="1:22" s="118" customFormat="1">
      <c r="A14" s="160">
        <f t="shared" si="0"/>
        <v>0</v>
      </c>
      <c r="B14" s="149">
        <f t="shared" si="0"/>
        <v>0</v>
      </c>
      <c r="C14" s="155"/>
      <c r="D14" s="151" t="e">
        <f>_xlfn.XLOOKUP(B14,Table13[Decription],Table13[Unit])</f>
        <v>#N/A</v>
      </c>
      <c r="E14" s="158" t="e">
        <f>_xlfn.XLOOKUP(B14,Table13[Decription],Table13[Unit Cost])</f>
        <v>#N/A</v>
      </c>
      <c r="F14" s="152" t="e">
        <f>_xlfn.XLOOKUP(B14,Table13[Decription],Table13[February 2025 - Balance Qty])</f>
        <v>#N/A</v>
      </c>
      <c r="G14" s="152" t="e">
        <f>_xlfn.XLOOKUP(B14,Table13[Decription],Table13[February 2025 - Balance Qty])</f>
        <v>#N/A</v>
      </c>
      <c r="H14" s="153">
        <v>0</v>
      </c>
      <c r="I14" s="153">
        <v>0</v>
      </c>
      <c r="J14" s="156"/>
      <c r="L14" s="143"/>
      <c r="M14" s="139"/>
      <c r="N14" s="148"/>
      <c r="O14" s="139"/>
      <c r="P14" s="139"/>
      <c r="Q14" s="139"/>
      <c r="R14" s="139"/>
      <c r="S14" s="139"/>
      <c r="T14" s="139"/>
      <c r="U14" s="139"/>
      <c r="V14" s="139"/>
    </row>
    <row r="15" spans="1:22" s="118" customFormat="1" hidden="1">
      <c r="A15" s="160">
        <f t="shared" si="0"/>
        <v>0</v>
      </c>
      <c r="B15" s="149">
        <f t="shared" si="0"/>
        <v>0</v>
      </c>
      <c r="C15" s="155"/>
      <c r="D15" s="151" t="e">
        <f>_xlfn.XLOOKUP(B15,Table13[Decription],Table13[Unit])</f>
        <v>#N/A</v>
      </c>
      <c r="E15" s="158" t="e">
        <f>_xlfn.XLOOKUP(B15,Table13[Decription],Table13[Unit Cost])</f>
        <v>#N/A</v>
      </c>
      <c r="F15" s="152" t="e">
        <f>_xlfn.XLOOKUP(B15,Table13[Decription],Table13[February 2025 - Balance Qty])</f>
        <v>#N/A</v>
      </c>
      <c r="G15" s="152" t="e">
        <f>_xlfn.XLOOKUP(B15,Table13[Decription],Table13[February 2025 - Balance Qty])</f>
        <v>#N/A</v>
      </c>
      <c r="H15" s="153">
        <v>0</v>
      </c>
      <c r="I15" s="153">
        <v>0</v>
      </c>
      <c r="J15" s="156"/>
      <c r="L15" s="143"/>
      <c r="M15" s="139"/>
      <c r="N15" s="148"/>
      <c r="O15" s="139"/>
      <c r="P15" s="139"/>
      <c r="Q15" s="139"/>
      <c r="R15" s="139"/>
      <c r="S15" s="139"/>
      <c r="T15" s="139"/>
      <c r="U15" s="139"/>
      <c r="V15" s="139"/>
    </row>
    <row r="16" spans="1:22" s="118" customFormat="1">
      <c r="A16" s="160">
        <f t="shared" si="0"/>
        <v>0</v>
      </c>
      <c r="B16" s="149">
        <f t="shared" si="0"/>
        <v>0</v>
      </c>
      <c r="C16" s="155"/>
      <c r="D16" s="151" t="e">
        <f>_xlfn.XLOOKUP(B16,Table13[Decription],Table13[Unit])</f>
        <v>#N/A</v>
      </c>
      <c r="E16" s="158" t="e">
        <f>_xlfn.XLOOKUP(B16,Table13[Decription],Table13[Unit Cost])</f>
        <v>#N/A</v>
      </c>
      <c r="F16" s="152" t="e">
        <f>_xlfn.XLOOKUP(B16,Table13[Decription],Table13[February 2025 - Balance Qty])</f>
        <v>#N/A</v>
      </c>
      <c r="G16" s="152" t="e">
        <f>_xlfn.XLOOKUP(B16,Table13[Decription],Table13[February 2025 - Balance Qty])</f>
        <v>#N/A</v>
      </c>
      <c r="H16" s="153">
        <v>0</v>
      </c>
      <c r="I16" s="153">
        <v>0</v>
      </c>
      <c r="J16" s="156"/>
      <c r="L16" s="143"/>
      <c r="M16" s="139"/>
      <c r="N16" s="148"/>
      <c r="O16" s="139"/>
      <c r="P16" s="139"/>
      <c r="Q16" s="139"/>
      <c r="R16" s="139"/>
      <c r="S16" s="139"/>
      <c r="T16" s="139"/>
      <c r="U16" s="139"/>
      <c r="V16" s="139"/>
    </row>
    <row r="17" spans="1:22" s="118" customFormat="1">
      <c r="A17" s="160">
        <f t="shared" si="0"/>
        <v>0</v>
      </c>
      <c r="B17" s="149">
        <f t="shared" si="0"/>
        <v>0</v>
      </c>
      <c r="C17" s="155"/>
      <c r="D17" s="151" t="e">
        <f>_xlfn.XLOOKUP(B17,Table13[Decription],Table13[Unit])</f>
        <v>#N/A</v>
      </c>
      <c r="E17" s="158" t="e">
        <f>_xlfn.XLOOKUP(B17,Table13[Decription],Table13[Unit Cost])</f>
        <v>#N/A</v>
      </c>
      <c r="F17" s="152" t="e">
        <f>_xlfn.XLOOKUP(B17,Table13[Decription],Table13[February 2025 - Balance Qty])</f>
        <v>#N/A</v>
      </c>
      <c r="G17" s="152" t="e">
        <f>_xlfn.XLOOKUP(B17,Table13[Decription],Table13[February 2025 - Balance Qty])</f>
        <v>#N/A</v>
      </c>
      <c r="H17" s="153">
        <v>0</v>
      </c>
      <c r="I17" s="153">
        <v>0</v>
      </c>
      <c r="J17" s="156"/>
      <c r="L17" s="143"/>
      <c r="M17" s="139"/>
      <c r="N17" s="148"/>
      <c r="O17" s="139"/>
      <c r="P17" s="139"/>
      <c r="Q17" s="139"/>
      <c r="R17" s="139"/>
      <c r="S17" s="139"/>
      <c r="T17" s="139"/>
      <c r="U17" s="139"/>
      <c r="V17" s="139"/>
    </row>
    <row r="18" spans="1:22" s="118" customFormat="1">
      <c r="A18" s="160">
        <f t="shared" si="0"/>
        <v>0</v>
      </c>
      <c r="B18" s="149">
        <f t="shared" si="0"/>
        <v>0</v>
      </c>
      <c r="C18" s="155"/>
      <c r="D18" s="151" t="e">
        <f>_xlfn.XLOOKUP(B18,Table13[Decription],Table13[Unit])</f>
        <v>#N/A</v>
      </c>
      <c r="E18" s="158" t="e">
        <f>_xlfn.XLOOKUP(B18,Table13[Decription],Table13[Unit Cost])</f>
        <v>#N/A</v>
      </c>
      <c r="F18" s="152" t="e">
        <f>_xlfn.XLOOKUP(B18,Table13[Decription],Table13[February 2025 - Balance Qty])</f>
        <v>#N/A</v>
      </c>
      <c r="G18" s="152" t="e">
        <f>_xlfn.XLOOKUP(B18,Table13[Decription],Table13[February 2025 - Balance Qty])</f>
        <v>#N/A</v>
      </c>
      <c r="H18" s="153">
        <v>0</v>
      </c>
      <c r="I18" s="153">
        <v>0</v>
      </c>
      <c r="J18" s="156"/>
      <c r="L18" s="143"/>
      <c r="M18" s="139"/>
      <c r="N18" s="148"/>
      <c r="O18" s="139"/>
      <c r="P18" s="139"/>
      <c r="Q18" s="139"/>
      <c r="R18" s="139"/>
      <c r="S18" s="139"/>
      <c r="T18" s="139"/>
      <c r="U18" s="139"/>
      <c r="V18" s="139"/>
    </row>
    <row r="19" spans="1:22" s="118" customFormat="1">
      <c r="A19" s="160">
        <f t="shared" si="0"/>
        <v>0</v>
      </c>
      <c r="B19" s="149">
        <f t="shared" si="0"/>
        <v>0</v>
      </c>
      <c r="C19" s="155"/>
      <c r="D19" s="151" t="e">
        <f>_xlfn.XLOOKUP(B19,Table13[Decription],Table13[Unit])</f>
        <v>#N/A</v>
      </c>
      <c r="E19" s="158" t="e">
        <f>_xlfn.XLOOKUP(B19,Table13[Decription],Table13[Unit Cost])</f>
        <v>#N/A</v>
      </c>
      <c r="F19" s="152" t="e">
        <f>_xlfn.XLOOKUP(B19,Table13[Decription],Table13[February 2025 - Balance Qty])</f>
        <v>#N/A</v>
      </c>
      <c r="G19" s="152" t="e">
        <f>_xlfn.XLOOKUP(B19,Table13[Decription],Table13[February 2025 - Balance Qty])</f>
        <v>#N/A</v>
      </c>
      <c r="H19" s="153">
        <v>0</v>
      </c>
      <c r="I19" s="153">
        <v>0</v>
      </c>
      <c r="J19" s="156"/>
      <c r="L19" s="143"/>
      <c r="M19" s="139"/>
      <c r="N19" s="148"/>
      <c r="O19" s="139"/>
      <c r="P19" s="139"/>
      <c r="Q19" s="139"/>
      <c r="R19" s="139"/>
      <c r="S19" s="139"/>
      <c r="T19" s="139"/>
      <c r="U19" s="139"/>
      <c r="V19" s="139"/>
    </row>
    <row r="20" spans="1:22" s="118" customFormat="1">
      <c r="A20" s="160">
        <f t="shared" si="0"/>
        <v>0</v>
      </c>
      <c r="B20" s="149">
        <f t="shared" si="0"/>
        <v>0</v>
      </c>
      <c r="C20" s="155"/>
      <c r="D20" s="151" t="e">
        <f>_xlfn.XLOOKUP(B20,Table13[Decription],Table13[Unit])</f>
        <v>#N/A</v>
      </c>
      <c r="E20" s="158" t="e">
        <f>_xlfn.XLOOKUP(B20,Table13[Decription],Table13[Unit Cost])</f>
        <v>#N/A</v>
      </c>
      <c r="F20" s="152" t="e">
        <f>_xlfn.XLOOKUP(B20,Table13[Decription],Table13[February 2025 - Balance Qty])</f>
        <v>#N/A</v>
      </c>
      <c r="G20" s="152" t="e">
        <f>_xlfn.XLOOKUP(B20,Table13[Decription],Table13[February 2025 - Balance Qty])</f>
        <v>#N/A</v>
      </c>
      <c r="H20" s="153">
        <v>0</v>
      </c>
      <c r="I20" s="153">
        <v>0</v>
      </c>
      <c r="J20" s="156"/>
      <c r="L20" s="143"/>
      <c r="M20" s="139"/>
      <c r="N20" s="148"/>
      <c r="O20" s="139"/>
      <c r="P20" s="139"/>
      <c r="Q20" s="139"/>
      <c r="R20" s="139"/>
      <c r="S20" s="139"/>
      <c r="T20" s="139"/>
      <c r="U20" s="139"/>
      <c r="V20" s="139"/>
    </row>
    <row r="21" spans="1:22" s="118" customFormat="1">
      <c r="A21" s="160">
        <f t="shared" si="0"/>
        <v>0</v>
      </c>
      <c r="B21" s="149">
        <f t="shared" si="0"/>
        <v>0</v>
      </c>
      <c r="C21" s="155"/>
      <c r="D21" s="151" t="e">
        <f>_xlfn.XLOOKUP(B21,Table13[Decription],Table13[Unit])</f>
        <v>#N/A</v>
      </c>
      <c r="E21" s="158" t="e">
        <f>_xlfn.XLOOKUP(B21,Table13[Decription],Table13[Unit Cost])</f>
        <v>#N/A</v>
      </c>
      <c r="F21" s="152" t="e">
        <f>_xlfn.XLOOKUP(B21,Table13[Decription],Table13[February 2025 - Balance Qty])</f>
        <v>#N/A</v>
      </c>
      <c r="G21" s="152" t="e">
        <f>_xlfn.XLOOKUP(B21,Table13[Decription],Table13[February 2025 - Balance Qty])</f>
        <v>#N/A</v>
      </c>
      <c r="H21" s="153">
        <v>0</v>
      </c>
      <c r="I21" s="153">
        <v>0</v>
      </c>
      <c r="J21" s="156"/>
      <c r="L21" s="143"/>
      <c r="M21" s="139"/>
      <c r="N21" s="148"/>
      <c r="O21" s="139"/>
      <c r="P21" s="139"/>
      <c r="Q21" s="139"/>
      <c r="R21" s="139"/>
      <c r="S21" s="139"/>
      <c r="T21" s="139"/>
      <c r="U21" s="139"/>
      <c r="V21" s="139"/>
    </row>
    <row r="22" spans="1:22" s="118" customFormat="1">
      <c r="A22" s="160">
        <f t="shared" si="0"/>
        <v>0</v>
      </c>
      <c r="B22" s="149">
        <f t="shared" si="0"/>
        <v>0</v>
      </c>
      <c r="C22" s="155"/>
      <c r="D22" s="151" t="e">
        <f>_xlfn.XLOOKUP(B22,Table13[Decription],Table13[Unit])</f>
        <v>#N/A</v>
      </c>
      <c r="E22" s="158" t="e">
        <f>_xlfn.XLOOKUP(B22,Table13[Decription],Table13[Unit Cost])</f>
        <v>#N/A</v>
      </c>
      <c r="F22" s="152" t="e">
        <f>_xlfn.XLOOKUP(B22,Table13[Decription],Table13[February 2025 - Balance Qty])</f>
        <v>#N/A</v>
      </c>
      <c r="G22" s="152" t="e">
        <f>_xlfn.XLOOKUP(B22,Table13[Decription],Table13[February 2025 - Balance Qty])</f>
        <v>#N/A</v>
      </c>
      <c r="H22" s="153">
        <v>0</v>
      </c>
      <c r="I22" s="153">
        <v>0</v>
      </c>
      <c r="J22" s="156"/>
      <c r="L22" s="143"/>
      <c r="M22" s="139"/>
      <c r="N22" s="148"/>
      <c r="O22" s="139"/>
      <c r="P22" s="139"/>
      <c r="Q22" s="139"/>
      <c r="R22" s="139"/>
      <c r="S22" s="139"/>
      <c r="T22" s="139"/>
      <c r="U22" s="139"/>
      <c r="V22" s="139"/>
    </row>
    <row r="23" spans="1:22" s="118" customFormat="1">
      <c r="A23" s="160">
        <f t="shared" si="0"/>
        <v>0</v>
      </c>
      <c r="B23" s="149">
        <f t="shared" si="0"/>
        <v>0</v>
      </c>
      <c r="C23" s="155"/>
      <c r="D23" s="151" t="e">
        <f>_xlfn.XLOOKUP(B23,Table13[Decription],Table13[Unit])</f>
        <v>#N/A</v>
      </c>
      <c r="E23" s="158" t="e">
        <f>_xlfn.XLOOKUP(B23,Table13[Decription],Table13[Unit Cost])</f>
        <v>#N/A</v>
      </c>
      <c r="F23" s="152" t="e">
        <f>_xlfn.XLOOKUP(B23,Table13[Decription],Table13[February 2025 - Balance Qty])</f>
        <v>#N/A</v>
      </c>
      <c r="G23" s="152" t="e">
        <f>_xlfn.XLOOKUP(B23,Table13[Decription],Table13[February 2025 - Balance Qty])</f>
        <v>#N/A</v>
      </c>
      <c r="H23" s="153">
        <v>0</v>
      </c>
      <c r="I23" s="153">
        <v>0</v>
      </c>
      <c r="J23" s="156"/>
      <c r="L23" s="143"/>
      <c r="M23" s="139"/>
      <c r="N23" s="148"/>
      <c r="O23" s="139"/>
      <c r="P23" s="139"/>
      <c r="Q23" s="139"/>
      <c r="R23" s="139"/>
      <c r="S23" s="139"/>
      <c r="T23" s="139"/>
      <c r="U23" s="139"/>
      <c r="V23" s="139"/>
    </row>
    <row r="24" spans="1:22" s="118" customFormat="1" hidden="1">
      <c r="A24" s="160">
        <f t="shared" si="0"/>
        <v>0</v>
      </c>
      <c r="B24" s="149">
        <f t="shared" si="0"/>
        <v>0</v>
      </c>
      <c r="C24" s="155"/>
      <c r="D24" s="151" t="e">
        <f>_xlfn.XLOOKUP(B24,Table13[Decription],Table13[Unit])</f>
        <v>#N/A</v>
      </c>
      <c r="E24" s="158" t="e">
        <f>_xlfn.XLOOKUP(B24,Table13[Decription],Table13[Unit Cost])</f>
        <v>#N/A</v>
      </c>
      <c r="F24" s="152" t="e">
        <f>_xlfn.XLOOKUP(B24,Table13[Decription],Table13[February 2025 - Balance Qty])</f>
        <v>#N/A</v>
      </c>
      <c r="G24" s="152" t="e">
        <f>_xlfn.XLOOKUP(B24,Table13[Decription],Table13[February 2025 - Balance Qty])</f>
        <v>#N/A</v>
      </c>
      <c r="H24" s="153">
        <v>0</v>
      </c>
      <c r="I24" s="153">
        <v>0</v>
      </c>
      <c r="J24" s="156"/>
      <c r="L24" s="143"/>
      <c r="M24" s="139"/>
      <c r="N24" s="148"/>
      <c r="O24" s="139"/>
      <c r="P24" s="139"/>
      <c r="Q24" s="139"/>
      <c r="R24" s="139"/>
      <c r="S24" s="139"/>
      <c r="T24" s="139"/>
      <c r="U24" s="139"/>
      <c r="V24" s="139"/>
    </row>
    <row r="25" spans="1:22" s="118" customFormat="1">
      <c r="A25" s="160">
        <f t="shared" si="0"/>
        <v>0</v>
      </c>
      <c r="B25" s="149">
        <f t="shared" si="0"/>
        <v>0</v>
      </c>
      <c r="C25" s="155"/>
      <c r="D25" s="151" t="e">
        <f>_xlfn.XLOOKUP(B25,Table13[Decription],Table13[Unit])</f>
        <v>#N/A</v>
      </c>
      <c r="E25" s="158" t="e">
        <f>_xlfn.XLOOKUP(B25,Table13[Decription],Table13[Unit Cost])</f>
        <v>#N/A</v>
      </c>
      <c r="F25" s="152" t="e">
        <f>_xlfn.XLOOKUP(B25,Table13[Decription],Table13[February 2025 - Balance Qty])</f>
        <v>#N/A</v>
      </c>
      <c r="G25" s="152" t="e">
        <f>_xlfn.XLOOKUP(B25,Table13[Decription],Table13[February 2025 - Balance Qty])</f>
        <v>#N/A</v>
      </c>
      <c r="H25" s="153">
        <v>0</v>
      </c>
      <c r="I25" s="153">
        <v>0</v>
      </c>
      <c r="J25" s="156"/>
      <c r="L25" s="143"/>
      <c r="M25" s="139"/>
      <c r="N25" s="148"/>
      <c r="O25" s="139"/>
      <c r="P25" s="139"/>
      <c r="Q25" s="139"/>
      <c r="R25" s="139"/>
      <c r="S25" s="139"/>
      <c r="T25" s="139"/>
      <c r="U25" s="139"/>
      <c r="V25" s="139"/>
    </row>
    <row r="26" spans="1:22" s="118" customFormat="1" hidden="1">
      <c r="A26" s="160">
        <f t="shared" si="0"/>
        <v>0</v>
      </c>
      <c r="B26" s="149">
        <f t="shared" si="0"/>
        <v>0</v>
      </c>
      <c r="C26" s="155"/>
      <c r="D26" s="151" t="e">
        <f>_xlfn.XLOOKUP(B26,Table13[Decription],Table13[Unit])</f>
        <v>#N/A</v>
      </c>
      <c r="E26" s="158" t="e">
        <f>_xlfn.XLOOKUP(B26,Table13[Decription],Table13[Unit Cost])</f>
        <v>#N/A</v>
      </c>
      <c r="F26" s="152" t="e">
        <f>_xlfn.XLOOKUP(B26,Table13[Decription],Table13[February 2025 - Balance Qty])</f>
        <v>#N/A</v>
      </c>
      <c r="G26" s="152" t="e">
        <f>_xlfn.XLOOKUP(B26,Table13[Decription],Table13[February 2025 - Balance Qty])</f>
        <v>#N/A</v>
      </c>
      <c r="H26" s="153">
        <v>0</v>
      </c>
      <c r="I26" s="153">
        <v>0</v>
      </c>
      <c r="J26" s="156"/>
      <c r="L26" s="143"/>
      <c r="M26" s="139"/>
      <c r="N26" s="148"/>
      <c r="O26" s="139"/>
      <c r="P26" s="139"/>
      <c r="Q26" s="139"/>
      <c r="R26" s="139"/>
      <c r="S26" s="139"/>
      <c r="T26" s="139"/>
      <c r="U26" s="139"/>
      <c r="V26" s="139"/>
    </row>
    <row r="27" spans="1:22" s="118" customFormat="1">
      <c r="A27" s="160">
        <f t="shared" si="0"/>
        <v>0</v>
      </c>
      <c r="B27" s="149">
        <f t="shared" si="0"/>
        <v>0</v>
      </c>
      <c r="C27" s="155"/>
      <c r="D27" s="151" t="e">
        <f>_xlfn.XLOOKUP(B27,Table13[Decription],Table13[Unit])</f>
        <v>#N/A</v>
      </c>
      <c r="E27" s="158" t="e">
        <f>_xlfn.XLOOKUP(B27,Table13[Decription],Table13[Unit Cost])</f>
        <v>#N/A</v>
      </c>
      <c r="F27" s="152" t="e">
        <f>_xlfn.XLOOKUP(B27,Table13[Decription],Table13[February 2025 - Balance Qty])</f>
        <v>#N/A</v>
      </c>
      <c r="G27" s="152" t="e">
        <f>_xlfn.XLOOKUP(B27,Table13[Decription],Table13[February 2025 - Balance Qty])</f>
        <v>#N/A</v>
      </c>
      <c r="H27" s="153">
        <v>0</v>
      </c>
      <c r="I27" s="153">
        <v>0</v>
      </c>
      <c r="J27" s="156"/>
      <c r="L27" s="143"/>
      <c r="M27" s="139"/>
      <c r="N27" s="148"/>
      <c r="O27" s="139"/>
      <c r="P27" s="139"/>
      <c r="Q27" s="139"/>
      <c r="R27" s="139"/>
      <c r="S27" s="139"/>
      <c r="T27" s="139"/>
      <c r="U27" s="139"/>
      <c r="V27" s="139"/>
    </row>
    <row r="28" spans="1:22" s="118" customFormat="1">
      <c r="A28" s="160">
        <f t="shared" si="0"/>
        <v>0</v>
      </c>
      <c r="B28" s="149">
        <f t="shared" si="0"/>
        <v>0</v>
      </c>
      <c r="C28" s="155"/>
      <c r="D28" s="151" t="e">
        <f>_xlfn.XLOOKUP(B28,Table13[Decription],Table13[Unit])</f>
        <v>#N/A</v>
      </c>
      <c r="E28" s="158" t="e">
        <f>_xlfn.XLOOKUP(B28,Table13[Decription],Table13[Unit Cost])</f>
        <v>#N/A</v>
      </c>
      <c r="F28" s="152" t="e">
        <f>_xlfn.XLOOKUP(B28,Table13[Decription],Table13[February 2025 - Balance Qty])</f>
        <v>#N/A</v>
      </c>
      <c r="G28" s="152" t="e">
        <f>_xlfn.XLOOKUP(B28,Table13[Decription],Table13[February 2025 - Balance Qty])</f>
        <v>#N/A</v>
      </c>
      <c r="H28" s="153">
        <v>0</v>
      </c>
      <c r="I28" s="153">
        <v>0</v>
      </c>
      <c r="J28" s="156"/>
      <c r="L28" s="143"/>
      <c r="M28" s="139"/>
      <c r="N28" s="148"/>
      <c r="O28" s="139"/>
      <c r="P28" s="139"/>
      <c r="Q28" s="139"/>
      <c r="R28" s="139"/>
      <c r="S28" s="139"/>
      <c r="T28" s="139"/>
      <c r="U28" s="139"/>
      <c r="V28" s="139"/>
    </row>
    <row r="29" spans="1:22" s="118" customFormat="1" hidden="1">
      <c r="A29" s="160">
        <f t="shared" si="0"/>
        <v>0</v>
      </c>
      <c r="B29" s="149">
        <f t="shared" si="0"/>
        <v>0</v>
      </c>
      <c r="C29" s="155"/>
      <c r="D29" s="151" t="e">
        <f>_xlfn.XLOOKUP(B29,Table13[Decription],Table13[Unit])</f>
        <v>#N/A</v>
      </c>
      <c r="E29" s="158" t="e">
        <f>_xlfn.XLOOKUP(B29,Table13[Decription],Table13[Unit Cost])</f>
        <v>#N/A</v>
      </c>
      <c r="F29" s="152" t="e">
        <f>_xlfn.XLOOKUP(B29,Table13[Decription],Table13[February 2025 - Balance Qty])</f>
        <v>#N/A</v>
      </c>
      <c r="G29" s="152" t="e">
        <f>_xlfn.XLOOKUP(B29,Table13[Decription],Table13[February 2025 - Balance Qty])</f>
        <v>#N/A</v>
      </c>
      <c r="H29" s="153">
        <v>0</v>
      </c>
      <c r="I29" s="153">
        <v>0</v>
      </c>
      <c r="J29" s="156"/>
      <c r="L29" s="143"/>
      <c r="M29" s="139"/>
      <c r="N29" s="148"/>
      <c r="O29" s="139"/>
      <c r="P29" s="139"/>
      <c r="Q29" s="139"/>
      <c r="R29" s="139"/>
      <c r="S29" s="139"/>
      <c r="T29" s="139"/>
      <c r="U29" s="139"/>
      <c r="V29" s="139"/>
    </row>
    <row r="30" spans="1:22" s="118" customFormat="1" hidden="1">
      <c r="A30" s="160">
        <f t="shared" si="0"/>
        <v>0</v>
      </c>
      <c r="B30" s="149">
        <f t="shared" si="0"/>
        <v>0</v>
      </c>
      <c r="C30" s="155"/>
      <c r="D30" s="151" t="e">
        <f>_xlfn.XLOOKUP(B30,Table13[Decription],Table13[Unit])</f>
        <v>#N/A</v>
      </c>
      <c r="E30" s="158" t="e">
        <f>_xlfn.XLOOKUP(B30,Table13[Decription],Table13[Unit Cost])</f>
        <v>#N/A</v>
      </c>
      <c r="F30" s="152" t="e">
        <f>_xlfn.XLOOKUP(B30,Table13[Decription],Table13[February 2025 - Balance Qty])</f>
        <v>#N/A</v>
      </c>
      <c r="G30" s="152" t="e">
        <f>_xlfn.XLOOKUP(B30,Table13[Decription],Table13[February 2025 - Balance Qty])</f>
        <v>#N/A</v>
      </c>
      <c r="H30" s="153">
        <v>0</v>
      </c>
      <c r="I30" s="153">
        <v>0</v>
      </c>
      <c r="J30" s="156"/>
      <c r="L30" s="143"/>
      <c r="M30" s="139"/>
      <c r="N30" s="148"/>
      <c r="O30" s="139"/>
      <c r="P30" s="139"/>
      <c r="Q30" s="139"/>
      <c r="R30" s="139"/>
      <c r="S30" s="139"/>
      <c r="T30" s="139"/>
      <c r="U30" s="139"/>
      <c r="V30" s="139"/>
    </row>
    <row r="31" spans="1:22" s="118" customFormat="1">
      <c r="A31" s="160">
        <f t="shared" si="0"/>
        <v>0</v>
      </c>
      <c r="B31" s="149">
        <f t="shared" si="0"/>
        <v>0</v>
      </c>
      <c r="C31" s="155"/>
      <c r="D31" s="151" t="e">
        <f>_xlfn.XLOOKUP(B31,Table13[Decription],Table13[Unit])</f>
        <v>#N/A</v>
      </c>
      <c r="E31" s="158" t="e">
        <f>_xlfn.XLOOKUP(B31,Table13[Decription],Table13[Unit Cost])</f>
        <v>#N/A</v>
      </c>
      <c r="F31" s="152" t="e">
        <f>_xlfn.XLOOKUP(B31,Table13[Decription],Table13[February 2025 - Balance Qty])</f>
        <v>#N/A</v>
      </c>
      <c r="G31" s="152" t="e">
        <f>_xlfn.XLOOKUP(B31,Table13[Decription],Table13[February 2025 - Balance Qty])</f>
        <v>#N/A</v>
      </c>
      <c r="H31" s="153">
        <v>0</v>
      </c>
      <c r="I31" s="153">
        <v>0</v>
      </c>
      <c r="J31" s="156"/>
      <c r="L31" s="143"/>
      <c r="M31" s="139"/>
      <c r="N31" s="148"/>
      <c r="O31" s="139"/>
      <c r="P31" s="139"/>
      <c r="Q31" s="139"/>
      <c r="R31" s="139"/>
      <c r="S31" s="139"/>
      <c r="T31" s="139"/>
      <c r="U31" s="139"/>
      <c r="V31" s="139"/>
    </row>
    <row r="32" spans="1:22" s="118" customFormat="1">
      <c r="A32" s="160">
        <f t="shared" si="0"/>
        <v>0</v>
      </c>
      <c r="B32" s="149">
        <f t="shared" si="0"/>
        <v>0</v>
      </c>
      <c r="C32" s="155"/>
      <c r="D32" s="151" t="e">
        <f>_xlfn.XLOOKUP(B32,Table13[Decription],Table13[Unit])</f>
        <v>#N/A</v>
      </c>
      <c r="E32" s="158" t="e">
        <f>_xlfn.XLOOKUP(B32,Table13[Decription],Table13[Unit Cost])</f>
        <v>#N/A</v>
      </c>
      <c r="F32" s="152" t="e">
        <f>_xlfn.XLOOKUP(B32,Table13[Decription],Table13[February 2025 - Balance Qty])</f>
        <v>#N/A</v>
      </c>
      <c r="G32" s="152" t="e">
        <f>_xlfn.XLOOKUP(B32,Table13[Decription],Table13[February 2025 - Balance Qty])</f>
        <v>#N/A</v>
      </c>
      <c r="H32" s="153">
        <v>0</v>
      </c>
      <c r="I32" s="153">
        <v>0</v>
      </c>
      <c r="J32" s="156"/>
      <c r="L32" s="143"/>
      <c r="M32" s="139"/>
      <c r="N32" s="148"/>
      <c r="O32" s="139"/>
      <c r="P32" s="139"/>
      <c r="Q32" s="139"/>
      <c r="R32" s="139"/>
      <c r="S32" s="139"/>
      <c r="T32" s="139"/>
      <c r="U32" s="139"/>
      <c r="V32" s="139"/>
    </row>
    <row r="33" spans="1:22" s="118" customFormat="1" hidden="1">
      <c r="A33" s="160">
        <f t="shared" si="0"/>
        <v>0</v>
      </c>
      <c r="B33" s="149">
        <f t="shared" si="0"/>
        <v>0</v>
      </c>
      <c r="C33" s="155"/>
      <c r="D33" s="151" t="e">
        <f>_xlfn.XLOOKUP(B33,Table13[Decription],Table13[Unit])</f>
        <v>#N/A</v>
      </c>
      <c r="E33" s="158" t="e">
        <f>_xlfn.XLOOKUP(B33,Table13[Decription],Table13[Unit Cost])</f>
        <v>#N/A</v>
      </c>
      <c r="F33" s="152" t="e">
        <f>_xlfn.XLOOKUP(B33,Table13[Decription],Table13[February 2025 - Balance Qty])</f>
        <v>#N/A</v>
      </c>
      <c r="G33" s="152" t="e">
        <f>_xlfn.XLOOKUP(B33,Table13[Decription],Table13[February 2025 - Balance Qty])</f>
        <v>#N/A</v>
      </c>
      <c r="H33" s="153">
        <v>0</v>
      </c>
      <c r="I33" s="153">
        <v>0</v>
      </c>
      <c r="J33" s="156"/>
      <c r="L33" s="143"/>
      <c r="M33" s="139"/>
      <c r="N33" s="148"/>
      <c r="O33" s="139"/>
      <c r="P33" s="139"/>
      <c r="Q33" s="139"/>
      <c r="R33" s="139"/>
      <c r="S33" s="139"/>
      <c r="T33" s="139"/>
      <c r="U33" s="139"/>
      <c r="V33" s="139"/>
    </row>
    <row r="34" spans="1:22" s="118" customFormat="1">
      <c r="A34" s="160">
        <f t="shared" si="0"/>
        <v>0</v>
      </c>
      <c r="B34" s="149">
        <f t="shared" si="0"/>
        <v>0</v>
      </c>
      <c r="C34" s="155"/>
      <c r="D34" s="151" t="e">
        <f>_xlfn.XLOOKUP(B34,Table13[Decription],Table13[Unit])</f>
        <v>#N/A</v>
      </c>
      <c r="E34" s="158" t="e">
        <f>_xlfn.XLOOKUP(B34,Table13[Decription],Table13[Unit Cost])</f>
        <v>#N/A</v>
      </c>
      <c r="F34" s="152" t="e">
        <f>_xlfn.XLOOKUP(B34,Table13[Decription],Table13[February 2025 - Balance Qty])</f>
        <v>#N/A</v>
      </c>
      <c r="G34" s="152" t="e">
        <f>_xlfn.XLOOKUP(B34,Table13[Decription],Table13[February 2025 - Balance Qty])</f>
        <v>#N/A</v>
      </c>
      <c r="H34" s="153">
        <v>0</v>
      </c>
      <c r="I34" s="153">
        <v>0</v>
      </c>
      <c r="J34" s="156"/>
      <c r="L34" s="143"/>
      <c r="M34" s="139"/>
      <c r="N34" s="148"/>
      <c r="O34" s="139"/>
      <c r="P34" s="139"/>
      <c r="Q34" s="139"/>
      <c r="R34" s="139"/>
      <c r="S34" s="139"/>
      <c r="T34" s="139"/>
      <c r="U34" s="139"/>
      <c r="V34" s="139"/>
    </row>
    <row r="35" spans="1:22" s="118" customFormat="1">
      <c r="A35" s="160">
        <f t="shared" si="0"/>
        <v>0</v>
      </c>
      <c r="B35" s="149">
        <f t="shared" si="0"/>
        <v>0</v>
      </c>
      <c r="C35" s="155"/>
      <c r="D35" s="151" t="e">
        <f>_xlfn.XLOOKUP(B35,Table13[Decription],Table13[Unit])</f>
        <v>#N/A</v>
      </c>
      <c r="E35" s="158" t="e">
        <f>_xlfn.XLOOKUP(B35,Table13[Decription],Table13[Unit Cost])</f>
        <v>#N/A</v>
      </c>
      <c r="F35" s="152" t="e">
        <f>_xlfn.XLOOKUP(B35,Table13[Decription],Table13[February 2025 - Balance Qty])</f>
        <v>#N/A</v>
      </c>
      <c r="G35" s="152" t="e">
        <f>_xlfn.XLOOKUP(B35,Table13[Decription],Table13[February 2025 - Balance Qty])</f>
        <v>#N/A</v>
      </c>
      <c r="H35" s="153">
        <v>0</v>
      </c>
      <c r="I35" s="153">
        <v>0</v>
      </c>
      <c r="J35" s="156"/>
      <c r="L35" s="143"/>
      <c r="M35" s="139"/>
      <c r="N35" s="148"/>
      <c r="O35" s="139"/>
      <c r="P35" s="139"/>
      <c r="Q35" s="139"/>
      <c r="R35" s="139"/>
      <c r="S35" s="139"/>
      <c r="T35" s="139"/>
      <c r="U35" s="139"/>
      <c r="V35" s="139"/>
    </row>
    <row r="36" spans="1:22" s="118" customFormat="1">
      <c r="A36" s="160">
        <f t="shared" si="0"/>
        <v>0</v>
      </c>
      <c r="B36" s="149">
        <f t="shared" si="0"/>
        <v>0</v>
      </c>
      <c r="C36" s="155"/>
      <c r="D36" s="151" t="e">
        <f>_xlfn.XLOOKUP(B36,Table13[Decription],Table13[Unit])</f>
        <v>#N/A</v>
      </c>
      <c r="E36" s="158" t="e">
        <f>_xlfn.XLOOKUP(B36,Table13[Decription],Table13[Unit Cost])</f>
        <v>#N/A</v>
      </c>
      <c r="F36" s="152" t="e">
        <f>_xlfn.XLOOKUP(B36,Table13[Decription],Table13[February 2025 - Balance Qty])</f>
        <v>#N/A</v>
      </c>
      <c r="G36" s="152" t="e">
        <f>_xlfn.XLOOKUP(B36,Table13[Decription],Table13[February 2025 - Balance Qty])</f>
        <v>#N/A</v>
      </c>
      <c r="H36" s="153">
        <v>0</v>
      </c>
      <c r="I36" s="153">
        <v>0</v>
      </c>
      <c r="J36" s="156"/>
      <c r="L36" s="143"/>
      <c r="M36" s="139"/>
      <c r="N36" s="148"/>
      <c r="O36" s="139"/>
      <c r="P36" s="139"/>
      <c r="Q36" s="139"/>
      <c r="R36" s="139"/>
      <c r="S36" s="139"/>
      <c r="T36" s="139"/>
      <c r="U36" s="139"/>
      <c r="V36" s="139"/>
    </row>
    <row r="37" spans="1:22" s="118" customFormat="1">
      <c r="A37" s="160">
        <f t="shared" si="0"/>
        <v>0</v>
      </c>
      <c r="B37" s="149">
        <f t="shared" si="0"/>
        <v>0</v>
      </c>
      <c r="C37" s="155"/>
      <c r="D37" s="151" t="e">
        <f>_xlfn.XLOOKUP(B37,Table13[Decription],Table13[Unit])</f>
        <v>#N/A</v>
      </c>
      <c r="E37" s="158" t="e">
        <f>_xlfn.XLOOKUP(B37,Table13[Decription],Table13[Unit Cost])</f>
        <v>#N/A</v>
      </c>
      <c r="F37" s="152" t="e">
        <f>_xlfn.XLOOKUP(B37,Table13[Decription],Table13[February 2025 - Balance Qty])</f>
        <v>#N/A</v>
      </c>
      <c r="G37" s="152" t="e">
        <f>_xlfn.XLOOKUP(B37,Table13[Decription],Table13[February 2025 - Balance Qty])</f>
        <v>#N/A</v>
      </c>
      <c r="H37" s="153">
        <v>0</v>
      </c>
      <c r="I37" s="153">
        <v>0</v>
      </c>
      <c r="J37" s="156"/>
      <c r="L37" s="143"/>
      <c r="M37" s="139"/>
      <c r="N37" s="148"/>
      <c r="O37" s="139"/>
      <c r="P37" s="139"/>
      <c r="Q37" s="139"/>
      <c r="R37" s="139"/>
      <c r="S37" s="139"/>
      <c r="T37" s="139"/>
      <c r="U37" s="139"/>
      <c r="V37" s="139"/>
    </row>
    <row r="38" spans="1:22" s="118" customFormat="1">
      <c r="A38" s="160">
        <f t="shared" si="0"/>
        <v>0</v>
      </c>
      <c r="B38" s="149">
        <f t="shared" si="0"/>
        <v>0</v>
      </c>
      <c r="C38" s="155"/>
      <c r="D38" s="151" t="e">
        <f>_xlfn.XLOOKUP(B38,Table13[Decription],Table13[Unit])</f>
        <v>#N/A</v>
      </c>
      <c r="E38" s="158" t="e">
        <f>_xlfn.XLOOKUP(B38,Table13[Decription],Table13[Unit Cost])</f>
        <v>#N/A</v>
      </c>
      <c r="F38" s="152" t="e">
        <f>_xlfn.XLOOKUP(B38,Table13[Decription],Table13[February 2025 - Balance Qty])</f>
        <v>#N/A</v>
      </c>
      <c r="G38" s="152" t="e">
        <f>_xlfn.XLOOKUP(B38,Table13[Decription],Table13[February 2025 - Balance Qty])</f>
        <v>#N/A</v>
      </c>
      <c r="H38" s="153">
        <v>0</v>
      </c>
      <c r="I38" s="153">
        <v>0</v>
      </c>
      <c r="J38" s="156"/>
      <c r="L38" s="143"/>
      <c r="M38" s="139"/>
      <c r="N38" s="148"/>
      <c r="O38" s="139"/>
      <c r="P38" s="139"/>
      <c r="Q38" s="139"/>
      <c r="R38" s="139"/>
      <c r="S38" s="139"/>
      <c r="T38" s="139"/>
      <c r="U38" s="139"/>
      <c r="V38" s="139"/>
    </row>
    <row r="39" spans="1:22" s="118" customFormat="1" hidden="1">
      <c r="A39" s="160">
        <f t="shared" si="0"/>
        <v>0</v>
      </c>
      <c r="B39" s="149">
        <f t="shared" si="0"/>
        <v>0</v>
      </c>
      <c r="C39" s="155"/>
      <c r="D39" s="151" t="e">
        <f>_xlfn.XLOOKUP(B39,Table13[Decription],Table13[Unit])</f>
        <v>#N/A</v>
      </c>
      <c r="E39" s="158" t="e">
        <f>_xlfn.XLOOKUP(B39,Table13[Decription],Table13[Unit Cost])</f>
        <v>#N/A</v>
      </c>
      <c r="F39" s="152" t="e">
        <f>_xlfn.XLOOKUP(B39,Table13[Decription],Table13[February 2025 - Balance Qty])</f>
        <v>#N/A</v>
      </c>
      <c r="G39" s="152" t="e">
        <f>_xlfn.XLOOKUP(B39,Table13[Decription],Table13[February 2025 - Balance Qty])</f>
        <v>#N/A</v>
      </c>
      <c r="H39" s="153">
        <v>0</v>
      </c>
      <c r="I39" s="153">
        <v>0</v>
      </c>
      <c r="J39" s="156"/>
      <c r="L39" s="143"/>
      <c r="M39" s="139"/>
      <c r="N39" s="148"/>
      <c r="O39" s="139"/>
      <c r="P39" s="139"/>
      <c r="Q39" s="139"/>
      <c r="R39" s="139"/>
      <c r="S39" s="139"/>
      <c r="T39" s="139"/>
      <c r="U39" s="139"/>
      <c r="V39" s="139"/>
    </row>
    <row r="40" spans="1:22" s="118" customFormat="1">
      <c r="A40" s="160">
        <f t="shared" si="0"/>
        <v>0</v>
      </c>
      <c r="B40" s="149">
        <f t="shared" si="0"/>
        <v>0</v>
      </c>
      <c r="C40" s="155"/>
      <c r="D40" s="151" t="e">
        <f>_xlfn.XLOOKUP(B40,Table13[Decription],Table13[Unit])</f>
        <v>#N/A</v>
      </c>
      <c r="E40" s="158" t="e">
        <f>_xlfn.XLOOKUP(B40,Table13[Decription],Table13[Unit Cost])</f>
        <v>#N/A</v>
      </c>
      <c r="F40" s="152" t="e">
        <f>_xlfn.XLOOKUP(B40,Table13[Decription],Table13[February 2025 - Balance Qty])</f>
        <v>#N/A</v>
      </c>
      <c r="G40" s="152" t="e">
        <f>_xlfn.XLOOKUP(B40,Table13[Decription],Table13[February 2025 - Balance Qty])</f>
        <v>#N/A</v>
      </c>
      <c r="H40" s="153">
        <v>0</v>
      </c>
      <c r="I40" s="153">
        <v>0</v>
      </c>
      <c r="J40" s="156"/>
      <c r="L40" s="143"/>
      <c r="M40" s="139"/>
      <c r="N40" s="148"/>
      <c r="O40" s="139"/>
      <c r="P40" s="139"/>
      <c r="Q40" s="139"/>
      <c r="R40" s="139"/>
      <c r="S40" s="139"/>
      <c r="T40" s="139"/>
      <c r="U40" s="139"/>
      <c r="V40" s="139"/>
    </row>
    <row r="41" spans="1:22" s="118" customFormat="1">
      <c r="A41" s="160">
        <f t="shared" si="0"/>
        <v>0</v>
      </c>
      <c r="B41" s="149">
        <f t="shared" si="0"/>
        <v>0</v>
      </c>
      <c r="C41" s="155"/>
      <c r="D41" s="151" t="e">
        <f>_xlfn.XLOOKUP(B41,Table13[Decription],Table13[Unit])</f>
        <v>#N/A</v>
      </c>
      <c r="E41" s="158" t="e">
        <f>_xlfn.XLOOKUP(B41,Table13[Decription],Table13[Unit Cost])</f>
        <v>#N/A</v>
      </c>
      <c r="F41" s="152" t="e">
        <f>_xlfn.XLOOKUP(B41,Table13[Decription],Table13[February 2025 - Balance Qty])</f>
        <v>#N/A</v>
      </c>
      <c r="G41" s="152" t="e">
        <f>_xlfn.XLOOKUP(B41,Table13[Decription],Table13[February 2025 - Balance Qty])</f>
        <v>#N/A</v>
      </c>
      <c r="H41" s="153">
        <v>0</v>
      </c>
      <c r="I41" s="153">
        <v>0</v>
      </c>
      <c r="J41" s="156"/>
      <c r="L41" s="143"/>
      <c r="M41" s="139"/>
      <c r="N41" s="148"/>
      <c r="O41" s="139"/>
      <c r="P41" s="139"/>
      <c r="Q41" s="139"/>
      <c r="R41" s="139"/>
      <c r="S41" s="139"/>
      <c r="T41" s="139"/>
      <c r="U41" s="139"/>
      <c r="V41" s="139"/>
    </row>
    <row r="42" spans="1:22" s="118" customFormat="1">
      <c r="A42" s="160">
        <f t="shared" si="0"/>
        <v>0</v>
      </c>
      <c r="B42" s="149">
        <f t="shared" si="0"/>
        <v>0</v>
      </c>
      <c r="C42" s="155"/>
      <c r="D42" s="151" t="e">
        <f>_xlfn.XLOOKUP(B42,Table13[Decription],Table13[Unit])</f>
        <v>#N/A</v>
      </c>
      <c r="E42" s="158" t="e">
        <f>_xlfn.XLOOKUP(B42,Table13[Decription],Table13[Unit Cost])</f>
        <v>#N/A</v>
      </c>
      <c r="F42" s="152" t="e">
        <f>_xlfn.XLOOKUP(B42,Table13[Decription],Table13[February 2025 - Balance Qty])</f>
        <v>#N/A</v>
      </c>
      <c r="G42" s="152" t="e">
        <f>_xlfn.XLOOKUP(B42,Table13[Decription],Table13[February 2025 - Balance Qty])</f>
        <v>#N/A</v>
      </c>
      <c r="H42" s="153">
        <v>0</v>
      </c>
      <c r="I42" s="153">
        <v>0</v>
      </c>
      <c r="J42" s="156"/>
      <c r="L42" s="143"/>
      <c r="M42" s="139"/>
      <c r="N42" s="148"/>
      <c r="O42" s="139"/>
      <c r="P42" s="139"/>
      <c r="Q42" s="139"/>
      <c r="R42" s="139"/>
      <c r="S42" s="139"/>
      <c r="T42" s="139"/>
      <c r="U42" s="139"/>
      <c r="V42" s="139"/>
    </row>
    <row r="43" spans="1:22" s="118" customFormat="1">
      <c r="A43" s="160">
        <f t="shared" si="0"/>
        <v>0</v>
      </c>
      <c r="B43" s="149">
        <f t="shared" si="0"/>
        <v>0</v>
      </c>
      <c r="C43" s="155"/>
      <c r="D43" s="151" t="e">
        <f>_xlfn.XLOOKUP(B43,Table13[Decription],Table13[Unit])</f>
        <v>#N/A</v>
      </c>
      <c r="E43" s="158" t="e">
        <f>_xlfn.XLOOKUP(B43,Table13[Decription],Table13[Unit Cost])</f>
        <v>#N/A</v>
      </c>
      <c r="F43" s="152" t="e">
        <f>_xlfn.XLOOKUP(B43,Table13[Decription],Table13[February 2025 - Balance Qty])</f>
        <v>#N/A</v>
      </c>
      <c r="G43" s="152" t="e">
        <f>_xlfn.XLOOKUP(B43,Table13[Decription],Table13[February 2025 - Balance Qty])</f>
        <v>#N/A</v>
      </c>
      <c r="H43" s="153">
        <v>0</v>
      </c>
      <c r="I43" s="153">
        <v>0</v>
      </c>
      <c r="J43" s="156"/>
      <c r="L43" s="143"/>
      <c r="M43" s="139"/>
      <c r="N43" s="148"/>
      <c r="O43" s="139"/>
      <c r="P43" s="139"/>
      <c r="Q43" s="139"/>
      <c r="R43" s="139"/>
      <c r="S43" s="139"/>
      <c r="T43" s="139"/>
      <c r="U43" s="139"/>
      <c r="V43" s="139"/>
    </row>
    <row r="44" spans="1:22" s="118" customFormat="1">
      <c r="A44" s="160">
        <f t="shared" si="0"/>
        <v>0</v>
      </c>
      <c r="B44" s="149">
        <f t="shared" si="0"/>
        <v>0</v>
      </c>
      <c r="C44" s="155"/>
      <c r="D44" s="151" t="e">
        <f>_xlfn.XLOOKUP(B44,Table13[Decription],Table13[Unit])</f>
        <v>#N/A</v>
      </c>
      <c r="E44" s="158" t="e">
        <f>_xlfn.XLOOKUP(B44,Table13[Decription],Table13[Unit Cost])</f>
        <v>#N/A</v>
      </c>
      <c r="F44" s="152" t="e">
        <f>_xlfn.XLOOKUP(B44,Table13[Decription],Table13[February 2025 - Balance Qty])</f>
        <v>#N/A</v>
      </c>
      <c r="G44" s="152" t="e">
        <f>_xlfn.XLOOKUP(B44,Table13[Decription],Table13[February 2025 - Balance Qty])</f>
        <v>#N/A</v>
      </c>
      <c r="H44" s="153">
        <v>0</v>
      </c>
      <c r="I44" s="153">
        <v>0</v>
      </c>
      <c r="J44" s="156"/>
      <c r="L44" s="143"/>
      <c r="M44" s="139"/>
      <c r="N44" s="148"/>
      <c r="O44" s="139"/>
      <c r="P44" s="139"/>
      <c r="Q44" s="139"/>
      <c r="R44" s="139"/>
      <c r="S44" s="139"/>
      <c r="T44" s="139"/>
      <c r="U44" s="139"/>
      <c r="V44" s="139"/>
    </row>
    <row r="45" spans="1:22" s="118" customFormat="1" hidden="1">
      <c r="A45" s="160">
        <f t="shared" si="0"/>
        <v>0</v>
      </c>
      <c r="B45" s="149">
        <f t="shared" si="0"/>
        <v>0</v>
      </c>
      <c r="C45" s="155"/>
      <c r="D45" s="151" t="e">
        <f>_xlfn.XLOOKUP(B45,Table13[Decription],Table13[Unit])</f>
        <v>#N/A</v>
      </c>
      <c r="E45" s="158" t="e">
        <f>_xlfn.XLOOKUP(B45,Table13[Decription],Table13[Unit Cost])</f>
        <v>#N/A</v>
      </c>
      <c r="F45" s="152" t="e">
        <f>_xlfn.XLOOKUP(B45,Table13[Decription],Table13[February 2025 - Balance Qty])</f>
        <v>#N/A</v>
      </c>
      <c r="G45" s="152" t="e">
        <f>_xlfn.XLOOKUP(B45,Table13[Decription],Table13[February 2025 - Balance Qty])</f>
        <v>#N/A</v>
      </c>
      <c r="H45" s="153">
        <v>0</v>
      </c>
      <c r="I45" s="153">
        <v>0</v>
      </c>
      <c r="J45" s="156"/>
      <c r="L45" s="143"/>
      <c r="M45" s="139"/>
      <c r="N45" s="148"/>
      <c r="O45" s="139"/>
      <c r="P45" s="139"/>
      <c r="Q45" s="139"/>
      <c r="R45" s="139"/>
      <c r="S45" s="139"/>
      <c r="T45" s="139"/>
      <c r="U45" s="139"/>
      <c r="V45" s="139"/>
    </row>
    <row r="46" spans="1:22" s="118" customFormat="1" hidden="1">
      <c r="A46" s="160">
        <f t="shared" si="0"/>
        <v>0</v>
      </c>
      <c r="B46" s="149">
        <f t="shared" si="0"/>
        <v>0</v>
      </c>
      <c r="C46" s="155"/>
      <c r="D46" s="151" t="e">
        <f>_xlfn.XLOOKUP(B46,Table13[Decription],Table13[Unit])</f>
        <v>#N/A</v>
      </c>
      <c r="E46" s="158" t="e">
        <f>_xlfn.XLOOKUP(B46,Table13[Decription],Table13[Unit Cost])</f>
        <v>#N/A</v>
      </c>
      <c r="F46" s="152" t="e">
        <f>_xlfn.XLOOKUP(B46,Table13[Decription],Table13[February 2025 - Balance Qty])</f>
        <v>#N/A</v>
      </c>
      <c r="G46" s="152" t="e">
        <f>_xlfn.XLOOKUP(B46,Table13[Decription],Table13[February 2025 - Balance Qty])</f>
        <v>#N/A</v>
      </c>
      <c r="H46" s="153">
        <v>0</v>
      </c>
      <c r="I46" s="153">
        <v>0</v>
      </c>
      <c r="J46" s="156"/>
      <c r="L46" s="143"/>
      <c r="M46" s="139"/>
      <c r="N46" s="148"/>
      <c r="O46" s="139"/>
      <c r="P46" s="139"/>
      <c r="Q46" s="139"/>
      <c r="R46" s="139"/>
      <c r="S46" s="139"/>
      <c r="T46" s="139"/>
      <c r="U46" s="139"/>
      <c r="V46" s="139"/>
    </row>
    <row r="47" spans="1:22" s="118" customFormat="1" hidden="1">
      <c r="A47" s="160">
        <f t="shared" si="0"/>
        <v>0</v>
      </c>
      <c r="B47" s="149">
        <f t="shared" si="0"/>
        <v>0</v>
      </c>
      <c r="C47" s="155"/>
      <c r="D47" s="151" t="e">
        <f>_xlfn.XLOOKUP(B47,Table13[Decription],Table13[Unit])</f>
        <v>#N/A</v>
      </c>
      <c r="E47" s="158" t="e">
        <f>_xlfn.XLOOKUP(B47,Table13[Decription],Table13[Unit Cost])</f>
        <v>#N/A</v>
      </c>
      <c r="F47" s="152" t="e">
        <f>_xlfn.XLOOKUP(B47,Table13[Decription],Table13[February 2025 - Balance Qty])</f>
        <v>#N/A</v>
      </c>
      <c r="G47" s="152" t="e">
        <f>_xlfn.XLOOKUP(B47,Table13[Decription],Table13[February 2025 - Balance Qty])</f>
        <v>#N/A</v>
      </c>
      <c r="H47" s="153">
        <v>0</v>
      </c>
      <c r="I47" s="153">
        <v>0</v>
      </c>
      <c r="J47" s="156"/>
      <c r="L47" s="143"/>
      <c r="M47" s="139"/>
      <c r="N47" s="148"/>
      <c r="O47" s="139"/>
      <c r="P47" s="139"/>
      <c r="Q47" s="139"/>
      <c r="R47" s="139"/>
      <c r="S47" s="139"/>
      <c r="T47" s="139"/>
      <c r="U47" s="139"/>
      <c r="V47" s="139"/>
    </row>
    <row r="48" spans="1:22" s="118" customFormat="1">
      <c r="A48" s="160">
        <f t="shared" si="0"/>
        <v>0</v>
      </c>
      <c r="B48" s="149">
        <f t="shared" si="0"/>
        <v>0</v>
      </c>
      <c r="C48" s="155"/>
      <c r="D48" s="151" t="e">
        <f>_xlfn.XLOOKUP(B48,Table13[Decription],Table13[Unit])</f>
        <v>#N/A</v>
      </c>
      <c r="E48" s="158" t="e">
        <f>_xlfn.XLOOKUP(B48,Table13[Decription],Table13[Unit Cost])</f>
        <v>#N/A</v>
      </c>
      <c r="F48" s="152" t="e">
        <f>_xlfn.XLOOKUP(B48,Table13[Decription],Table13[February 2025 - Balance Qty])</f>
        <v>#N/A</v>
      </c>
      <c r="G48" s="152" t="e">
        <f>_xlfn.XLOOKUP(B48,Table13[Decription],Table13[February 2025 - Balance Qty])</f>
        <v>#N/A</v>
      </c>
      <c r="H48" s="153">
        <v>0</v>
      </c>
      <c r="I48" s="153">
        <v>0</v>
      </c>
      <c r="J48" s="156"/>
      <c r="L48" s="143"/>
      <c r="M48" s="139"/>
      <c r="N48" s="148"/>
      <c r="O48" s="139"/>
      <c r="P48" s="139"/>
      <c r="Q48" s="139"/>
      <c r="R48" s="139"/>
      <c r="S48" s="139"/>
      <c r="T48" s="139"/>
      <c r="U48" s="139"/>
      <c r="V48" s="139"/>
    </row>
    <row r="49" spans="1:12">
      <c r="A49" s="425" t="s">
        <v>26</v>
      </c>
      <c r="B49" s="426"/>
      <c r="C49" s="426"/>
      <c r="D49" s="426"/>
      <c r="E49" s="426"/>
      <c r="F49" s="426"/>
      <c r="G49" s="426"/>
      <c r="H49" s="426"/>
      <c r="I49" s="426"/>
      <c r="J49" s="427"/>
      <c r="L49" s="143"/>
    </row>
    <row r="50" spans="1:12">
      <c r="A50" s="112"/>
      <c r="B50" s="114"/>
      <c r="C50" s="113"/>
      <c r="D50" s="114"/>
      <c r="E50" s="119"/>
      <c r="F50" s="120"/>
      <c r="G50" s="121"/>
      <c r="H50" s="115"/>
      <c r="I50" s="116"/>
      <c r="J50" s="117"/>
    </row>
    <row r="51" spans="1:12">
      <c r="A51" s="112"/>
      <c r="B51" s="114"/>
      <c r="C51" s="113"/>
      <c r="D51" s="114"/>
      <c r="E51" s="119"/>
      <c r="F51" s="120"/>
      <c r="G51" s="121"/>
      <c r="H51" s="115"/>
      <c r="I51" s="116"/>
      <c r="J51" s="117"/>
    </row>
    <row r="52" spans="1:12">
      <c r="A52" s="112"/>
      <c r="B52" s="114"/>
      <c r="C52" s="113"/>
      <c r="D52" s="114"/>
      <c r="E52" s="119"/>
      <c r="F52" s="120"/>
      <c r="G52" s="121"/>
      <c r="H52" s="115"/>
      <c r="I52" s="116"/>
      <c r="J52" s="117"/>
    </row>
    <row r="53" spans="1:12">
      <c r="A53" s="112"/>
      <c r="B53" s="114"/>
      <c r="C53" s="113"/>
      <c r="D53" s="114"/>
      <c r="E53" s="119"/>
      <c r="F53" s="120"/>
      <c r="G53" s="121"/>
      <c r="H53" s="115"/>
      <c r="I53" s="116"/>
      <c r="J53" s="117"/>
    </row>
    <row r="54" spans="1:12">
      <c r="A54" s="112"/>
      <c r="B54" s="114"/>
      <c r="C54" s="113"/>
      <c r="D54" s="114"/>
      <c r="E54" s="119"/>
      <c r="F54" s="120"/>
      <c r="G54" s="121"/>
      <c r="H54" s="115"/>
      <c r="I54" s="116"/>
      <c r="J54" s="117"/>
    </row>
    <row r="55" spans="1:12">
      <c r="A55" s="112"/>
      <c r="B55" s="114"/>
      <c r="C55" s="113"/>
      <c r="D55" s="114"/>
      <c r="E55" s="119"/>
      <c r="F55" s="120"/>
      <c r="G55" s="121"/>
      <c r="H55" s="115"/>
      <c r="I55" s="116"/>
      <c r="J55" s="117"/>
    </row>
    <row r="56" spans="1:12">
      <c r="A56" s="112"/>
      <c r="B56" s="114"/>
      <c r="C56" s="113"/>
      <c r="D56" s="114"/>
      <c r="E56" s="119"/>
      <c r="F56" s="120"/>
      <c r="G56" s="121"/>
      <c r="H56" s="115"/>
      <c r="I56" s="116"/>
      <c r="J56" s="117"/>
    </row>
    <row r="57" spans="1:12">
      <c r="A57" s="112"/>
      <c r="B57" s="114"/>
      <c r="C57" s="113"/>
      <c r="D57" s="114"/>
      <c r="E57" s="119"/>
      <c r="F57" s="120"/>
      <c r="G57" s="121"/>
      <c r="H57" s="115"/>
      <c r="I57" s="116"/>
      <c r="J57" s="117"/>
    </row>
    <row r="58" spans="1:12">
      <c r="A58" s="112"/>
      <c r="B58" s="114"/>
      <c r="C58" s="113"/>
      <c r="D58" s="114"/>
      <c r="E58" s="119"/>
      <c r="F58" s="120"/>
      <c r="G58" s="121"/>
      <c r="H58" s="115"/>
      <c r="I58" s="116"/>
      <c r="J58" s="117"/>
    </row>
    <row r="59" spans="1:12">
      <c r="A59" s="112"/>
      <c r="B59" s="114"/>
      <c r="C59" s="113"/>
      <c r="D59" s="114"/>
      <c r="E59" s="119"/>
      <c r="F59" s="120"/>
      <c r="G59" s="121"/>
      <c r="H59" s="115"/>
      <c r="I59" s="116"/>
      <c r="J59" s="117"/>
    </row>
    <row r="60" spans="1:12">
      <c r="A60" s="112"/>
      <c r="B60" s="114"/>
      <c r="C60" s="113"/>
      <c r="D60" s="114"/>
      <c r="E60" s="119"/>
      <c r="F60" s="120"/>
      <c r="G60" s="121"/>
      <c r="H60" s="115"/>
      <c r="I60" s="116"/>
      <c r="J60" s="117"/>
    </row>
    <row r="61" spans="1:12">
      <c r="A61" s="112"/>
      <c r="B61" s="114"/>
      <c r="C61" s="113"/>
      <c r="D61" s="114"/>
      <c r="E61" s="119"/>
      <c r="F61" s="120"/>
      <c r="G61" s="121"/>
      <c r="H61" s="115"/>
      <c r="I61" s="116"/>
      <c r="J61" s="117"/>
    </row>
    <row r="62" spans="1:12">
      <c r="A62" s="112"/>
      <c r="B62" s="114"/>
      <c r="C62" s="113"/>
      <c r="D62" s="114"/>
      <c r="E62" s="119"/>
      <c r="F62" s="120"/>
      <c r="G62" s="121"/>
      <c r="H62" s="115"/>
      <c r="I62" s="116"/>
      <c r="J62" s="117"/>
    </row>
    <row r="63" spans="1:12">
      <c r="A63" s="112"/>
      <c r="B63" s="114"/>
      <c r="C63" s="113"/>
      <c r="D63" s="114"/>
      <c r="E63" s="119"/>
      <c r="F63" s="120"/>
      <c r="G63" s="121"/>
      <c r="H63" s="115"/>
      <c r="I63" s="116"/>
      <c r="J63" s="117"/>
    </row>
    <row r="64" spans="1:12">
      <c r="A64" s="112"/>
      <c r="B64" s="114"/>
      <c r="C64" s="113"/>
      <c r="D64" s="114"/>
      <c r="E64" s="119"/>
      <c r="F64" s="120"/>
      <c r="G64" s="121"/>
      <c r="H64" s="115"/>
      <c r="I64" s="116"/>
      <c r="J64" s="117"/>
    </row>
    <row r="65" spans="1:10">
      <c r="A65" s="112"/>
      <c r="B65" s="114"/>
      <c r="C65" s="113"/>
      <c r="D65" s="114"/>
      <c r="E65" s="119"/>
      <c r="F65" s="120"/>
      <c r="G65" s="121"/>
      <c r="H65" s="115"/>
      <c r="I65" s="116"/>
      <c r="J65" s="117"/>
    </row>
    <row r="66" spans="1:10">
      <c r="A66" s="112"/>
      <c r="B66" s="114"/>
      <c r="C66" s="113"/>
      <c r="D66" s="114"/>
      <c r="E66" s="119"/>
      <c r="F66" s="120"/>
      <c r="G66" s="121"/>
      <c r="H66" s="115"/>
      <c r="I66" s="116"/>
      <c r="J66" s="117"/>
    </row>
    <row r="67" spans="1:10">
      <c r="A67" s="112"/>
      <c r="B67" s="114"/>
      <c r="C67" s="113"/>
      <c r="D67" s="114"/>
      <c r="E67" s="119"/>
      <c r="F67" s="120"/>
      <c r="G67" s="121"/>
      <c r="H67" s="115"/>
      <c r="I67" s="116"/>
      <c r="J67" s="117"/>
    </row>
    <row r="68" spans="1:10">
      <c r="A68" s="112"/>
      <c r="B68" s="114"/>
      <c r="C68" s="113"/>
      <c r="D68" s="114"/>
      <c r="E68" s="119"/>
      <c r="F68" s="120"/>
      <c r="G68" s="121"/>
      <c r="H68" s="115"/>
      <c r="I68" s="116"/>
      <c r="J68" s="117"/>
    </row>
    <row r="69" spans="1:10">
      <c r="A69" s="112"/>
      <c r="B69" s="114"/>
      <c r="C69" s="113"/>
      <c r="D69" s="114"/>
      <c r="E69" s="119"/>
      <c r="F69" s="120"/>
      <c r="G69" s="121"/>
      <c r="H69" s="115"/>
      <c r="I69" s="116"/>
      <c r="J69" s="117"/>
    </row>
    <row r="70" spans="1:10">
      <c r="A70" s="112"/>
      <c r="B70" s="114"/>
      <c r="C70" s="113"/>
      <c r="D70" s="114"/>
      <c r="E70" s="119"/>
      <c r="F70" s="120"/>
      <c r="G70" s="121"/>
      <c r="H70" s="115"/>
      <c r="I70" s="116"/>
      <c r="J70" s="117"/>
    </row>
    <row r="71" spans="1:10">
      <c r="A71" s="112"/>
      <c r="B71" s="114"/>
      <c r="C71" s="113"/>
      <c r="D71" s="114"/>
      <c r="E71" s="119"/>
      <c r="F71" s="120"/>
      <c r="G71" s="121"/>
      <c r="H71" s="115"/>
      <c r="I71" s="116"/>
      <c r="J71" s="117"/>
    </row>
    <row r="72" spans="1:10">
      <c r="A72" s="112"/>
      <c r="B72" s="114"/>
      <c r="C72" s="113"/>
      <c r="D72" s="114"/>
      <c r="E72" s="119"/>
      <c r="F72" s="120"/>
      <c r="G72" s="121"/>
      <c r="H72" s="115"/>
      <c r="I72" s="116"/>
      <c r="J72" s="117"/>
    </row>
    <row r="73" spans="1:10">
      <c r="A73" s="112"/>
      <c r="B73" s="114"/>
      <c r="C73" s="113"/>
      <c r="D73" s="114"/>
      <c r="E73" s="119"/>
      <c r="F73" s="120"/>
      <c r="G73" s="121"/>
      <c r="H73" s="115"/>
      <c r="I73" s="116"/>
      <c r="J73" s="117"/>
    </row>
    <row r="74" spans="1:10">
      <c r="A74" s="112"/>
      <c r="B74" s="114"/>
      <c r="C74" s="113"/>
      <c r="D74" s="114"/>
      <c r="E74" s="119"/>
      <c r="F74" s="120"/>
      <c r="G74" s="121"/>
      <c r="H74" s="115"/>
      <c r="I74" s="116"/>
      <c r="J74" s="117"/>
    </row>
    <row r="75" spans="1:10">
      <c r="A75" s="112"/>
      <c r="B75" s="114"/>
      <c r="C75" s="113"/>
      <c r="D75" s="114"/>
      <c r="E75" s="119"/>
      <c r="F75" s="120"/>
      <c r="G75" s="121"/>
      <c r="H75" s="115"/>
      <c r="I75" s="116"/>
      <c r="J75" s="117"/>
    </row>
    <row r="76" spans="1:10">
      <c r="A76" s="112"/>
      <c r="B76" s="114"/>
      <c r="C76" s="113"/>
      <c r="D76" s="114"/>
      <c r="E76" s="119"/>
      <c r="F76" s="120"/>
      <c r="G76" s="121"/>
      <c r="H76" s="115"/>
      <c r="I76" s="116"/>
      <c r="J76" s="117"/>
    </row>
    <row r="77" spans="1:10">
      <c r="A77" s="112"/>
      <c r="B77" s="114"/>
      <c r="C77" s="113"/>
      <c r="D77" s="114"/>
      <c r="E77" s="119"/>
      <c r="F77" s="120"/>
      <c r="G77" s="121"/>
      <c r="H77" s="115"/>
      <c r="I77" s="116"/>
      <c r="J77" s="117"/>
    </row>
    <row r="78" spans="1:10">
      <c r="A78" s="112"/>
      <c r="B78" s="114"/>
      <c r="C78" s="113"/>
      <c r="D78" s="114"/>
      <c r="E78" s="119"/>
      <c r="F78" s="120"/>
      <c r="G78" s="121"/>
      <c r="H78" s="115"/>
      <c r="I78" s="116"/>
      <c r="J78" s="117"/>
    </row>
    <row r="79" spans="1:10">
      <c r="A79" s="112"/>
      <c r="B79" s="114"/>
      <c r="C79" s="113"/>
      <c r="D79" s="114"/>
      <c r="E79" s="119"/>
      <c r="F79" s="120"/>
      <c r="G79" s="121"/>
      <c r="H79" s="115"/>
      <c r="I79" s="116"/>
      <c r="J79" s="117"/>
    </row>
    <row r="80" spans="1:10">
      <c r="A80" s="112"/>
      <c r="B80" s="114"/>
      <c r="C80" s="113"/>
      <c r="D80" s="114"/>
      <c r="E80" s="119"/>
      <c r="F80" s="120"/>
      <c r="G80" s="121"/>
      <c r="H80" s="115"/>
      <c r="I80" s="116"/>
      <c r="J80" s="117"/>
    </row>
    <row r="81" spans="1:10">
      <c r="A81" s="112"/>
      <c r="B81" s="114"/>
      <c r="C81" s="113"/>
      <c r="D81" s="114"/>
      <c r="E81" s="119"/>
      <c r="F81" s="120"/>
      <c r="G81" s="121"/>
      <c r="H81" s="115"/>
      <c r="I81" s="116"/>
      <c r="J81" s="117"/>
    </row>
    <row r="82" spans="1:10">
      <c r="A82" s="112"/>
      <c r="B82" s="114"/>
      <c r="C82" s="113"/>
      <c r="D82" s="114"/>
      <c r="E82" s="119"/>
      <c r="F82" s="120"/>
      <c r="G82" s="121"/>
      <c r="H82" s="115"/>
      <c r="I82" s="116"/>
      <c r="J82" s="117"/>
    </row>
    <row r="83" spans="1:10">
      <c r="A83" s="112"/>
      <c r="B83" s="114"/>
      <c r="C83" s="113"/>
      <c r="D83" s="114"/>
      <c r="E83" s="119"/>
      <c r="F83" s="120"/>
      <c r="G83" s="121"/>
      <c r="H83" s="115"/>
      <c r="I83" s="116"/>
      <c r="J83" s="117"/>
    </row>
    <row r="84" spans="1:10">
      <c r="A84" s="112"/>
      <c r="B84" s="114"/>
      <c r="C84" s="113"/>
      <c r="D84" s="114"/>
      <c r="E84" s="119"/>
      <c r="F84" s="120"/>
      <c r="G84" s="121"/>
      <c r="H84" s="115"/>
      <c r="I84" s="116"/>
      <c r="J84" s="117"/>
    </row>
    <row r="85" spans="1:10">
      <c r="A85" s="112"/>
      <c r="B85" s="114"/>
      <c r="C85" s="113"/>
      <c r="D85" s="114"/>
      <c r="E85" s="119"/>
      <c r="F85" s="120"/>
      <c r="G85" s="121"/>
      <c r="H85" s="115"/>
      <c r="I85" s="116"/>
      <c r="J85" s="117"/>
    </row>
    <row r="86" spans="1:10">
      <c r="A86" s="112"/>
      <c r="B86" s="114"/>
      <c r="C86" s="113"/>
      <c r="D86" s="114"/>
      <c r="E86" s="119"/>
      <c r="F86" s="120">
        <f t="shared" ref="F86" si="1">G86</f>
        <v>0</v>
      </c>
      <c r="G86" s="121"/>
      <c r="H86" s="115"/>
      <c r="I86" s="116"/>
      <c r="J86" s="117"/>
    </row>
    <row r="87" spans="1:10" ht="13.5" thickBot="1">
      <c r="A87" s="122"/>
      <c r="B87" s="123"/>
      <c r="C87" s="124"/>
      <c r="D87" s="123"/>
      <c r="E87" s="125"/>
      <c r="F87" s="126"/>
      <c r="G87" s="127"/>
      <c r="H87" s="128"/>
      <c r="I87" s="129"/>
      <c r="J87" s="130"/>
    </row>
    <row r="88" spans="1:10">
      <c r="A88" s="96"/>
      <c r="B88" s="97"/>
      <c r="C88" s="97"/>
      <c r="D88" s="97"/>
      <c r="E88" s="98"/>
      <c r="F88" s="97"/>
      <c r="G88" s="97"/>
      <c r="H88" s="97"/>
      <c r="I88" s="97"/>
      <c r="J88" s="99"/>
    </row>
    <row r="89" spans="1:10">
      <c r="A89" s="102"/>
      <c r="B89" s="164" t="s">
        <v>213</v>
      </c>
      <c r="C89" s="164" t="s">
        <v>214</v>
      </c>
      <c r="D89" s="161"/>
      <c r="E89" s="103"/>
      <c r="F89" s="161"/>
      <c r="G89" s="164" t="s">
        <v>215</v>
      </c>
      <c r="H89" s="161"/>
      <c r="I89" s="161"/>
      <c r="J89" s="104"/>
    </row>
    <row r="90" spans="1:10">
      <c r="A90" s="102"/>
      <c r="B90" s="164"/>
      <c r="C90" s="164"/>
      <c r="D90" s="161"/>
      <c r="E90" s="103"/>
      <c r="F90" s="161"/>
      <c r="G90" s="164"/>
      <c r="H90" s="161"/>
      <c r="I90" s="161"/>
      <c r="J90" s="104"/>
    </row>
    <row r="91" spans="1:10">
      <c r="A91" s="102"/>
      <c r="B91" s="161"/>
      <c r="C91" s="161"/>
      <c r="D91" s="161"/>
      <c r="E91" s="103"/>
      <c r="F91" s="161"/>
      <c r="G91" s="161"/>
      <c r="H91" s="161"/>
      <c r="I91" s="161"/>
      <c r="J91" s="104"/>
    </row>
    <row r="92" spans="1:10" ht="16">
      <c r="A92" s="102"/>
      <c r="B92" s="165" t="s">
        <v>216</v>
      </c>
      <c r="C92" s="428" t="s">
        <v>217</v>
      </c>
      <c r="D92" s="428"/>
      <c r="E92" s="428"/>
      <c r="F92" s="428"/>
      <c r="G92" s="428" t="s">
        <v>218</v>
      </c>
      <c r="H92" s="428"/>
      <c r="I92" s="428"/>
      <c r="J92" s="429"/>
    </row>
    <row r="93" spans="1:10" ht="26">
      <c r="A93" s="102"/>
      <c r="B93" s="166" t="s">
        <v>219</v>
      </c>
      <c r="C93" s="430" t="s">
        <v>220</v>
      </c>
      <c r="D93" s="430"/>
      <c r="E93" s="430"/>
      <c r="F93" s="430"/>
      <c r="G93" s="431" t="s">
        <v>221</v>
      </c>
      <c r="H93" s="431"/>
      <c r="I93" s="431"/>
      <c r="J93" s="432"/>
    </row>
    <row r="94" spans="1:10" ht="13.5" thickBot="1">
      <c r="A94" s="131"/>
      <c r="B94" s="132"/>
      <c r="C94" s="132"/>
      <c r="D94" s="132"/>
      <c r="E94" s="133"/>
      <c r="F94" s="132"/>
      <c r="G94" s="132"/>
      <c r="H94" s="132"/>
      <c r="I94" s="132"/>
      <c r="J94" s="134"/>
    </row>
  </sheetData>
  <mergeCells count="17">
    <mergeCell ref="A3:J3"/>
    <mergeCell ref="A4:J4"/>
    <mergeCell ref="A5:J5"/>
    <mergeCell ref="A6:J6"/>
    <mergeCell ref="A9:A10"/>
    <mergeCell ref="B9:B10"/>
    <mergeCell ref="C9:C10"/>
    <mergeCell ref="D9:D10"/>
    <mergeCell ref="E9:E10"/>
    <mergeCell ref="F9:G9"/>
    <mergeCell ref="C93:F93"/>
    <mergeCell ref="G93:J93"/>
    <mergeCell ref="H9:I9"/>
    <mergeCell ref="J9:J10"/>
    <mergeCell ref="A49:J49"/>
    <mergeCell ref="C92:F92"/>
    <mergeCell ref="G92:J92"/>
  </mergeCells>
  <pageMargins left="0.11810914260717401" right="0.11810914260717401" top="0.12" bottom="0.12" header="0.31496062992126" footer="0.31496062992126"/>
  <pageSetup paperSize="9" scale="66" fitToWidth="0" fitToHeight="0" orientation="portrait" r:id="rId1"/>
  <colBreaks count="1" manualBreakCount="1">
    <brk id="1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878874-1AF4-412B-A273-A34714A3E4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16</vt:i4>
      </vt:variant>
    </vt:vector>
  </HeadingPairs>
  <TitlesOfParts>
    <vt:vector size="28" baseType="lpstr">
      <vt:lpstr>Table13</vt:lpstr>
      <vt:lpstr>Inventory 2025 - Summary</vt:lpstr>
      <vt:lpstr>Jan2025 Summary</vt:lpstr>
      <vt:lpstr>February 2025 Summary</vt:lpstr>
      <vt:lpstr>March 2025 Summary </vt:lpstr>
      <vt:lpstr>April 2025 Summary</vt:lpstr>
      <vt:lpstr>Mar-OfS (1)</vt:lpstr>
      <vt:lpstr>Mar-OtS (2)</vt:lpstr>
      <vt:lpstr>April-OfS (1)</vt:lpstr>
      <vt:lpstr>April-OtS(2)</vt:lpstr>
      <vt:lpstr>RPCI-OfS-Feb2025</vt:lpstr>
      <vt:lpstr>RPCI-OtS-Feb2025</vt:lpstr>
      <vt:lpstr>'April 2025 Summary'!Print_Area</vt:lpstr>
      <vt:lpstr>'April-OfS (1)'!Print_Area</vt:lpstr>
      <vt:lpstr>'April-OtS(2)'!Print_Area</vt:lpstr>
      <vt:lpstr>'February 2025 Summary'!Print_Area</vt:lpstr>
      <vt:lpstr>'Jan2025 Summary'!Print_Area</vt:lpstr>
      <vt:lpstr>'March 2025 Summary '!Print_Area</vt:lpstr>
      <vt:lpstr>'Mar-OfS (1)'!Print_Area</vt:lpstr>
      <vt:lpstr>'Mar-OtS (2)'!Print_Area</vt:lpstr>
      <vt:lpstr>'RPCI-OfS-Feb2025'!Print_Area</vt:lpstr>
      <vt:lpstr>'RPCI-OtS-Feb2025'!Print_Area</vt:lpstr>
      <vt:lpstr>'April 2025 Summary'!Print_Titles</vt:lpstr>
      <vt:lpstr>'April-OfS (1)'!Print_Titles</vt:lpstr>
      <vt:lpstr>'April-OtS(2)'!Print_Titles</vt:lpstr>
      <vt:lpstr>'Mar-OfS (1)'!Print_Titles</vt:lpstr>
      <vt:lpstr>'RPCI-OfS-Feb2025'!Print_Titles</vt:lpstr>
      <vt:lpstr>'RPCI-OtS-Feb2025'!Print_Titles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Manuel Cordora</dc:creator>
  <cp:lastModifiedBy>ASITSD</cp:lastModifiedBy>
  <cp:lastPrinted>2025-05-07T03:19:07Z</cp:lastPrinted>
  <dcterms:created xsi:type="dcterms:W3CDTF">2022-09-22T08:34:45Z</dcterms:created>
  <dcterms:modified xsi:type="dcterms:W3CDTF">2025-06-05T01:04:46Z</dcterms:modified>
</cp:coreProperties>
</file>